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e13633e28cea297/Desktop/Contabilidad/Proyectos/EEFF/"/>
    </mc:Choice>
  </mc:AlternateContent>
  <xr:revisionPtr revIDLastSave="1" documentId="8_{E780806E-AF1D-4887-99DB-F50AA575D68F}" xr6:coauthVersionLast="47" xr6:coauthVersionMax="47" xr10:uidLastSave="{1DE04E84-E3AB-49D4-86E8-65C74724B011}"/>
  <bookViews>
    <workbookView xWindow="28680" yWindow="1080" windowWidth="29040" windowHeight="15720" xr2:uid="{C19F3370-E4BE-428B-B8B1-0897F0CE56CF}"/>
  </bookViews>
  <sheets>
    <sheet name="BCE" sheetId="1" r:id="rId1"/>
    <sheet name="P Y G" sheetId="2" r:id="rId2"/>
  </sheets>
  <externalReferences>
    <externalReference r:id="rId3"/>
    <externalReference r:id="rId4"/>
    <externalReference r:id="rId5"/>
    <externalReference r:id="rId6"/>
    <externalReference r:id="rId7"/>
  </externalReferences>
  <definedNames>
    <definedName name="_xlnm._FilterDatabase" localSheetId="0" hidden="1">BCE!$A$5:$AK$116</definedName>
    <definedName name="_xlnm._FilterDatabase" localSheetId="1" hidden="1">'P Y G'!$C$3:$AE$148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9" i="2" l="1"/>
  <c r="B78" i="2"/>
  <c r="AQ77" i="2"/>
  <c r="AD77" i="2"/>
  <c r="Z77" i="2"/>
  <c r="Y77" i="2"/>
  <c r="B77" i="2"/>
  <c r="AB77" i="2" s="1"/>
  <c r="B76" i="2"/>
  <c r="B75" i="2"/>
  <c r="B74" i="2"/>
  <c r="Y73" i="2"/>
  <c r="X73" i="2"/>
  <c r="U73" i="2"/>
  <c r="T73" i="2"/>
  <c r="M73" i="2"/>
  <c r="L73" i="2"/>
  <c r="I73" i="2"/>
  <c r="H73" i="2"/>
  <c r="B73" i="2"/>
  <c r="Z73" i="2" s="1"/>
  <c r="AA72" i="2"/>
  <c r="T72" i="2"/>
  <c r="S72" i="2"/>
  <c r="P72" i="2"/>
  <c r="O72" i="2"/>
  <c r="G72" i="2"/>
  <c r="B72" i="2"/>
  <c r="AE71" i="2"/>
  <c r="AC71" i="2"/>
  <c r="AA71" i="2"/>
  <c r="Z71" i="2"/>
  <c r="Y71" i="2"/>
  <c r="X71" i="2"/>
  <c r="W71" i="2"/>
  <c r="V71" i="2"/>
  <c r="S71" i="2"/>
  <c r="R71" i="2"/>
  <c r="O71" i="2"/>
  <c r="N71" i="2"/>
  <c r="M71" i="2"/>
  <c r="L71" i="2"/>
  <c r="K71" i="2"/>
  <c r="J71" i="2"/>
  <c r="G71" i="2"/>
  <c r="F71" i="2"/>
  <c r="E71" i="2"/>
  <c r="B71" i="2"/>
  <c r="AB71" i="2" s="1"/>
  <c r="AQ70" i="2"/>
  <c r="AG70" i="2"/>
  <c r="AF70" i="2"/>
  <c r="AE70" i="2"/>
  <c r="AC70" i="2"/>
  <c r="Z70" i="2"/>
  <c r="Y70" i="2"/>
  <c r="X70" i="2"/>
  <c r="W70" i="2"/>
  <c r="V70" i="2"/>
  <c r="U70" i="2"/>
  <c r="T70" i="2"/>
  <c r="S70" i="2"/>
  <c r="R70" i="2"/>
  <c r="N70" i="2"/>
  <c r="M70" i="2"/>
  <c r="L70" i="2"/>
  <c r="K70" i="2"/>
  <c r="J70" i="2"/>
  <c r="I70" i="2"/>
  <c r="H70" i="2"/>
  <c r="G70" i="2"/>
  <c r="F70" i="2"/>
  <c r="E70" i="2"/>
  <c r="B70" i="2"/>
  <c r="AB70" i="2" s="1"/>
  <c r="AP69" i="2"/>
  <c r="AO69" i="2"/>
  <c r="AN69" i="2"/>
  <c r="AM69" i="2"/>
  <c r="AL69" i="2"/>
  <c r="AK69" i="2"/>
  <c r="AJ69" i="2"/>
  <c r="AI69" i="2"/>
  <c r="AH69" i="2"/>
  <c r="B69" i="2"/>
  <c r="AQ68" i="2"/>
  <c r="AD68" i="2"/>
  <c r="Q68" i="2"/>
  <c r="B68" i="2"/>
  <c r="AF67" i="2"/>
  <c r="AC67" i="2"/>
  <c r="AB67" i="2"/>
  <c r="AA67" i="2"/>
  <c r="Z67" i="2"/>
  <c r="Y67" i="2"/>
  <c r="X67" i="2"/>
  <c r="W67" i="2"/>
  <c r="V67" i="2"/>
  <c r="U67" i="2"/>
  <c r="P67" i="2"/>
  <c r="O67" i="2"/>
  <c r="N67" i="2"/>
  <c r="M67" i="2"/>
  <c r="L67" i="2"/>
  <c r="K67" i="2"/>
  <c r="J67" i="2"/>
  <c r="I67" i="2"/>
  <c r="H67" i="2"/>
  <c r="E67" i="2"/>
  <c r="B67" i="2"/>
  <c r="AQ66" i="2"/>
  <c r="AD66" i="2"/>
  <c r="Q66" i="2"/>
  <c r="B66" i="2"/>
  <c r="AQ65" i="2"/>
  <c r="AD65" i="2"/>
  <c r="Q65" i="2"/>
  <c r="B65" i="2"/>
  <c r="W64" i="2"/>
  <c r="B64" i="2"/>
  <c r="AQ63" i="2"/>
  <c r="AG63" i="2"/>
  <c r="AF63" i="2"/>
  <c r="AE63" i="2"/>
  <c r="AC63" i="2"/>
  <c r="AA63" i="2"/>
  <c r="Z63" i="2"/>
  <c r="Y63" i="2"/>
  <c r="X63" i="2"/>
  <c r="W63" i="2"/>
  <c r="V63" i="2"/>
  <c r="U63" i="2"/>
  <c r="T63" i="2"/>
  <c r="S63" i="2"/>
  <c r="R63" i="2"/>
  <c r="O63" i="2"/>
  <c r="N63" i="2"/>
  <c r="M63" i="2"/>
  <c r="L63" i="2"/>
  <c r="K63" i="2"/>
  <c r="J63" i="2"/>
  <c r="I63" i="2"/>
  <c r="H63" i="2"/>
  <c r="G63" i="2"/>
  <c r="F63" i="2"/>
  <c r="E63" i="2"/>
  <c r="B63" i="2"/>
  <c r="AB63" i="2" s="1"/>
  <c r="AQ62" i="2"/>
  <c r="AD62" i="2"/>
  <c r="Q62" i="2"/>
  <c r="B62" i="2"/>
  <c r="AQ61" i="2"/>
  <c r="AD61" i="2"/>
  <c r="Q61" i="2"/>
  <c r="B61" i="2"/>
  <c r="AQ60" i="2"/>
  <c r="AD60" i="2"/>
  <c r="Q60" i="2"/>
  <c r="B60" i="2"/>
  <c r="AQ59" i="2"/>
  <c r="AD59" i="2"/>
  <c r="Q59" i="2"/>
  <c r="B59" i="2"/>
  <c r="AQ58" i="2"/>
  <c r="AD58" i="2"/>
  <c r="Q58" i="2"/>
  <c r="B58" i="2"/>
  <c r="AC57" i="2"/>
  <c r="AB57" i="2"/>
  <c r="AA57" i="2"/>
  <c r="Z57" i="2"/>
  <c r="Y57" i="2"/>
  <c r="W57" i="2"/>
  <c r="V57" i="2"/>
  <c r="P57" i="2"/>
  <c r="O57" i="2"/>
  <c r="N57" i="2"/>
  <c r="M57" i="2"/>
  <c r="L57" i="2"/>
  <c r="K57" i="2"/>
  <c r="J57" i="2"/>
  <c r="I57" i="2"/>
  <c r="B57" i="2"/>
  <c r="AP56" i="2"/>
  <c r="AO56" i="2"/>
  <c r="AN56" i="2"/>
  <c r="AM56" i="2"/>
  <c r="AL56" i="2"/>
  <c r="AK56" i="2"/>
  <c r="AJ56" i="2"/>
  <c r="AI56" i="2"/>
  <c r="AH56" i="2"/>
  <c r="B56" i="2"/>
  <c r="AP55" i="2"/>
  <c r="AO55" i="2"/>
  <c r="AN55" i="2"/>
  <c r="AM55" i="2"/>
  <c r="AL55" i="2"/>
  <c r="AK55" i="2"/>
  <c r="AJ55" i="2"/>
  <c r="AI55" i="2"/>
  <c r="AH55" i="2"/>
  <c r="B55" i="2"/>
  <c r="B54" i="2"/>
  <c r="AO53" i="2"/>
  <c r="AO75" i="2" s="1"/>
  <c r="AO79" i="2" s="1"/>
  <c r="B53" i="2"/>
  <c r="B52" i="2"/>
  <c r="B51" i="2"/>
  <c r="AG50" i="2"/>
  <c r="AE50" i="2"/>
  <c r="Z50" i="2"/>
  <c r="Y50" i="2"/>
  <c r="X50" i="2"/>
  <c r="W50" i="2"/>
  <c r="V50" i="2"/>
  <c r="U50" i="2"/>
  <c r="T50" i="2"/>
  <c r="S50" i="2"/>
  <c r="R50" i="2"/>
  <c r="P50" i="2"/>
  <c r="N50" i="2"/>
  <c r="M50" i="2"/>
  <c r="L50" i="2"/>
  <c r="K50" i="2"/>
  <c r="J50" i="2"/>
  <c r="I50" i="2"/>
  <c r="H50" i="2"/>
  <c r="G50" i="2"/>
  <c r="F50" i="2"/>
  <c r="E50" i="2"/>
  <c r="B50" i="2"/>
  <c r="AC49" i="2"/>
  <c r="AB49" i="2"/>
  <c r="AA49" i="2"/>
  <c r="Z49" i="2"/>
  <c r="Y49" i="2"/>
  <c r="X49" i="2"/>
  <c r="W49" i="2"/>
  <c r="P49" i="2"/>
  <c r="O49" i="2"/>
  <c r="N49" i="2"/>
  <c r="M49" i="2"/>
  <c r="L49" i="2"/>
  <c r="K49" i="2"/>
  <c r="I49" i="2"/>
  <c r="G49" i="2"/>
  <c r="B49" i="2"/>
  <c r="AE49" i="2" s="1"/>
  <c r="AG48" i="2"/>
  <c r="AF48" i="2"/>
  <c r="AE48" i="2"/>
  <c r="AQ48" i="2" s="1"/>
  <c r="Z48" i="2"/>
  <c r="Y48" i="2"/>
  <c r="W48" i="2"/>
  <c r="V48" i="2"/>
  <c r="U48" i="2"/>
  <c r="T48" i="2"/>
  <c r="S48" i="2"/>
  <c r="P48" i="2"/>
  <c r="N48" i="2"/>
  <c r="M48" i="2"/>
  <c r="L48" i="2"/>
  <c r="J48" i="2"/>
  <c r="I48" i="2"/>
  <c r="H48" i="2"/>
  <c r="G48" i="2"/>
  <c r="F48" i="2"/>
  <c r="E48" i="2"/>
  <c r="B48" i="2"/>
  <c r="AF47" i="2"/>
  <c r="AE47" i="2"/>
  <c r="K47" i="2"/>
  <c r="B47" i="2"/>
  <c r="M46" i="2"/>
  <c r="F46" i="2"/>
  <c r="B46" i="2"/>
  <c r="T45" i="2"/>
  <c r="S45" i="2"/>
  <c r="R45" i="2"/>
  <c r="P45" i="2"/>
  <c r="H45" i="2"/>
  <c r="G45" i="2"/>
  <c r="F45" i="2"/>
  <c r="B45" i="2"/>
  <c r="V45" i="2" s="1"/>
  <c r="AG44" i="2"/>
  <c r="AF44" i="2"/>
  <c r="AC44" i="2"/>
  <c r="AB44" i="2"/>
  <c r="AA44" i="2"/>
  <c r="Z44" i="2"/>
  <c r="Y44" i="2"/>
  <c r="X44" i="2"/>
  <c r="W44" i="2"/>
  <c r="V44" i="2"/>
  <c r="U44" i="2"/>
  <c r="T44" i="2"/>
  <c r="R44" i="2"/>
  <c r="P44" i="2"/>
  <c r="O44" i="2"/>
  <c r="N44" i="2"/>
  <c r="M44" i="2"/>
  <c r="L44" i="2"/>
  <c r="K44" i="2"/>
  <c r="J44" i="2"/>
  <c r="I44" i="2"/>
  <c r="H44" i="2"/>
  <c r="F44" i="2"/>
  <c r="E44" i="2"/>
  <c r="B44" i="2"/>
  <c r="AC43" i="2"/>
  <c r="AB43" i="2"/>
  <c r="AA43" i="2"/>
  <c r="Y43" i="2"/>
  <c r="X43" i="2"/>
  <c r="W43" i="2"/>
  <c r="U43" i="2"/>
  <c r="O43" i="2"/>
  <c r="M43" i="2"/>
  <c r="L43" i="2"/>
  <c r="K43" i="2"/>
  <c r="J43" i="2"/>
  <c r="H43" i="2"/>
  <c r="G43" i="2"/>
  <c r="B43" i="2"/>
  <c r="AE43" i="2" s="1"/>
  <c r="AE42" i="2"/>
  <c r="AA42" i="2"/>
  <c r="Z42" i="2"/>
  <c r="X42" i="2"/>
  <c r="W42" i="2"/>
  <c r="V42" i="2"/>
  <c r="O42" i="2"/>
  <c r="N42" i="2"/>
  <c r="M42" i="2"/>
  <c r="K42" i="2"/>
  <c r="J42" i="2"/>
  <c r="I42" i="2"/>
  <c r="H42" i="2"/>
  <c r="B42" i="2"/>
  <c r="AF42" i="2" s="1"/>
  <c r="AG41" i="2"/>
  <c r="AF41" i="2"/>
  <c r="AE41" i="2"/>
  <c r="AC41" i="2"/>
  <c r="AB41" i="2"/>
  <c r="AA41" i="2"/>
  <c r="Y41" i="2"/>
  <c r="X41" i="2"/>
  <c r="W41" i="2"/>
  <c r="V41" i="2"/>
  <c r="U41" i="2"/>
  <c r="T41" i="2"/>
  <c r="S41" i="2"/>
  <c r="R41" i="2"/>
  <c r="P41" i="2"/>
  <c r="O41" i="2"/>
  <c r="M41" i="2"/>
  <c r="L41" i="2"/>
  <c r="K41" i="2"/>
  <c r="J41" i="2"/>
  <c r="I41" i="2"/>
  <c r="H41" i="2"/>
  <c r="G41" i="2"/>
  <c r="F41" i="2"/>
  <c r="E41" i="2"/>
  <c r="B41" i="2"/>
  <c r="T40" i="2"/>
  <c r="S40" i="2"/>
  <c r="R40" i="2"/>
  <c r="P40" i="2"/>
  <c r="B40" i="2"/>
  <c r="AG39" i="2"/>
  <c r="AF39" i="2"/>
  <c r="AE39" i="2"/>
  <c r="AC39" i="2"/>
  <c r="AA39" i="2"/>
  <c r="Z39" i="2"/>
  <c r="Y39" i="2"/>
  <c r="X39" i="2"/>
  <c r="W39" i="2"/>
  <c r="V39" i="2"/>
  <c r="U39" i="2"/>
  <c r="T39" i="2"/>
  <c r="S39" i="2"/>
  <c r="R39" i="2"/>
  <c r="O39" i="2"/>
  <c r="N39" i="2"/>
  <c r="M39" i="2"/>
  <c r="L39" i="2"/>
  <c r="K39" i="2"/>
  <c r="J39" i="2"/>
  <c r="I39" i="2"/>
  <c r="H39" i="2"/>
  <c r="G39" i="2"/>
  <c r="F39" i="2"/>
  <c r="E39" i="2"/>
  <c r="B39" i="2"/>
  <c r="AB39" i="2" s="1"/>
  <c r="AC38" i="2"/>
  <c r="AB38" i="2"/>
  <c r="AA38" i="2"/>
  <c r="Z38" i="2"/>
  <c r="Y38" i="2"/>
  <c r="X38" i="2"/>
  <c r="V38" i="2"/>
  <c r="U38" i="2"/>
  <c r="T38" i="2"/>
  <c r="P38" i="2"/>
  <c r="O38" i="2"/>
  <c r="N38" i="2"/>
  <c r="M38" i="2"/>
  <c r="L38" i="2"/>
  <c r="J38" i="2"/>
  <c r="I38" i="2"/>
  <c r="H38" i="2"/>
  <c r="G38" i="2"/>
  <c r="E38" i="2"/>
  <c r="B38" i="2"/>
  <c r="AE38" i="2" s="1"/>
  <c r="B37" i="2"/>
  <c r="AP36" i="2"/>
  <c r="AO36" i="2"/>
  <c r="AN36" i="2"/>
  <c r="AM36" i="2"/>
  <c r="AL36" i="2"/>
  <c r="AK36" i="2"/>
  <c r="AJ36" i="2"/>
  <c r="AI36" i="2"/>
  <c r="AH36" i="2"/>
  <c r="B36" i="2"/>
  <c r="B35" i="2"/>
  <c r="AQ34" i="2"/>
  <c r="AD34" i="2"/>
  <c r="Q34" i="2"/>
  <c r="B34" i="2"/>
  <c r="AQ33" i="2"/>
  <c r="AG33" i="2"/>
  <c r="AF33" i="2"/>
  <c r="AE33" i="2"/>
  <c r="AC33" i="2"/>
  <c r="AA33" i="2"/>
  <c r="Z33" i="2"/>
  <c r="Y33" i="2"/>
  <c r="X33" i="2"/>
  <c r="W33" i="2"/>
  <c r="V33" i="2"/>
  <c r="U33" i="2"/>
  <c r="T33" i="2"/>
  <c r="S33" i="2"/>
  <c r="R33" i="2"/>
  <c r="O33" i="2"/>
  <c r="N33" i="2"/>
  <c r="M33" i="2"/>
  <c r="L33" i="2"/>
  <c r="K33" i="2"/>
  <c r="J33" i="2"/>
  <c r="I33" i="2"/>
  <c r="H33" i="2"/>
  <c r="G33" i="2"/>
  <c r="F33" i="2"/>
  <c r="E33" i="2"/>
  <c r="B33" i="2"/>
  <c r="AB33" i="2" s="1"/>
  <c r="AQ32" i="2"/>
  <c r="AD32" i="2"/>
  <c r="Q32" i="2"/>
  <c r="B32" i="2"/>
  <c r="AF31" i="2"/>
  <c r="AG31" i="2" s="1"/>
  <c r="AE31" i="2"/>
  <c r="AC31" i="2"/>
  <c r="AB31" i="2"/>
  <c r="Z31" i="2"/>
  <c r="Y31" i="2"/>
  <c r="X31" i="2"/>
  <c r="W31" i="2"/>
  <c r="V31" i="2"/>
  <c r="U31" i="2"/>
  <c r="T31" i="2"/>
  <c r="S31" i="2"/>
  <c r="R31" i="2"/>
  <c r="P31" i="2"/>
  <c r="N31" i="2"/>
  <c r="M31" i="2"/>
  <c r="L31" i="2"/>
  <c r="K31" i="2"/>
  <c r="J31" i="2"/>
  <c r="I31" i="2"/>
  <c r="H31" i="2"/>
  <c r="G31" i="2"/>
  <c r="F31" i="2"/>
  <c r="E31" i="2"/>
  <c r="B31" i="2"/>
  <c r="Z30" i="2"/>
  <c r="Y30" i="2"/>
  <c r="X30" i="2"/>
  <c r="V30" i="2"/>
  <c r="U30" i="2"/>
  <c r="T30" i="2"/>
  <c r="L30" i="2"/>
  <c r="J30" i="2"/>
  <c r="I30" i="2"/>
  <c r="H30" i="2"/>
  <c r="G30" i="2"/>
  <c r="F30" i="2"/>
  <c r="B30" i="2"/>
  <c r="AE30" i="2" s="1"/>
  <c r="AB29" i="2"/>
  <c r="AA29" i="2"/>
  <c r="Z29" i="2"/>
  <c r="Y29" i="2"/>
  <c r="X29" i="2"/>
  <c r="W29" i="2"/>
  <c r="U29" i="2"/>
  <c r="N29" i="2"/>
  <c r="M29" i="2"/>
  <c r="L29" i="2"/>
  <c r="K29" i="2"/>
  <c r="J29" i="2"/>
  <c r="I29" i="2"/>
  <c r="E29" i="2"/>
  <c r="B29" i="2"/>
  <c r="AF29" i="2" s="1"/>
  <c r="AE28" i="2"/>
  <c r="AC28" i="2"/>
  <c r="AB28" i="2"/>
  <c r="AA28" i="2"/>
  <c r="Z28" i="2"/>
  <c r="W28" i="2"/>
  <c r="V28" i="2"/>
  <c r="U28" i="2"/>
  <c r="P28" i="2"/>
  <c r="O28" i="2"/>
  <c r="N28" i="2"/>
  <c r="L28" i="2"/>
  <c r="J28" i="2"/>
  <c r="I28" i="2"/>
  <c r="H28" i="2"/>
  <c r="G28" i="2"/>
  <c r="B28" i="2"/>
  <c r="AE27" i="2"/>
  <c r="AB27" i="2"/>
  <c r="AA27" i="2"/>
  <c r="O27" i="2"/>
  <c r="N27" i="2"/>
  <c r="M27" i="2"/>
  <c r="B27" i="2"/>
  <c r="S26" i="2"/>
  <c r="R26" i="2"/>
  <c r="P26" i="2"/>
  <c r="B26" i="2"/>
  <c r="AG26" i="2" s="1"/>
  <c r="G25" i="2"/>
  <c r="E25" i="2"/>
  <c r="B25" i="2"/>
  <c r="AQ24" i="2"/>
  <c r="AD24" i="2"/>
  <c r="Q24" i="2"/>
  <c r="B24" i="2"/>
  <c r="AE23" i="2"/>
  <c r="AC23" i="2"/>
  <c r="AB23" i="2"/>
  <c r="AA23" i="2"/>
  <c r="Z23" i="2"/>
  <c r="Y23" i="2"/>
  <c r="X23" i="2"/>
  <c r="W23" i="2"/>
  <c r="P23" i="2"/>
  <c r="O23" i="2"/>
  <c r="N23" i="2"/>
  <c r="M23" i="2"/>
  <c r="L23" i="2"/>
  <c r="K23" i="2"/>
  <c r="J23" i="2"/>
  <c r="G23" i="2"/>
  <c r="B23" i="2"/>
  <c r="AQ22" i="2"/>
  <c r="AD22" i="2"/>
  <c r="Q22" i="2"/>
  <c r="B22" i="2"/>
  <c r="AG21" i="2"/>
  <c r="AE21" i="2"/>
  <c r="AC21" i="2"/>
  <c r="AB21" i="2"/>
  <c r="AA21" i="2"/>
  <c r="Z21" i="2"/>
  <c r="Y21" i="2"/>
  <c r="X21" i="2"/>
  <c r="W21" i="2"/>
  <c r="V21" i="2"/>
  <c r="U21" i="2"/>
  <c r="S21" i="2"/>
  <c r="R21" i="2"/>
  <c r="P21" i="2"/>
  <c r="O21" i="2"/>
  <c r="N21" i="2"/>
  <c r="M21" i="2"/>
  <c r="L21" i="2"/>
  <c r="K21" i="2"/>
  <c r="J21" i="2"/>
  <c r="I21" i="2"/>
  <c r="G21" i="2"/>
  <c r="F21" i="2"/>
  <c r="E21" i="2"/>
  <c r="B21" i="2"/>
  <c r="AG20" i="2"/>
  <c r="AB20" i="2"/>
  <c r="Z20" i="2"/>
  <c r="Y20" i="2"/>
  <c r="X20" i="2"/>
  <c r="W20" i="2"/>
  <c r="U20" i="2"/>
  <c r="S20" i="2"/>
  <c r="M20" i="2"/>
  <c r="L20" i="2"/>
  <c r="K20" i="2"/>
  <c r="J20" i="2"/>
  <c r="H20" i="2"/>
  <c r="G20" i="2"/>
  <c r="E20" i="2"/>
  <c r="B20" i="2"/>
  <c r="AE20" i="2" s="1"/>
  <c r="AP19" i="2"/>
  <c r="AO19" i="2"/>
  <c r="AN19" i="2"/>
  <c r="AM19" i="2"/>
  <c r="AL19" i="2"/>
  <c r="AK19" i="2"/>
  <c r="AJ19" i="2"/>
  <c r="AI19" i="2"/>
  <c r="AH19" i="2"/>
  <c r="B19" i="2"/>
  <c r="AQ18" i="2"/>
  <c r="AD18" i="2"/>
  <c r="Q18" i="2"/>
  <c r="B18" i="2"/>
  <c r="AP17" i="2"/>
  <c r="AK17" i="2"/>
  <c r="AJ17" i="2"/>
  <c r="AI17" i="2"/>
  <c r="B17" i="2"/>
  <c r="AQ16" i="2"/>
  <c r="AD16" i="2"/>
  <c r="Q16" i="2"/>
  <c r="B16" i="2"/>
  <c r="AG15" i="2"/>
  <c r="AG13" i="2" s="1"/>
  <c r="B15" i="2"/>
  <c r="AQ14" i="2"/>
  <c r="AD14" i="2"/>
  <c r="Q14" i="2"/>
  <c r="B14" i="2"/>
  <c r="AP13" i="2"/>
  <c r="AO13" i="2"/>
  <c r="AN13" i="2"/>
  <c r="AM13" i="2"/>
  <c r="AL13" i="2"/>
  <c r="AK13" i="2"/>
  <c r="AJ13" i="2"/>
  <c r="AI13" i="2"/>
  <c r="AH13" i="2"/>
  <c r="B13" i="2"/>
  <c r="AQ12" i="2"/>
  <c r="AD12" i="2"/>
  <c r="Q12" i="2"/>
  <c r="B12" i="2"/>
  <c r="B11" i="2"/>
  <c r="B10" i="2"/>
  <c r="B9" i="2"/>
  <c r="B8" i="2"/>
  <c r="B7" i="2"/>
  <c r="AG6" i="2"/>
  <c r="AF6" i="2"/>
  <c r="AB6" i="2"/>
  <c r="Z6" i="2"/>
  <c r="Y6" i="2"/>
  <c r="X6" i="2"/>
  <c r="W6" i="2"/>
  <c r="V6" i="2"/>
  <c r="U6" i="2"/>
  <c r="T6" i="2"/>
  <c r="S6" i="2"/>
  <c r="P6" i="2"/>
  <c r="N6" i="2"/>
  <c r="M6" i="2"/>
  <c r="L6" i="2"/>
  <c r="K6" i="2"/>
  <c r="J6" i="2"/>
  <c r="I6" i="2"/>
  <c r="H6" i="2"/>
  <c r="G6" i="2"/>
  <c r="F6" i="2"/>
  <c r="B6" i="2"/>
  <c r="AC6" i="2" s="1"/>
  <c r="AP5" i="2"/>
  <c r="AP53" i="2" s="1"/>
  <c r="AP75" i="2" s="1"/>
  <c r="AP79" i="2" s="1"/>
  <c r="AO5" i="2"/>
  <c r="AO17" i="2" s="1"/>
  <c r="AN5" i="2"/>
  <c r="AN53" i="2" s="1"/>
  <c r="AN75" i="2" s="1"/>
  <c r="AN79" i="2" s="1"/>
  <c r="AM5" i="2"/>
  <c r="AL5" i="2"/>
  <c r="AL53" i="2" s="1"/>
  <c r="AL75" i="2" s="1"/>
  <c r="AL79" i="2" s="1"/>
  <c r="AK5" i="2"/>
  <c r="AK53" i="2" s="1"/>
  <c r="AK75" i="2" s="1"/>
  <c r="AK79" i="2" s="1"/>
  <c r="AJ5" i="2"/>
  <c r="AI5" i="2"/>
  <c r="AH5" i="2"/>
  <c r="AP3" i="2"/>
  <c r="AO3" i="2"/>
  <c r="AN3" i="2"/>
  <c r="AM3" i="2"/>
  <c r="AL3" i="2"/>
  <c r="AK3" i="2"/>
  <c r="AJ3" i="2"/>
  <c r="AI3" i="2"/>
  <c r="AH3" i="2"/>
  <c r="AG3" i="2"/>
  <c r="AF3" i="2"/>
  <c r="AE3" i="2"/>
  <c r="AC3" i="2"/>
  <c r="AB3" i="2"/>
  <c r="AA3" i="2"/>
  <c r="Z3" i="2"/>
  <c r="Y3" i="2"/>
  <c r="X3" i="2"/>
  <c r="W3" i="2"/>
  <c r="V3" i="2"/>
  <c r="U3" i="2"/>
  <c r="T3" i="2"/>
  <c r="S3" i="2"/>
  <c r="R3" i="2"/>
  <c r="P3" i="2"/>
  <c r="O3" i="2"/>
  <c r="N3" i="2"/>
  <c r="M3" i="2"/>
  <c r="L3" i="2"/>
  <c r="K3" i="2"/>
  <c r="J3" i="2"/>
  <c r="I3" i="2"/>
  <c r="H3" i="2"/>
  <c r="G3" i="2"/>
  <c r="F3" i="2"/>
  <c r="E3" i="2"/>
  <c r="B116" i="1"/>
  <c r="B115" i="1"/>
  <c r="B114" i="1"/>
  <c r="M113" i="1"/>
  <c r="B113" i="1"/>
  <c r="AK112" i="1"/>
  <c r="AL112" i="1" s="1"/>
  <c r="AM112" i="1" s="1"/>
  <c r="AN112" i="1" s="1"/>
  <c r="AO112" i="1" s="1"/>
  <c r="AP112" i="1" s="1"/>
  <c r="AQ112" i="1" s="1"/>
  <c r="AR112" i="1" s="1"/>
  <c r="AS112" i="1" s="1"/>
  <c r="AT112" i="1" s="1"/>
  <c r="AU112" i="1" s="1"/>
  <c r="AV112" i="1" s="1"/>
  <c r="M112" i="1"/>
  <c r="N112" i="1" s="1"/>
  <c r="O112" i="1" s="1"/>
  <c r="P112" i="1" s="1"/>
  <c r="Q112" i="1" s="1"/>
  <c r="R112" i="1" s="1"/>
  <c r="S112" i="1" s="1"/>
  <c r="T112" i="1" s="1"/>
  <c r="U112" i="1" s="1"/>
  <c r="V112" i="1" s="1"/>
  <c r="W112" i="1" s="1"/>
  <c r="X112" i="1" s="1"/>
  <c r="Y112" i="1" s="1"/>
  <c r="Z112" i="1" s="1"/>
  <c r="AA112" i="1" s="1"/>
  <c r="AB112" i="1" s="1"/>
  <c r="AC112" i="1" s="1"/>
  <c r="AD112" i="1" s="1"/>
  <c r="AE112" i="1" s="1"/>
  <c r="AF112" i="1" s="1"/>
  <c r="AG112" i="1" s="1"/>
  <c r="AH112" i="1" s="1"/>
  <c r="AI112" i="1" s="1"/>
  <c r="AJ112" i="1" s="1"/>
  <c r="L112" i="1"/>
  <c r="B112" i="1"/>
  <c r="M111" i="1"/>
  <c r="N111" i="1" s="1"/>
  <c r="O111" i="1" s="1"/>
  <c r="P111" i="1" s="1"/>
  <c r="Q111" i="1" s="1"/>
  <c r="R111" i="1" s="1"/>
  <c r="S111" i="1" s="1"/>
  <c r="T111" i="1" s="1"/>
  <c r="U111" i="1" s="1"/>
  <c r="V111" i="1" s="1"/>
  <c r="W111" i="1" s="1"/>
  <c r="X111" i="1" s="1"/>
  <c r="Y111" i="1" s="1"/>
  <c r="Z111" i="1" s="1"/>
  <c r="AA111" i="1" s="1"/>
  <c r="AB111" i="1" s="1"/>
  <c r="AC111" i="1" s="1"/>
  <c r="AD111" i="1" s="1"/>
  <c r="AE111" i="1" s="1"/>
  <c r="AF111" i="1" s="1"/>
  <c r="AG111" i="1" s="1"/>
  <c r="AH111" i="1" s="1"/>
  <c r="AI111" i="1" s="1"/>
  <c r="AJ111" i="1" s="1"/>
  <c r="AK111" i="1" s="1"/>
  <c r="AL111" i="1" s="1"/>
  <c r="AM111" i="1" s="1"/>
  <c r="AN111" i="1" s="1"/>
  <c r="AO111" i="1" s="1"/>
  <c r="AP111" i="1" s="1"/>
  <c r="AQ111" i="1" s="1"/>
  <c r="AR111" i="1" s="1"/>
  <c r="AS111" i="1" s="1"/>
  <c r="AT111" i="1" s="1"/>
  <c r="AU111" i="1" s="1"/>
  <c r="AV111" i="1" s="1"/>
  <c r="L111" i="1"/>
  <c r="B111" i="1"/>
  <c r="O110" i="1"/>
  <c r="P110" i="1" s="1"/>
  <c r="Q110" i="1" s="1"/>
  <c r="R110" i="1" s="1"/>
  <c r="S110" i="1" s="1"/>
  <c r="T110" i="1" s="1"/>
  <c r="U110" i="1" s="1"/>
  <c r="V110" i="1" s="1"/>
  <c r="W110" i="1" s="1"/>
  <c r="X110" i="1" s="1"/>
  <c r="Y110" i="1" s="1"/>
  <c r="Z110" i="1" s="1"/>
  <c r="AA110" i="1" s="1"/>
  <c r="AB110" i="1" s="1"/>
  <c r="AC110" i="1" s="1"/>
  <c r="AD110" i="1" s="1"/>
  <c r="AE110" i="1" s="1"/>
  <c r="AF110" i="1" s="1"/>
  <c r="AG110" i="1" s="1"/>
  <c r="AH110" i="1" s="1"/>
  <c r="AI110" i="1" s="1"/>
  <c r="AJ110" i="1" s="1"/>
  <c r="AK110" i="1" s="1"/>
  <c r="AL110" i="1" s="1"/>
  <c r="AM110" i="1" s="1"/>
  <c r="AN110" i="1" s="1"/>
  <c r="AO110" i="1" s="1"/>
  <c r="AP110" i="1" s="1"/>
  <c r="AQ110" i="1" s="1"/>
  <c r="AR110" i="1" s="1"/>
  <c r="AS110" i="1" s="1"/>
  <c r="AT110" i="1" s="1"/>
  <c r="AU110" i="1" s="1"/>
  <c r="AV110" i="1" s="1"/>
  <c r="L110" i="1"/>
  <c r="M110" i="1" s="1"/>
  <c r="N110" i="1" s="1"/>
  <c r="B110" i="1"/>
  <c r="L109" i="1"/>
  <c r="M109" i="1" s="1"/>
  <c r="N109" i="1" s="1"/>
  <c r="O109" i="1" s="1"/>
  <c r="P109" i="1" s="1"/>
  <c r="Q109" i="1" s="1"/>
  <c r="R109" i="1" s="1"/>
  <c r="S109" i="1" s="1"/>
  <c r="T109" i="1" s="1"/>
  <c r="U109" i="1" s="1"/>
  <c r="V109" i="1" s="1"/>
  <c r="W109" i="1" s="1"/>
  <c r="X109" i="1" s="1"/>
  <c r="Y109" i="1" s="1"/>
  <c r="Z109" i="1" s="1"/>
  <c r="AA109" i="1" s="1"/>
  <c r="AB109" i="1" s="1"/>
  <c r="AC109" i="1" s="1"/>
  <c r="AD109" i="1" s="1"/>
  <c r="AE109" i="1" s="1"/>
  <c r="AF109" i="1" s="1"/>
  <c r="AG109" i="1" s="1"/>
  <c r="AH109" i="1" s="1"/>
  <c r="AI109" i="1" s="1"/>
  <c r="AJ109" i="1" s="1"/>
  <c r="AK109" i="1" s="1"/>
  <c r="AL109" i="1" s="1"/>
  <c r="AM109" i="1" s="1"/>
  <c r="AN109" i="1" s="1"/>
  <c r="AO109" i="1" s="1"/>
  <c r="AP109" i="1" s="1"/>
  <c r="AQ109" i="1" s="1"/>
  <c r="AR109" i="1" s="1"/>
  <c r="AS109" i="1" s="1"/>
  <c r="AT109" i="1" s="1"/>
  <c r="AU109" i="1" s="1"/>
  <c r="AV109" i="1" s="1"/>
  <c r="B109" i="1"/>
  <c r="AB108" i="1"/>
  <c r="AC108" i="1" s="1"/>
  <c r="AD108" i="1" s="1"/>
  <c r="AE108" i="1" s="1"/>
  <c r="AF108" i="1" s="1"/>
  <c r="AG108" i="1" s="1"/>
  <c r="AH108" i="1" s="1"/>
  <c r="AI108" i="1" s="1"/>
  <c r="AJ108" i="1" s="1"/>
  <c r="AK108" i="1" s="1"/>
  <c r="AL108" i="1" s="1"/>
  <c r="AM108" i="1" s="1"/>
  <c r="AN108" i="1" s="1"/>
  <c r="AO108" i="1" s="1"/>
  <c r="AP108" i="1" s="1"/>
  <c r="AQ108" i="1" s="1"/>
  <c r="AR108" i="1" s="1"/>
  <c r="AS108" i="1" s="1"/>
  <c r="AT108" i="1" s="1"/>
  <c r="AU108" i="1" s="1"/>
  <c r="AV108" i="1" s="1"/>
  <c r="Z108" i="1"/>
  <c r="AA108" i="1" s="1"/>
  <c r="Y108" i="1"/>
  <c r="N108" i="1"/>
  <c r="O108" i="1" s="1"/>
  <c r="P108" i="1" s="1"/>
  <c r="Q108" i="1" s="1"/>
  <c r="L107" i="1"/>
  <c r="M107" i="1" s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X107" i="1" s="1"/>
  <c r="Y107" i="1" s="1"/>
  <c r="Z107" i="1" s="1"/>
  <c r="AA107" i="1" s="1"/>
  <c r="AB107" i="1" s="1"/>
  <c r="AC107" i="1" s="1"/>
  <c r="AD107" i="1" s="1"/>
  <c r="AE107" i="1" s="1"/>
  <c r="AF107" i="1" s="1"/>
  <c r="AG107" i="1" s="1"/>
  <c r="AH107" i="1" s="1"/>
  <c r="AI107" i="1" s="1"/>
  <c r="AJ107" i="1" s="1"/>
  <c r="AK107" i="1" s="1"/>
  <c r="AL107" i="1" s="1"/>
  <c r="AM107" i="1" s="1"/>
  <c r="AN107" i="1" s="1"/>
  <c r="AO107" i="1" s="1"/>
  <c r="AP107" i="1" s="1"/>
  <c r="AQ107" i="1" s="1"/>
  <c r="AR107" i="1" s="1"/>
  <c r="AS107" i="1" s="1"/>
  <c r="AT107" i="1" s="1"/>
  <c r="AU107" i="1" s="1"/>
  <c r="AV107" i="1" s="1"/>
  <c r="B107" i="1"/>
  <c r="Q106" i="1"/>
  <c r="R106" i="1" s="1"/>
  <c r="S106" i="1" s="1"/>
  <c r="T106" i="1" s="1"/>
  <c r="U106" i="1" s="1"/>
  <c r="V106" i="1" s="1"/>
  <c r="W106" i="1" s="1"/>
  <c r="X106" i="1" s="1"/>
  <c r="Y106" i="1" s="1"/>
  <c r="Z106" i="1" s="1"/>
  <c r="AA106" i="1" s="1"/>
  <c r="AB106" i="1" s="1"/>
  <c r="AC106" i="1" s="1"/>
  <c r="AD106" i="1" s="1"/>
  <c r="AE106" i="1" s="1"/>
  <c r="AF106" i="1" s="1"/>
  <c r="AG106" i="1" s="1"/>
  <c r="AH106" i="1" s="1"/>
  <c r="AI106" i="1" s="1"/>
  <c r="AJ106" i="1" s="1"/>
  <c r="AK106" i="1" s="1"/>
  <c r="AL106" i="1" s="1"/>
  <c r="AM106" i="1" s="1"/>
  <c r="AN106" i="1" s="1"/>
  <c r="AO106" i="1" s="1"/>
  <c r="AP106" i="1" s="1"/>
  <c r="AQ106" i="1" s="1"/>
  <c r="AR106" i="1" s="1"/>
  <c r="AS106" i="1" s="1"/>
  <c r="AT106" i="1" s="1"/>
  <c r="AU106" i="1" s="1"/>
  <c r="AV106" i="1" s="1"/>
  <c r="N106" i="1"/>
  <c r="O106" i="1" s="1"/>
  <c r="P106" i="1" s="1"/>
  <c r="M106" i="1"/>
  <c r="L106" i="1"/>
  <c r="B106" i="1"/>
  <c r="X105" i="1"/>
  <c r="Y105" i="1" s="1"/>
  <c r="Z105" i="1" s="1"/>
  <c r="AA105" i="1" s="1"/>
  <c r="AB105" i="1" s="1"/>
  <c r="AC105" i="1" s="1"/>
  <c r="AD105" i="1" s="1"/>
  <c r="AE105" i="1" s="1"/>
  <c r="AF105" i="1" s="1"/>
  <c r="AG105" i="1" s="1"/>
  <c r="AH105" i="1" s="1"/>
  <c r="AI105" i="1" s="1"/>
  <c r="AJ105" i="1" s="1"/>
  <c r="AK105" i="1" s="1"/>
  <c r="AL105" i="1" s="1"/>
  <c r="AM105" i="1" s="1"/>
  <c r="AN105" i="1" s="1"/>
  <c r="AO105" i="1" s="1"/>
  <c r="AP105" i="1" s="1"/>
  <c r="AQ105" i="1" s="1"/>
  <c r="AR105" i="1" s="1"/>
  <c r="AS105" i="1" s="1"/>
  <c r="AT105" i="1" s="1"/>
  <c r="AU105" i="1" s="1"/>
  <c r="AV105" i="1" s="1"/>
  <c r="N105" i="1"/>
  <c r="O105" i="1" s="1"/>
  <c r="P105" i="1" s="1"/>
  <c r="Q105" i="1" s="1"/>
  <c r="R105" i="1" s="1"/>
  <c r="S105" i="1" s="1"/>
  <c r="T105" i="1" s="1"/>
  <c r="U105" i="1" s="1"/>
  <c r="V105" i="1" s="1"/>
  <c r="W105" i="1" s="1"/>
  <c r="L105" i="1"/>
  <c r="M105" i="1" s="1"/>
  <c r="B105" i="1"/>
  <c r="L104" i="1"/>
  <c r="M104" i="1" s="1"/>
  <c r="N104" i="1" s="1"/>
  <c r="O104" i="1" s="1"/>
  <c r="P104" i="1" s="1"/>
  <c r="Q104" i="1" s="1"/>
  <c r="R104" i="1" s="1"/>
  <c r="S104" i="1" s="1"/>
  <c r="T104" i="1" s="1"/>
  <c r="U104" i="1" s="1"/>
  <c r="V104" i="1" s="1"/>
  <c r="W104" i="1" s="1"/>
  <c r="X104" i="1" s="1"/>
  <c r="Y104" i="1" s="1"/>
  <c r="Z104" i="1" s="1"/>
  <c r="AA104" i="1" s="1"/>
  <c r="AB104" i="1" s="1"/>
  <c r="AC104" i="1" s="1"/>
  <c r="AD104" i="1" s="1"/>
  <c r="AE104" i="1" s="1"/>
  <c r="AF104" i="1" s="1"/>
  <c r="AG104" i="1" s="1"/>
  <c r="AH104" i="1" s="1"/>
  <c r="AI104" i="1" s="1"/>
  <c r="AJ104" i="1" s="1"/>
  <c r="AK104" i="1" s="1"/>
  <c r="AL104" i="1" s="1"/>
  <c r="AM104" i="1" s="1"/>
  <c r="AN104" i="1" s="1"/>
  <c r="AO104" i="1" s="1"/>
  <c r="AP104" i="1" s="1"/>
  <c r="AQ104" i="1" s="1"/>
  <c r="AR104" i="1" s="1"/>
  <c r="AS104" i="1" s="1"/>
  <c r="AT104" i="1" s="1"/>
  <c r="AU104" i="1" s="1"/>
  <c r="AV104" i="1" s="1"/>
  <c r="B104" i="1"/>
  <c r="M103" i="1"/>
  <c r="N103" i="1" s="1"/>
  <c r="O103" i="1" s="1"/>
  <c r="P103" i="1" s="1"/>
  <c r="Q103" i="1" s="1"/>
  <c r="R103" i="1" s="1"/>
  <c r="S103" i="1" s="1"/>
  <c r="T103" i="1" s="1"/>
  <c r="U103" i="1" s="1"/>
  <c r="V103" i="1" s="1"/>
  <c r="W103" i="1" s="1"/>
  <c r="X103" i="1" s="1"/>
  <c r="Y103" i="1" s="1"/>
  <c r="Z103" i="1" s="1"/>
  <c r="AA103" i="1" s="1"/>
  <c r="AB103" i="1" s="1"/>
  <c r="AC103" i="1" s="1"/>
  <c r="AD103" i="1" s="1"/>
  <c r="AE103" i="1" s="1"/>
  <c r="AF103" i="1" s="1"/>
  <c r="AG103" i="1" s="1"/>
  <c r="AH103" i="1" s="1"/>
  <c r="AI103" i="1" s="1"/>
  <c r="AJ103" i="1" s="1"/>
  <c r="AK103" i="1" s="1"/>
  <c r="AL103" i="1" s="1"/>
  <c r="AM103" i="1" s="1"/>
  <c r="AN103" i="1" s="1"/>
  <c r="AO103" i="1" s="1"/>
  <c r="AP103" i="1" s="1"/>
  <c r="AQ103" i="1" s="1"/>
  <c r="AR103" i="1" s="1"/>
  <c r="AS103" i="1" s="1"/>
  <c r="AT103" i="1" s="1"/>
  <c r="AU103" i="1" s="1"/>
  <c r="AV103" i="1" s="1"/>
  <c r="L103" i="1"/>
  <c r="B103" i="1"/>
  <c r="N102" i="1"/>
  <c r="O102" i="1" s="1"/>
  <c r="P102" i="1" s="1"/>
  <c r="Q102" i="1" s="1"/>
  <c r="R102" i="1" s="1"/>
  <c r="S102" i="1" s="1"/>
  <c r="T102" i="1" s="1"/>
  <c r="U102" i="1" s="1"/>
  <c r="V102" i="1" s="1"/>
  <c r="W102" i="1" s="1"/>
  <c r="X102" i="1" s="1"/>
  <c r="Y102" i="1" s="1"/>
  <c r="Z102" i="1" s="1"/>
  <c r="AA102" i="1" s="1"/>
  <c r="AB102" i="1" s="1"/>
  <c r="AC102" i="1" s="1"/>
  <c r="AD102" i="1" s="1"/>
  <c r="AE102" i="1" s="1"/>
  <c r="AF102" i="1" s="1"/>
  <c r="AG102" i="1" s="1"/>
  <c r="AH102" i="1" s="1"/>
  <c r="AI102" i="1" s="1"/>
  <c r="AJ102" i="1" s="1"/>
  <c r="AK102" i="1" s="1"/>
  <c r="AL102" i="1" s="1"/>
  <c r="AM102" i="1" s="1"/>
  <c r="AN102" i="1" s="1"/>
  <c r="AO102" i="1" s="1"/>
  <c r="AP102" i="1" s="1"/>
  <c r="AQ102" i="1" s="1"/>
  <c r="AR102" i="1" s="1"/>
  <c r="AS102" i="1" s="1"/>
  <c r="AT102" i="1" s="1"/>
  <c r="AU102" i="1" s="1"/>
  <c r="AV102" i="1" s="1"/>
  <c r="L102" i="1"/>
  <c r="M102" i="1" s="1"/>
  <c r="B102" i="1"/>
  <c r="M101" i="1"/>
  <c r="N101" i="1" s="1"/>
  <c r="O101" i="1" s="1"/>
  <c r="P101" i="1" s="1"/>
  <c r="Q101" i="1" s="1"/>
  <c r="R101" i="1" s="1"/>
  <c r="S101" i="1" s="1"/>
  <c r="T101" i="1" s="1"/>
  <c r="U101" i="1" s="1"/>
  <c r="V101" i="1" s="1"/>
  <c r="W101" i="1" s="1"/>
  <c r="X101" i="1" s="1"/>
  <c r="Y101" i="1" s="1"/>
  <c r="Z101" i="1" s="1"/>
  <c r="AA101" i="1" s="1"/>
  <c r="AB101" i="1" s="1"/>
  <c r="AC101" i="1" s="1"/>
  <c r="AD101" i="1" s="1"/>
  <c r="AE101" i="1" s="1"/>
  <c r="AF101" i="1" s="1"/>
  <c r="AG101" i="1" s="1"/>
  <c r="AH101" i="1" s="1"/>
  <c r="AI101" i="1" s="1"/>
  <c r="AJ101" i="1" s="1"/>
  <c r="AK101" i="1" s="1"/>
  <c r="AL101" i="1" s="1"/>
  <c r="AM101" i="1" s="1"/>
  <c r="AN101" i="1" s="1"/>
  <c r="AO101" i="1" s="1"/>
  <c r="AP101" i="1" s="1"/>
  <c r="AQ101" i="1" s="1"/>
  <c r="AR101" i="1" s="1"/>
  <c r="AS101" i="1" s="1"/>
  <c r="AT101" i="1" s="1"/>
  <c r="AU101" i="1" s="1"/>
  <c r="AV101" i="1" s="1"/>
  <c r="L101" i="1"/>
  <c r="B101" i="1"/>
  <c r="L100" i="1"/>
  <c r="M100" i="1" s="1"/>
  <c r="N100" i="1" s="1"/>
  <c r="O100" i="1" s="1"/>
  <c r="P100" i="1" s="1"/>
  <c r="Q100" i="1" s="1"/>
  <c r="R100" i="1" s="1"/>
  <c r="S100" i="1" s="1"/>
  <c r="T100" i="1" s="1"/>
  <c r="U100" i="1" s="1"/>
  <c r="V100" i="1" s="1"/>
  <c r="W100" i="1" s="1"/>
  <c r="X100" i="1" s="1"/>
  <c r="Y100" i="1" s="1"/>
  <c r="Z100" i="1" s="1"/>
  <c r="AA100" i="1" s="1"/>
  <c r="AB100" i="1" s="1"/>
  <c r="AC100" i="1" s="1"/>
  <c r="AD100" i="1" s="1"/>
  <c r="AE100" i="1" s="1"/>
  <c r="AF100" i="1" s="1"/>
  <c r="AG100" i="1" s="1"/>
  <c r="AH100" i="1" s="1"/>
  <c r="AI100" i="1" s="1"/>
  <c r="AJ100" i="1" s="1"/>
  <c r="AK100" i="1" s="1"/>
  <c r="AL100" i="1" s="1"/>
  <c r="AM100" i="1" s="1"/>
  <c r="AN100" i="1" s="1"/>
  <c r="AO100" i="1" s="1"/>
  <c r="AP100" i="1" s="1"/>
  <c r="AQ100" i="1" s="1"/>
  <c r="AR100" i="1" s="1"/>
  <c r="AS100" i="1" s="1"/>
  <c r="AT100" i="1" s="1"/>
  <c r="AU100" i="1" s="1"/>
  <c r="AV100" i="1" s="1"/>
  <c r="B100" i="1"/>
  <c r="P99" i="1"/>
  <c r="Q99" i="1" s="1"/>
  <c r="R99" i="1" s="1"/>
  <c r="S99" i="1" s="1"/>
  <c r="T99" i="1" s="1"/>
  <c r="U99" i="1" s="1"/>
  <c r="V99" i="1" s="1"/>
  <c r="W99" i="1" s="1"/>
  <c r="X99" i="1" s="1"/>
  <c r="Y99" i="1" s="1"/>
  <c r="Z99" i="1" s="1"/>
  <c r="AA99" i="1" s="1"/>
  <c r="AB99" i="1" s="1"/>
  <c r="AC99" i="1" s="1"/>
  <c r="AD99" i="1" s="1"/>
  <c r="AE99" i="1" s="1"/>
  <c r="AF99" i="1" s="1"/>
  <c r="AG99" i="1" s="1"/>
  <c r="AH99" i="1" s="1"/>
  <c r="AI99" i="1" s="1"/>
  <c r="AJ99" i="1" s="1"/>
  <c r="AK99" i="1" s="1"/>
  <c r="AL99" i="1" s="1"/>
  <c r="AM99" i="1" s="1"/>
  <c r="AN99" i="1" s="1"/>
  <c r="AO99" i="1" s="1"/>
  <c r="AP99" i="1" s="1"/>
  <c r="AQ99" i="1" s="1"/>
  <c r="AR99" i="1" s="1"/>
  <c r="AS99" i="1" s="1"/>
  <c r="AT99" i="1" s="1"/>
  <c r="AU99" i="1" s="1"/>
  <c r="AV99" i="1" s="1"/>
  <c r="L99" i="1"/>
  <c r="M99" i="1" s="1"/>
  <c r="N99" i="1" s="1"/>
  <c r="O99" i="1" s="1"/>
  <c r="B99" i="1"/>
  <c r="AJ98" i="1"/>
  <c r="AK98" i="1" s="1"/>
  <c r="AL98" i="1" s="1"/>
  <c r="AM98" i="1" s="1"/>
  <c r="AN98" i="1" s="1"/>
  <c r="AO98" i="1" s="1"/>
  <c r="AP98" i="1" s="1"/>
  <c r="AQ98" i="1" s="1"/>
  <c r="AR98" i="1" s="1"/>
  <c r="AS98" i="1" s="1"/>
  <c r="AT98" i="1" s="1"/>
  <c r="AU98" i="1" s="1"/>
  <c r="AV98" i="1" s="1"/>
  <c r="L98" i="1"/>
  <c r="M98" i="1" s="1"/>
  <c r="N98" i="1" s="1"/>
  <c r="O98" i="1" s="1"/>
  <c r="P98" i="1" s="1"/>
  <c r="Q98" i="1" s="1"/>
  <c r="R98" i="1" s="1"/>
  <c r="S98" i="1" s="1"/>
  <c r="T98" i="1" s="1"/>
  <c r="U98" i="1" s="1"/>
  <c r="V98" i="1" s="1"/>
  <c r="W98" i="1" s="1"/>
  <c r="X98" i="1" s="1"/>
  <c r="Y98" i="1" s="1"/>
  <c r="Z98" i="1" s="1"/>
  <c r="AA98" i="1" s="1"/>
  <c r="AB98" i="1" s="1"/>
  <c r="AC98" i="1" s="1"/>
  <c r="AD98" i="1" s="1"/>
  <c r="AE98" i="1" s="1"/>
  <c r="AF98" i="1" s="1"/>
  <c r="AG98" i="1" s="1"/>
  <c r="AH98" i="1" s="1"/>
  <c r="AI98" i="1" s="1"/>
  <c r="B98" i="1"/>
  <c r="P97" i="1"/>
  <c r="Q97" i="1" s="1"/>
  <c r="R97" i="1" s="1"/>
  <c r="S97" i="1" s="1"/>
  <c r="T97" i="1" s="1"/>
  <c r="U97" i="1" s="1"/>
  <c r="V97" i="1" s="1"/>
  <c r="W97" i="1" s="1"/>
  <c r="X97" i="1" s="1"/>
  <c r="Y97" i="1" s="1"/>
  <c r="Z97" i="1" s="1"/>
  <c r="AA97" i="1" s="1"/>
  <c r="AB97" i="1" s="1"/>
  <c r="AC97" i="1" s="1"/>
  <c r="AD97" i="1" s="1"/>
  <c r="AE97" i="1" s="1"/>
  <c r="AF97" i="1" s="1"/>
  <c r="AG97" i="1" s="1"/>
  <c r="AH97" i="1" s="1"/>
  <c r="AI97" i="1" s="1"/>
  <c r="AJ97" i="1" s="1"/>
  <c r="AK97" i="1" s="1"/>
  <c r="AL97" i="1" s="1"/>
  <c r="AM97" i="1" s="1"/>
  <c r="AN97" i="1" s="1"/>
  <c r="AO97" i="1" s="1"/>
  <c r="AP97" i="1" s="1"/>
  <c r="AQ97" i="1" s="1"/>
  <c r="AR97" i="1" s="1"/>
  <c r="AS97" i="1" s="1"/>
  <c r="AT97" i="1" s="1"/>
  <c r="AU97" i="1" s="1"/>
  <c r="AV97" i="1" s="1"/>
  <c r="M97" i="1"/>
  <c r="N97" i="1" s="1"/>
  <c r="O97" i="1" s="1"/>
  <c r="L97" i="1"/>
  <c r="B97" i="1"/>
  <c r="O96" i="1"/>
  <c r="P96" i="1" s="1"/>
  <c r="Q96" i="1" s="1"/>
  <c r="R96" i="1" s="1"/>
  <c r="S96" i="1" s="1"/>
  <c r="T96" i="1" s="1"/>
  <c r="U96" i="1" s="1"/>
  <c r="V96" i="1" s="1"/>
  <c r="W96" i="1" s="1"/>
  <c r="X96" i="1" s="1"/>
  <c r="Y96" i="1" s="1"/>
  <c r="Z96" i="1" s="1"/>
  <c r="AA96" i="1" s="1"/>
  <c r="AB96" i="1" s="1"/>
  <c r="AC96" i="1" s="1"/>
  <c r="AD96" i="1" s="1"/>
  <c r="AE96" i="1" s="1"/>
  <c r="AF96" i="1" s="1"/>
  <c r="AG96" i="1" s="1"/>
  <c r="AH96" i="1" s="1"/>
  <c r="AI96" i="1" s="1"/>
  <c r="AJ96" i="1" s="1"/>
  <c r="AK96" i="1" s="1"/>
  <c r="AL96" i="1" s="1"/>
  <c r="AM96" i="1" s="1"/>
  <c r="AN96" i="1" s="1"/>
  <c r="AO96" i="1" s="1"/>
  <c r="AP96" i="1" s="1"/>
  <c r="AQ96" i="1" s="1"/>
  <c r="AR96" i="1" s="1"/>
  <c r="AS96" i="1" s="1"/>
  <c r="AT96" i="1" s="1"/>
  <c r="AU96" i="1" s="1"/>
  <c r="AV96" i="1" s="1"/>
  <c r="L96" i="1"/>
  <c r="M96" i="1" s="1"/>
  <c r="N96" i="1" s="1"/>
  <c r="B96" i="1"/>
  <c r="T95" i="1"/>
  <c r="U95" i="1" s="1"/>
  <c r="V95" i="1" s="1"/>
  <c r="W95" i="1" s="1"/>
  <c r="X95" i="1" s="1"/>
  <c r="Y95" i="1" s="1"/>
  <c r="Z95" i="1" s="1"/>
  <c r="AA95" i="1" s="1"/>
  <c r="AB95" i="1" s="1"/>
  <c r="AC95" i="1" s="1"/>
  <c r="AD95" i="1" s="1"/>
  <c r="AE95" i="1" s="1"/>
  <c r="AF95" i="1" s="1"/>
  <c r="AG95" i="1" s="1"/>
  <c r="AH95" i="1" s="1"/>
  <c r="AI95" i="1" s="1"/>
  <c r="AJ95" i="1" s="1"/>
  <c r="AK95" i="1" s="1"/>
  <c r="AL95" i="1" s="1"/>
  <c r="AM95" i="1" s="1"/>
  <c r="AN95" i="1" s="1"/>
  <c r="AO95" i="1" s="1"/>
  <c r="AP95" i="1" s="1"/>
  <c r="AQ95" i="1" s="1"/>
  <c r="AR95" i="1" s="1"/>
  <c r="AS95" i="1" s="1"/>
  <c r="AT95" i="1" s="1"/>
  <c r="AU95" i="1" s="1"/>
  <c r="AV95" i="1" s="1"/>
  <c r="R95" i="1"/>
  <c r="S95" i="1" s="1"/>
  <c r="M95" i="1"/>
  <c r="N95" i="1" s="1"/>
  <c r="O95" i="1" s="1"/>
  <c r="P95" i="1" s="1"/>
  <c r="Q95" i="1" s="1"/>
  <c r="L95" i="1"/>
  <c r="B95" i="1"/>
  <c r="L94" i="1"/>
  <c r="M94" i="1" s="1"/>
  <c r="N94" i="1" s="1"/>
  <c r="O94" i="1" s="1"/>
  <c r="P94" i="1" s="1"/>
  <c r="Q94" i="1" s="1"/>
  <c r="R94" i="1" s="1"/>
  <c r="S94" i="1" s="1"/>
  <c r="T94" i="1" s="1"/>
  <c r="U94" i="1" s="1"/>
  <c r="V94" i="1" s="1"/>
  <c r="W94" i="1" s="1"/>
  <c r="X94" i="1" s="1"/>
  <c r="Y94" i="1" s="1"/>
  <c r="Z94" i="1" s="1"/>
  <c r="AA94" i="1" s="1"/>
  <c r="AB94" i="1" s="1"/>
  <c r="AC94" i="1" s="1"/>
  <c r="AD94" i="1" s="1"/>
  <c r="AE94" i="1" s="1"/>
  <c r="AF94" i="1" s="1"/>
  <c r="AG94" i="1" s="1"/>
  <c r="AH94" i="1" s="1"/>
  <c r="AI94" i="1" s="1"/>
  <c r="AJ94" i="1" s="1"/>
  <c r="AK94" i="1" s="1"/>
  <c r="AL94" i="1" s="1"/>
  <c r="AM94" i="1" s="1"/>
  <c r="AN94" i="1" s="1"/>
  <c r="AO94" i="1" s="1"/>
  <c r="AP94" i="1" s="1"/>
  <c r="AQ94" i="1" s="1"/>
  <c r="AR94" i="1" s="1"/>
  <c r="AS94" i="1" s="1"/>
  <c r="AT94" i="1" s="1"/>
  <c r="AU94" i="1" s="1"/>
  <c r="AV94" i="1" s="1"/>
  <c r="B94" i="1"/>
  <c r="W93" i="1"/>
  <c r="X93" i="1" s="1"/>
  <c r="Y93" i="1" s="1"/>
  <c r="Z93" i="1" s="1"/>
  <c r="AA93" i="1" s="1"/>
  <c r="AB93" i="1" s="1"/>
  <c r="AC93" i="1" s="1"/>
  <c r="AD93" i="1" s="1"/>
  <c r="AE93" i="1" s="1"/>
  <c r="AF93" i="1" s="1"/>
  <c r="AG93" i="1" s="1"/>
  <c r="AH93" i="1" s="1"/>
  <c r="AI93" i="1" s="1"/>
  <c r="AJ93" i="1" s="1"/>
  <c r="AK93" i="1" s="1"/>
  <c r="AL93" i="1" s="1"/>
  <c r="AM93" i="1" s="1"/>
  <c r="AN93" i="1" s="1"/>
  <c r="AO93" i="1" s="1"/>
  <c r="AP93" i="1" s="1"/>
  <c r="AQ93" i="1" s="1"/>
  <c r="AR93" i="1" s="1"/>
  <c r="AS93" i="1" s="1"/>
  <c r="AT93" i="1" s="1"/>
  <c r="AU93" i="1" s="1"/>
  <c r="AV93" i="1" s="1"/>
  <c r="L93" i="1"/>
  <c r="M93" i="1" s="1"/>
  <c r="N93" i="1" s="1"/>
  <c r="O93" i="1" s="1"/>
  <c r="P93" i="1" s="1"/>
  <c r="Q93" i="1" s="1"/>
  <c r="R93" i="1" s="1"/>
  <c r="S93" i="1" s="1"/>
  <c r="T93" i="1" s="1"/>
  <c r="U93" i="1" s="1"/>
  <c r="V93" i="1" s="1"/>
  <c r="B93" i="1"/>
  <c r="L92" i="1"/>
  <c r="M92" i="1" s="1"/>
  <c r="N92" i="1" s="1"/>
  <c r="O92" i="1" s="1"/>
  <c r="P92" i="1" s="1"/>
  <c r="Q92" i="1" s="1"/>
  <c r="R92" i="1" s="1"/>
  <c r="S92" i="1" s="1"/>
  <c r="T92" i="1" s="1"/>
  <c r="U92" i="1" s="1"/>
  <c r="V92" i="1" s="1"/>
  <c r="W92" i="1" s="1"/>
  <c r="X92" i="1" s="1"/>
  <c r="Y92" i="1" s="1"/>
  <c r="Z92" i="1" s="1"/>
  <c r="AA92" i="1" s="1"/>
  <c r="AB92" i="1" s="1"/>
  <c r="AC92" i="1" s="1"/>
  <c r="AD92" i="1" s="1"/>
  <c r="AE92" i="1" s="1"/>
  <c r="AF92" i="1" s="1"/>
  <c r="AG92" i="1" s="1"/>
  <c r="AH92" i="1" s="1"/>
  <c r="AI92" i="1" s="1"/>
  <c r="AJ92" i="1" s="1"/>
  <c r="AK92" i="1" s="1"/>
  <c r="AL92" i="1" s="1"/>
  <c r="AM92" i="1" s="1"/>
  <c r="AN92" i="1" s="1"/>
  <c r="AO92" i="1" s="1"/>
  <c r="AP92" i="1" s="1"/>
  <c r="AQ92" i="1" s="1"/>
  <c r="AR92" i="1" s="1"/>
  <c r="AS92" i="1" s="1"/>
  <c r="AT92" i="1" s="1"/>
  <c r="AU92" i="1" s="1"/>
  <c r="AV92" i="1" s="1"/>
  <c r="B92" i="1"/>
  <c r="M91" i="1"/>
  <c r="N91" i="1" s="1"/>
  <c r="O91" i="1" s="1"/>
  <c r="P91" i="1" s="1"/>
  <c r="Q91" i="1" s="1"/>
  <c r="R91" i="1" s="1"/>
  <c r="S91" i="1" s="1"/>
  <c r="T91" i="1" s="1"/>
  <c r="U91" i="1" s="1"/>
  <c r="V91" i="1" s="1"/>
  <c r="W91" i="1" s="1"/>
  <c r="X91" i="1" s="1"/>
  <c r="Y91" i="1" s="1"/>
  <c r="Z91" i="1" s="1"/>
  <c r="AA91" i="1" s="1"/>
  <c r="AB91" i="1" s="1"/>
  <c r="AC91" i="1" s="1"/>
  <c r="AD91" i="1" s="1"/>
  <c r="AE91" i="1" s="1"/>
  <c r="AF91" i="1" s="1"/>
  <c r="AG91" i="1" s="1"/>
  <c r="AH91" i="1" s="1"/>
  <c r="AI91" i="1" s="1"/>
  <c r="AJ91" i="1" s="1"/>
  <c r="AK91" i="1" s="1"/>
  <c r="AL91" i="1" s="1"/>
  <c r="AM91" i="1" s="1"/>
  <c r="AN91" i="1" s="1"/>
  <c r="AO91" i="1" s="1"/>
  <c r="AP91" i="1" s="1"/>
  <c r="AQ91" i="1" s="1"/>
  <c r="AR91" i="1" s="1"/>
  <c r="AS91" i="1" s="1"/>
  <c r="AT91" i="1" s="1"/>
  <c r="AU91" i="1" s="1"/>
  <c r="AV91" i="1" s="1"/>
  <c r="L91" i="1"/>
  <c r="B91" i="1"/>
  <c r="S90" i="1"/>
  <c r="T90" i="1" s="1"/>
  <c r="U90" i="1" s="1"/>
  <c r="V90" i="1" s="1"/>
  <c r="W90" i="1" s="1"/>
  <c r="X90" i="1" s="1"/>
  <c r="Y90" i="1" s="1"/>
  <c r="Z90" i="1" s="1"/>
  <c r="AA90" i="1" s="1"/>
  <c r="AB90" i="1" s="1"/>
  <c r="AC90" i="1" s="1"/>
  <c r="AD90" i="1" s="1"/>
  <c r="AE90" i="1" s="1"/>
  <c r="AF90" i="1" s="1"/>
  <c r="AG90" i="1" s="1"/>
  <c r="AH90" i="1" s="1"/>
  <c r="AI90" i="1" s="1"/>
  <c r="AJ90" i="1" s="1"/>
  <c r="AK90" i="1" s="1"/>
  <c r="AL90" i="1" s="1"/>
  <c r="AM90" i="1" s="1"/>
  <c r="AN90" i="1" s="1"/>
  <c r="AO90" i="1" s="1"/>
  <c r="AP90" i="1" s="1"/>
  <c r="AQ90" i="1" s="1"/>
  <c r="AR90" i="1" s="1"/>
  <c r="AS90" i="1" s="1"/>
  <c r="AT90" i="1" s="1"/>
  <c r="AU90" i="1" s="1"/>
  <c r="AV90" i="1" s="1"/>
  <c r="O90" i="1"/>
  <c r="P90" i="1" s="1"/>
  <c r="Q90" i="1" s="1"/>
  <c r="R90" i="1" s="1"/>
  <c r="N90" i="1"/>
  <c r="L90" i="1"/>
  <c r="M90" i="1" s="1"/>
  <c r="B90" i="1"/>
  <c r="L89" i="1"/>
  <c r="B89" i="1"/>
  <c r="B88" i="1"/>
  <c r="L87" i="1"/>
  <c r="B87" i="1"/>
  <c r="V86" i="1"/>
  <c r="U86" i="1"/>
  <c r="L86" i="1"/>
  <c r="M86" i="1" s="1"/>
  <c r="N86" i="1" s="1"/>
  <c r="O86" i="1" s="1"/>
  <c r="P86" i="1" s="1"/>
  <c r="Q86" i="1" s="1"/>
  <c r="R86" i="1" s="1"/>
  <c r="S86" i="1" s="1"/>
  <c r="T86" i="1" s="1"/>
  <c r="B86" i="1"/>
  <c r="L85" i="1"/>
  <c r="B85" i="1"/>
  <c r="BK84" i="1"/>
  <c r="BJ84" i="1"/>
  <c r="BJ83" i="1" s="1"/>
  <c r="BI84" i="1"/>
  <c r="BI83" i="1" s="1"/>
  <c r="L84" i="1"/>
  <c r="M84" i="1" s="1"/>
  <c r="B84" i="1"/>
  <c r="BK83" i="1"/>
  <c r="B83" i="1"/>
  <c r="B82" i="1"/>
  <c r="M81" i="1"/>
  <c r="N81" i="1" s="1"/>
  <c r="L81" i="1"/>
  <c r="B81" i="1"/>
  <c r="M80" i="1"/>
  <c r="L80" i="1"/>
  <c r="B80" i="1"/>
  <c r="B79" i="1"/>
  <c r="B78" i="1"/>
  <c r="B77" i="1"/>
  <c r="L76" i="1"/>
  <c r="L73" i="1" s="1"/>
  <c r="L71" i="1" s="1"/>
  <c r="B76" i="1"/>
  <c r="L75" i="1"/>
  <c r="B75" i="1"/>
  <c r="BI74" i="1"/>
  <c r="BJ74" i="1" s="1"/>
  <c r="L74" i="1"/>
  <c r="B74" i="1"/>
  <c r="AV73" i="1"/>
  <c r="AV71" i="1" s="1"/>
  <c r="AU73" i="1"/>
  <c r="AT73" i="1"/>
  <c r="AT71" i="1" s="1"/>
  <c r="AS73" i="1"/>
  <c r="AS71" i="1" s="1"/>
  <c r="AR73" i="1"/>
  <c r="AQ73" i="1"/>
  <c r="AP73" i="1"/>
  <c r="AO73" i="1"/>
  <c r="AN73" i="1"/>
  <c r="AN71" i="1" s="1"/>
  <c r="AM73" i="1"/>
  <c r="AL73" i="1"/>
  <c r="AK73" i="1"/>
  <c r="AK71" i="1" s="1"/>
  <c r="AJ73" i="1"/>
  <c r="AI73" i="1"/>
  <c r="AI71" i="1" s="1"/>
  <c r="AH73" i="1"/>
  <c r="AH71" i="1" s="1"/>
  <c r="AG73" i="1"/>
  <c r="AG71" i="1" s="1"/>
  <c r="AF73" i="1"/>
  <c r="AE73" i="1"/>
  <c r="AD73" i="1"/>
  <c r="AC73" i="1"/>
  <c r="AB73" i="1"/>
  <c r="AB71" i="1" s="1"/>
  <c r="AA73" i="1"/>
  <c r="Z73" i="1"/>
  <c r="Y73" i="1"/>
  <c r="Y71" i="1" s="1"/>
  <c r="X73" i="1"/>
  <c r="X71" i="1" s="1"/>
  <c r="W73" i="1"/>
  <c r="V73" i="1"/>
  <c r="V71" i="1" s="1"/>
  <c r="U73" i="1"/>
  <c r="U71" i="1" s="1"/>
  <c r="T73" i="1"/>
  <c r="S73" i="1"/>
  <c r="R73" i="1"/>
  <c r="Q73" i="1"/>
  <c r="P73" i="1"/>
  <c r="P71" i="1" s="1"/>
  <c r="O73" i="1"/>
  <c r="N73" i="1"/>
  <c r="M73" i="1"/>
  <c r="M71" i="1" s="1"/>
  <c r="B73" i="1"/>
  <c r="B72" i="1"/>
  <c r="AU71" i="1"/>
  <c r="AR71" i="1"/>
  <c r="AQ71" i="1"/>
  <c r="AP71" i="1"/>
  <c r="AO71" i="1"/>
  <c r="AM71" i="1"/>
  <c r="AL71" i="1"/>
  <c r="AJ71" i="1"/>
  <c r="AF71" i="1"/>
  <c r="AE71" i="1"/>
  <c r="AD71" i="1"/>
  <c r="AC71" i="1"/>
  <c r="AA71" i="1"/>
  <c r="Z71" i="1"/>
  <c r="W71" i="1"/>
  <c r="T71" i="1"/>
  <c r="S71" i="1"/>
  <c r="R71" i="1"/>
  <c r="Q71" i="1"/>
  <c r="O71" i="1"/>
  <c r="N71" i="1"/>
  <c r="B71" i="1"/>
  <c r="B70" i="1"/>
  <c r="BK69" i="1"/>
  <c r="BJ69" i="1"/>
  <c r="L69" i="1"/>
  <c r="B69" i="1"/>
  <c r="O68" i="1"/>
  <c r="P68" i="1" s="1"/>
  <c r="Q68" i="1" s="1"/>
  <c r="R68" i="1" s="1"/>
  <c r="S68" i="1" s="1"/>
  <c r="T68" i="1" s="1"/>
  <c r="N68" i="1"/>
  <c r="L68" i="1"/>
  <c r="B68" i="1"/>
  <c r="O67" i="1"/>
  <c r="P67" i="1" s="1"/>
  <c r="Q67" i="1" s="1"/>
  <c r="R67" i="1" s="1"/>
  <c r="S67" i="1" s="1"/>
  <c r="T67" i="1" s="1"/>
  <c r="U67" i="1" s="1"/>
  <c r="V67" i="1" s="1"/>
  <c r="W67" i="1" s="1"/>
  <c r="X67" i="1" s="1"/>
  <c r="Y67" i="1" s="1"/>
  <c r="Z67" i="1" s="1"/>
  <c r="AA67" i="1" s="1"/>
  <c r="AB67" i="1" s="1"/>
  <c r="AC67" i="1" s="1"/>
  <c r="AD67" i="1" s="1"/>
  <c r="AE67" i="1" s="1"/>
  <c r="AF67" i="1" s="1"/>
  <c r="AG67" i="1" s="1"/>
  <c r="AH67" i="1" s="1"/>
  <c r="AI67" i="1" s="1"/>
  <c r="AJ67" i="1" s="1"/>
  <c r="AK67" i="1" s="1"/>
  <c r="AL67" i="1" s="1"/>
  <c r="AM67" i="1" s="1"/>
  <c r="AN67" i="1" s="1"/>
  <c r="AO67" i="1" s="1"/>
  <c r="AP67" i="1" s="1"/>
  <c r="AQ67" i="1" s="1"/>
  <c r="AR67" i="1" s="1"/>
  <c r="AS67" i="1" s="1"/>
  <c r="AT67" i="1" s="1"/>
  <c r="AU67" i="1" s="1"/>
  <c r="AV67" i="1" s="1"/>
  <c r="L67" i="1"/>
  <c r="M67" i="1" s="1"/>
  <c r="N67" i="1" s="1"/>
  <c r="B67" i="1"/>
  <c r="Q66" i="1"/>
  <c r="R66" i="1" s="1"/>
  <c r="S66" i="1" s="1"/>
  <c r="T66" i="1" s="1"/>
  <c r="U66" i="1" s="1"/>
  <c r="V66" i="1" s="1"/>
  <c r="W66" i="1" s="1"/>
  <c r="X66" i="1" s="1"/>
  <c r="L66" i="1"/>
  <c r="M66" i="1" s="1"/>
  <c r="N66" i="1" s="1"/>
  <c r="O66" i="1" s="1"/>
  <c r="P66" i="1" s="1"/>
  <c r="B66" i="1"/>
  <c r="L65" i="1"/>
  <c r="M65" i="1" s="1"/>
  <c r="N65" i="1" s="1"/>
  <c r="O65" i="1" s="1"/>
  <c r="P65" i="1" s="1"/>
  <c r="Q65" i="1" s="1"/>
  <c r="R65" i="1" s="1"/>
  <c r="S65" i="1" s="1"/>
  <c r="T65" i="1" s="1"/>
  <c r="U65" i="1" s="1"/>
  <c r="V65" i="1" s="1"/>
  <c r="W65" i="1" s="1"/>
  <c r="X65" i="1" s="1"/>
  <c r="Y65" i="1" s="1"/>
  <c r="Z65" i="1" s="1"/>
  <c r="AA65" i="1" s="1"/>
  <c r="AB65" i="1" s="1"/>
  <c r="AC65" i="1" s="1"/>
  <c r="AD65" i="1" s="1"/>
  <c r="AE65" i="1" s="1"/>
  <c r="AF65" i="1" s="1"/>
  <c r="AG65" i="1" s="1"/>
  <c r="AH65" i="1" s="1"/>
  <c r="AI65" i="1" s="1"/>
  <c r="AJ65" i="1" s="1"/>
  <c r="AK65" i="1" s="1"/>
  <c r="AL65" i="1" s="1"/>
  <c r="AM65" i="1" s="1"/>
  <c r="AN65" i="1" s="1"/>
  <c r="AO65" i="1" s="1"/>
  <c r="AP65" i="1" s="1"/>
  <c r="AQ65" i="1" s="1"/>
  <c r="AR65" i="1" s="1"/>
  <c r="AS65" i="1" s="1"/>
  <c r="AT65" i="1" s="1"/>
  <c r="AU65" i="1" s="1"/>
  <c r="AV65" i="1" s="1"/>
  <c r="B65" i="1"/>
  <c r="S64" i="1"/>
  <c r="T64" i="1" s="1"/>
  <c r="U64" i="1" s="1"/>
  <c r="V64" i="1" s="1"/>
  <c r="W64" i="1" s="1"/>
  <c r="X64" i="1" s="1"/>
  <c r="Y64" i="1" s="1"/>
  <c r="Z64" i="1" s="1"/>
  <c r="AA64" i="1" s="1"/>
  <c r="AB64" i="1" s="1"/>
  <c r="AC64" i="1" s="1"/>
  <c r="AD64" i="1" s="1"/>
  <c r="AE64" i="1" s="1"/>
  <c r="AF64" i="1" s="1"/>
  <c r="AG64" i="1" s="1"/>
  <c r="AH64" i="1" s="1"/>
  <c r="AI64" i="1" s="1"/>
  <c r="AJ64" i="1" s="1"/>
  <c r="AK64" i="1" s="1"/>
  <c r="AL64" i="1" s="1"/>
  <c r="AM64" i="1" s="1"/>
  <c r="AN64" i="1" s="1"/>
  <c r="AO64" i="1" s="1"/>
  <c r="AP64" i="1" s="1"/>
  <c r="AQ64" i="1" s="1"/>
  <c r="AR64" i="1" s="1"/>
  <c r="AS64" i="1" s="1"/>
  <c r="AT64" i="1" s="1"/>
  <c r="AU64" i="1" s="1"/>
  <c r="AV64" i="1" s="1"/>
  <c r="O64" i="1"/>
  <c r="P64" i="1" s="1"/>
  <c r="Q64" i="1" s="1"/>
  <c r="R64" i="1" s="1"/>
  <c r="M64" i="1"/>
  <c r="N64" i="1" s="1"/>
  <c r="L64" i="1"/>
  <c r="B64" i="1"/>
  <c r="L63" i="1"/>
  <c r="B63" i="1"/>
  <c r="BK62" i="1"/>
  <c r="BJ62" i="1"/>
  <c r="BJ60" i="1" s="1"/>
  <c r="BI62" i="1"/>
  <c r="B62" i="1"/>
  <c r="B61" i="1"/>
  <c r="BK60" i="1"/>
  <c r="B60" i="1"/>
  <c r="B59" i="1"/>
  <c r="BK58" i="1"/>
  <c r="BJ58" i="1"/>
  <c r="BI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B58" i="1"/>
  <c r="B57" i="1"/>
  <c r="B56" i="1"/>
  <c r="B55" i="1"/>
  <c r="B54" i="1"/>
  <c r="BK53" i="1"/>
  <c r="BJ53" i="1"/>
  <c r="BI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B53" i="1"/>
  <c r="L52" i="1"/>
  <c r="B52" i="1"/>
  <c r="O51" i="1"/>
  <c r="P51" i="1" s="1"/>
  <c r="Q51" i="1" s="1"/>
  <c r="R51" i="1" s="1"/>
  <c r="S51" i="1" s="1"/>
  <c r="T51" i="1" s="1"/>
  <c r="U51" i="1" s="1"/>
  <c r="V51" i="1" s="1"/>
  <c r="W51" i="1" s="1"/>
  <c r="X51" i="1" s="1"/>
  <c r="Y51" i="1" s="1"/>
  <c r="Z51" i="1" s="1"/>
  <c r="AA51" i="1" s="1"/>
  <c r="AB51" i="1" s="1"/>
  <c r="AC51" i="1" s="1"/>
  <c r="AD51" i="1" s="1"/>
  <c r="AE51" i="1" s="1"/>
  <c r="AF51" i="1" s="1"/>
  <c r="AG51" i="1" s="1"/>
  <c r="AH51" i="1" s="1"/>
  <c r="AI51" i="1" s="1"/>
  <c r="AJ51" i="1" s="1"/>
  <c r="AK51" i="1" s="1"/>
  <c r="AL51" i="1" s="1"/>
  <c r="AM51" i="1" s="1"/>
  <c r="AN51" i="1" s="1"/>
  <c r="AO51" i="1" s="1"/>
  <c r="AP51" i="1" s="1"/>
  <c r="AQ51" i="1" s="1"/>
  <c r="AR51" i="1" s="1"/>
  <c r="AS51" i="1" s="1"/>
  <c r="AT51" i="1" s="1"/>
  <c r="AU51" i="1" s="1"/>
  <c r="AV51" i="1" s="1"/>
  <c r="N51" i="1"/>
  <c r="M51" i="1"/>
  <c r="L51" i="1"/>
  <c r="B51" i="1"/>
  <c r="O50" i="1"/>
  <c r="P50" i="1" s="1"/>
  <c r="Q50" i="1" s="1"/>
  <c r="R50" i="1" s="1"/>
  <c r="S50" i="1" s="1"/>
  <c r="T50" i="1" s="1"/>
  <c r="U50" i="1" s="1"/>
  <c r="V50" i="1" s="1"/>
  <c r="W50" i="1" s="1"/>
  <c r="X50" i="1" s="1"/>
  <c r="Y50" i="1" s="1"/>
  <c r="Z50" i="1" s="1"/>
  <c r="AA50" i="1" s="1"/>
  <c r="AB50" i="1" s="1"/>
  <c r="AC50" i="1" s="1"/>
  <c r="AD50" i="1" s="1"/>
  <c r="AE50" i="1" s="1"/>
  <c r="AF50" i="1" s="1"/>
  <c r="AG50" i="1" s="1"/>
  <c r="AH50" i="1" s="1"/>
  <c r="AI50" i="1" s="1"/>
  <c r="AJ50" i="1" s="1"/>
  <c r="AK50" i="1" s="1"/>
  <c r="AL50" i="1" s="1"/>
  <c r="AM50" i="1" s="1"/>
  <c r="AN50" i="1" s="1"/>
  <c r="AO50" i="1" s="1"/>
  <c r="AP50" i="1" s="1"/>
  <c r="AQ50" i="1" s="1"/>
  <c r="AR50" i="1" s="1"/>
  <c r="AS50" i="1" s="1"/>
  <c r="AT50" i="1" s="1"/>
  <c r="AU50" i="1" s="1"/>
  <c r="AV50" i="1" s="1"/>
  <c r="M50" i="1"/>
  <c r="N50" i="1" s="1"/>
  <c r="L50" i="1"/>
  <c r="B50" i="1"/>
  <c r="L49" i="1"/>
  <c r="M49" i="1" s="1"/>
  <c r="N49" i="1" s="1"/>
  <c r="O49" i="1" s="1"/>
  <c r="P49" i="1" s="1"/>
  <c r="Q49" i="1" s="1"/>
  <c r="R49" i="1" s="1"/>
  <c r="S49" i="1" s="1"/>
  <c r="T49" i="1" s="1"/>
  <c r="U49" i="1" s="1"/>
  <c r="V49" i="1" s="1"/>
  <c r="W49" i="1" s="1"/>
  <c r="X49" i="1" s="1"/>
  <c r="Y49" i="1" s="1"/>
  <c r="Z49" i="1" s="1"/>
  <c r="AA49" i="1" s="1"/>
  <c r="AB49" i="1" s="1"/>
  <c r="AC49" i="1" s="1"/>
  <c r="AD49" i="1" s="1"/>
  <c r="AE49" i="1" s="1"/>
  <c r="AF49" i="1" s="1"/>
  <c r="AG49" i="1" s="1"/>
  <c r="AH49" i="1" s="1"/>
  <c r="AI49" i="1" s="1"/>
  <c r="AJ49" i="1" s="1"/>
  <c r="AK49" i="1" s="1"/>
  <c r="AL49" i="1" s="1"/>
  <c r="AM49" i="1" s="1"/>
  <c r="AN49" i="1" s="1"/>
  <c r="AO49" i="1" s="1"/>
  <c r="AP49" i="1" s="1"/>
  <c r="AQ49" i="1" s="1"/>
  <c r="AR49" i="1" s="1"/>
  <c r="AS49" i="1" s="1"/>
  <c r="AT49" i="1" s="1"/>
  <c r="AU49" i="1" s="1"/>
  <c r="AV49" i="1" s="1"/>
  <c r="B49" i="1"/>
  <c r="L48" i="1"/>
  <c r="M48" i="1" s="1"/>
  <c r="N48" i="1" s="1"/>
  <c r="O48" i="1" s="1"/>
  <c r="P48" i="1" s="1"/>
  <c r="Q48" i="1" s="1"/>
  <c r="R48" i="1" s="1"/>
  <c r="S48" i="1" s="1"/>
  <c r="T48" i="1" s="1"/>
  <c r="U48" i="1" s="1"/>
  <c r="V48" i="1" s="1"/>
  <c r="W48" i="1" s="1"/>
  <c r="X48" i="1" s="1"/>
  <c r="Y48" i="1" s="1"/>
  <c r="Z48" i="1" s="1"/>
  <c r="AA48" i="1" s="1"/>
  <c r="AB48" i="1" s="1"/>
  <c r="AC48" i="1" s="1"/>
  <c r="AD48" i="1" s="1"/>
  <c r="AE48" i="1" s="1"/>
  <c r="AF48" i="1" s="1"/>
  <c r="AG48" i="1" s="1"/>
  <c r="AH48" i="1" s="1"/>
  <c r="AI48" i="1" s="1"/>
  <c r="AJ48" i="1" s="1"/>
  <c r="AK48" i="1" s="1"/>
  <c r="AL48" i="1" s="1"/>
  <c r="AM48" i="1" s="1"/>
  <c r="AN48" i="1" s="1"/>
  <c r="AO48" i="1" s="1"/>
  <c r="AP48" i="1" s="1"/>
  <c r="AQ48" i="1" s="1"/>
  <c r="AR48" i="1" s="1"/>
  <c r="AS48" i="1" s="1"/>
  <c r="AT48" i="1" s="1"/>
  <c r="AU48" i="1" s="1"/>
  <c r="AV48" i="1" s="1"/>
  <c r="B48" i="1"/>
  <c r="Q47" i="1"/>
  <c r="R47" i="1" s="1"/>
  <c r="S47" i="1" s="1"/>
  <c r="T47" i="1" s="1"/>
  <c r="U47" i="1" s="1"/>
  <c r="V47" i="1" s="1"/>
  <c r="W47" i="1" s="1"/>
  <c r="X47" i="1" s="1"/>
  <c r="Y47" i="1" s="1"/>
  <c r="Z47" i="1" s="1"/>
  <c r="AA47" i="1" s="1"/>
  <c r="AB47" i="1" s="1"/>
  <c r="AC47" i="1" s="1"/>
  <c r="AD47" i="1" s="1"/>
  <c r="AE47" i="1" s="1"/>
  <c r="AF47" i="1" s="1"/>
  <c r="AG47" i="1" s="1"/>
  <c r="AH47" i="1" s="1"/>
  <c r="AI47" i="1" s="1"/>
  <c r="AJ47" i="1" s="1"/>
  <c r="AK47" i="1" s="1"/>
  <c r="AL47" i="1" s="1"/>
  <c r="AM47" i="1" s="1"/>
  <c r="AN47" i="1" s="1"/>
  <c r="AO47" i="1" s="1"/>
  <c r="AP47" i="1" s="1"/>
  <c r="AQ47" i="1" s="1"/>
  <c r="AR47" i="1" s="1"/>
  <c r="AS47" i="1" s="1"/>
  <c r="AT47" i="1" s="1"/>
  <c r="AU47" i="1" s="1"/>
  <c r="AV47" i="1" s="1"/>
  <c r="L47" i="1"/>
  <c r="M47" i="1" s="1"/>
  <c r="N47" i="1" s="1"/>
  <c r="O47" i="1" s="1"/>
  <c r="P47" i="1" s="1"/>
  <c r="B47" i="1"/>
  <c r="N46" i="1"/>
  <c r="O46" i="1" s="1"/>
  <c r="P46" i="1" s="1"/>
  <c r="Q46" i="1" s="1"/>
  <c r="R46" i="1" s="1"/>
  <c r="S46" i="1" s="1"/>
  <c r="T46" i="1" s="1"/>
  <c r="U46" i="1" s="1"/>
  <c r="V46" i="1" s="1"/>
  <c r="W46" i="1" s="1"/>
  <c r="X46" i="1" s="1"/>
  <c r="Y46" i="1" s="1"/>
  <c r="Z46" i="1" s="1"/>
  <c r="AA46" i="1" s="1"/>
  <c r="AB46" i="1" s="1"/>
  <c r="AC46" i="1" s="1"/>
  <c r="AD46" i="1" s="1"/>
  <c r="AE46" i="1" s="1"/>
  <c r="AF46" i="1" s="1"/>
  <c r="AG46" i="1" s="1"/>
  <c r="AH46" i="1" s="1"/>
  <c r="AI46" i="1" s="1"/>
  <c r="AJ46" i="1" s="1"/>
  <c r="AK46" i="1" s="1"/>
  <c r="AL46" i="1" s="1"/>
  <c r="AM46" i="1" s="1"/>
  <c r="AN46" i="1" s="1"/>
  <c r="AO46" i="1" s="1"/>
  <c r="AP46" i="1" s="1"/>
  <c r="AQ46" i="1" s="1"/>
  <c r="AR46" i="1" s="1"/>
  <c r="AS46" i="1" s="1"/>
  <c r="AT46" i="1" s="1"/>
  <c r="AU46" i="1" s="1"/>
  <c r="AV46" i="1" s="1"/>
  <c r="L46" i="1"/>
  <c r="M46" i="1" s="1"/>
  <c r="B46" i="1"/>
  <c r="L45" i="1"/>
  <c r="M45" i="1" s="1"/>
  <c r="N45" i="1" s="1"/>
  <c r="O45" i="1" s="1"/>
  <c r="P45" i="1" s="1"/>
  <c r="Q45" i="1" s="1"/>
  <c r="R45" i="1" s="1"/>
  <c r="S45" i="1" s="1"/>
  <c r="T45" i="1" s="1"/>
  <c r="U45" i="1" s="1"/>
  <c r="V45" i="1" s="1"/>
  <c r="W45" i="1" s="1"/>
  <c r="X45" i="1" s="1"/>
  <c r="Y45" i="1" s="1"/>
  <c r="Z45" i="1" s="1"/>
  <c r="AA45" i="1" s="1"/>
  <c r="AB45" i="1" s="1"/>
  <c r="AC45" i="1" s="1"/>
  <c r="AD45" i="1" s="1"/>
  <c r="AE45" i="1" s="1"/>
  <c r="AF45" i="1" s="1"/>
  <c r="AG45" i="1" s="1"/>
  <c r="AH45" i="1" s="1"/>
  <c r="AI45" i="1" s="1"/>
  <c r="AJ45" i="1" s="1"/>
  <c r="AK45" i="1" s="1"/>
  <c r="AL45" i="1" s="1"/>
  <c r="AM45" i="1" s="1"/>
  <c r="AN45" i="1" s="1"/>
  <c r="AO45" i="1" s="1"/>
  <c r="AP45" i="1" s="1"/>
  <c r="AQ45" i="1" s="1"/>
  <c r="AR45" i="1" s="1"/>
  <c r="AS45" i="1" s="1"/>
  <c r="AT45" i="1" s="1"/>
  <c r="AU45" i="1" s="1"/>
  <c r="AV45" i="1" s="1"/>
  <c r="B45" i="1"/>
  <c r="L44" i="1"/>
  <c r="L43" i="1" s="1"/>
  <c r="B44" i="1"/>
  <c r="BK43" i="1"/>
  <c r="BJ43" i="1"/>
  <c r="BI43" i="1"/>
  <c r="B43" i="1"/>
  <c r="B42" i="1"/>
  <c r="BK41" i="1"/>
  <c r="BJ41" i="1"/>
  <c r="BJ37" i="1" s="1"/>
  <c r="BI41" i="1"/>
  <c r="B41" i="1"/>
  <c r="P40" i="1"/>
  <c r="Q40" i="1" s="1"/>
  <c r="R40" i="1" s="1"/>
  <c r="S40" i="1" s="1"/>
  <c r="T40" i="1" s="1"/>
  <c r="U40" i="1" s="1"/>
  <c r="V40" i="1" s="1"/>
  <c r="W40" i="1" s="1"/>
  <c r="X40" i="1" s="1"/>
  <c r="Y40" i="1" s="1"/>
  <c r="Z40" i="1" s="1"/>
  <c r="AA40" i="1" s="1"/>
  <c r="AB40" i="1" s="1"/>
  <c r="AC40" i="1" s="1"/>
  <c r="AD40" i="1" s="1"/>
  <c r="AE40" i="1" s="1"/>
  <c r="AF40" i="1" s="1"/>
  <c r="AG40" i="1" s="1"/>
  <c r="AH40" i="1" s="1"/>
  <c r="AI40" i="1" s="1"/>
  <c r="AJ40" i="1" s="1"/>
  <c r="AK40" i="1" s="1"/>
  <c r="AL40" i="1" s="1"/>
  <c r="AM40" i="1" s="1"/>
  <c r="AN40" i="1" s="1"/>
  <c r="AO40" i="1" s="1"/>
  <c r="AP40" i="1" s="1"/>
  <c r="AQ40" i="1" s="1"/>
  <c r="AR40" i="1" s="1"/>
  <c r="AS40" i="1" s="1"/>
  <c r="AT40" i="1" s="1"/>
  <c r="AU40" i="1" s="1"/>
  <c r="AV40" i="1" s="1"/>
  <c r="M40" i="1"/>
  <c r="N40" i="1" s="1"/>
  <c r="O40" i="1" s="1"/>
  <c r="L40" i="1"/>
  <c r="B40" i="1"/>
  <c r="N39" i="1"/>
  <c r="N37" i="1" s="1"/>
  <c r="M39" i="1"/>
  <c r="L39" i="1"/>
  <c r="B39" i="1"/>
  <c r="BK38" i="1"/>
  <c r="BI38" i="1"/>
  <c r="BJ38" i="1" s="1"/>
  <c r="Y38" i="1"/>
  <c r="Z38" i="1" s="1"/>
  <c r="L38" i="1"/>
  <c r="L37" i="1" s="1"/>
  <c r="B38" i="1"/>
  <c r="BK37" i="1"/>
  <c r="BK35" i="1" s="1"/>
  <c r="BI37" i="1"/>
  <c r="BI35" i="1" s="1"/>
  <c r="B37" i="1"/>
  <c r="B36" i="1"/>
  <c r="BJ35" i="1"/>
  <c r="B35" i="1"/>
  <c r="BJ34" i="1"/>
  <c r="BK34" i="1" s="1"/>
  <c r="BI34" i="1"/>
  <c r="B34" i="1"/>
  <c r="B33" i="1"/>
  <c r="O32" i="1"/>
  <c r="P32" i="1" s="1"/>
  <c r="Q32" i="1" s="1"/>
  <c r="R32" i="1" s="1"/>
  <c r="S32" i="1" s="1"/>
  <c r="T32" i="1" s="1"/>
  <c r="U32" i="1" s="1"/>
  <c r="V32" i="1" s="1"/>
  <c r="W32" i="1" s="1"/>
  <c r="X32" i="1" s="1"/>
  <c r="Y32" i="1" s="1"/>
  <c r="Z32" i="1" s="1"/>
  <c r="AA32" i="1" s="1"/>
  <c r="AB32" i="1" s="1"/>
  <c r="AC32" i="1" s="1"/>
  <c r="AD32" i="1" s="1"/>
  <c r="AE32" i="1" s="1"/>
  <c r="AF32" i="1" s="1"/>
  <c r="AG32" i="1" s="1"/>
  <c r="AH32" i="1" s="1"/>
  <c r="AI32" i="1" s="1"/>
  <c r="AJ32" i="1" s="1"/>
  <c r="AK32" i="1" s="1"/>
  <c r="AL32" i="1" s="1"/>
  <c r="AM32" i="1" s="1"/>
  <c r="AN32" i="1" s="1"/>
  <c r="AO32" i="1" s="1"/>
  <c r="AP32" i="1" s="1"/>
  <c r="AQ32" i="1" s="1"/>
  <c r="AR32" i="1" s="1"/>
  <c r="AS32" i="1" s="1"/>
  <c r="AT32" i="1" s="1"/>
  <c r="AU32" i="1" s="1"/>
  <c r="AV32" i="1" s="1"/>
  <c r="M32" i="1"/>
  <c r="N32" i="1" s="1"/>
  <c r="L32" i="1"/>
  <c r="B32" i="1"/>
  <c r="BK31" i="1"/>
  <c r="BJ31" i="1"/>
  <c r="BI31" i="1"/>
  <c r="S31" i="1"/>
  <c r="T31" i="1" s="1"/>
  <c r="U31" i="1" s="1"/>
  <c r="V31" i="1" s="1"/>
  <c r="W31" i="1" s="1"/>
  <c r="X31" i="1" s="1"/>
  <c r="Y31" i="1" s="1"/>
  <c r="Z31" i="1" s="1"/>
  <c r="AA31" i="1" s="1"/>
  <c r="AB31" i="1" s="1"/>
  <c r="AC31" i="1" s="1"/>
  <c r="AD31" i="1" s="1"/>
  <c r="AE31" i="1" s="1"/>
  <c r="AF31" i="1" s="1"/>
  <c r="AG31" i="1" s="1"/>
  <c r="AH31" i="1" s="1"/>
  <c r="AI31" i="1" s="1"/>
  <c r="AJ31" i="1" s="1"/>
  <c r="AK31" i="1" s="1"/>
  <c r="AL31" i="1" s="1"/>
  <c r="AM31" i="1" s="1"/>
  <c r="AN31" i="1" s="1"/>
  <c r="AO31" i="1" s="1"/>
  <c r="AP31" i="1" s="1"/>
  <c r="AQ31" i="1" s="1"/>
  <c r="AR31" i="1" s="1"/>
  <c r="AS31" i="1" s="1"/>
  <c r="AT31" i="1" s="1"/>
  <c r="AU31" i="1" s="1"/>
  <c r="AV31" i="1" s="1"/>
  <c r="N31" i="1"/>
  <c r="O31" i="1" s="1"/>
  <c r="P31" i="1" s="1"/>
  <c r="Q31" i="1" s="1"/>
  <c r="R31" i="1" s="1"/>
  <c r="M31" i="1"/>
  <c r="L31" i="1"/>
  <c r="L29" i="1" s="1"/>
  <c r="B31" i="1"/>
  <c r="N30" i="1"/>
  <c r="L30" i="1"/>
  <c r="M30" i="1" s="1"/>
  <c r="B30" i="1"/>
  <c r="B29" i="1"/>
  <c r="B28" i="1"/>
  <c r="B27" i="1"/>
  <c r="BK26" i="1"/>
  <c r="BJ26" i="1"/>
  <c r="BI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B26" i="1"/>
  <c r="BN25" i="1"/>
  <c r="B25" i="1"/>
  <c r="N24" i="1"/>
  <c r="O24" i="1" s="1"/>
  <c r="P24" i="1" s="1"/>
  <c r="Q24" i="1" s="1"/>
  <c r="R24" i="1" s="1"/>
  <c r="S24" i="1" s="1"/>
  <c r="T24" i="1" s="1"/>
  <c r="U24" i="1" s="1"/>
  <c r="V24" i="1" s="1"/>
  <c r="W24" i="1" s="1"/>
  <c r="X24" i="1" s="1"/>
  <c r="Y24" i="1" s="1"/>
  <c r="Z24" i="1" s="1"/>
  <c r="AA24" i="1" s="1"/>
  <c r="AB24" i="1" s="1"/>
  <c r="AC24" i="1" s="1"/>
  <c r="AD24" i="1" s="1"/>
  <c r="AE24" i="1" s="1"/>
  <c r="AF24" i="1" s="1"/>
  <c r="AG24" i="1" s="1"/>
  <c r="AH24" i="1" s="1"/>
  <c r="AI24" i="1" s="1"/>
  <c r="AJ24" i="1" s="1"/>
  <c r="AK24" i="1" s="1"/>
  <c r="AL24" i="1" s="1"/>
  <c r="AM24" i="1" s="1"/>
  <c r="AN24" i="1" s="1"/>
  <c r="AO24" i="1" s="1"/>
  <c r="AP24" i="1" s="1"/>
  <c r="AQ24" i="1" s="1"/>
  <c r="AR24" i="1" s="1"/>
  <c r="AS24" i="1" s="1"/>
  <c r="AT24" i="1" s="1"/>
  <c r="AU24" i="1" s="1"/>
  <c r="AV24" i="1" s="1"/>
  <c r="L24" i="1"/>
  <c r="M24" i="1" s="1"/>
  <c r="B24" i="1"/>
  <c r="Q23" i="1"/>
  <c r="R23" i="1" s="1"/>
  <c r="S23" i="1" s="1"/>
  <c r="T23" i="1" s="1"/>
  <c r="U23" i="1" s="1"/>
  <c r="V23" i="1" s="1"/>
  <c r="W23" i="1" s="1"/>
  <c r="X23" i="1" s="1"/>
  <c r="Y23" i="1" s="1"/>
  <c r="Z23" i="1" s="1"/>
  <c r="AA23" i="1" s="1"/>
  <c r="AB23" i="1" s="1"/>
  <c r="AC23" i="1" s="1"/>
  <c r="AD23" i="1" s="1"/>
  <c r="AE23" i="1" s="1"/>
  <c r="AF23" i="1" s="1"/>
  <c r="AG23" i="1" s="1"/>
  <c r="AH23" i="1" s="1"/>
  <c r="AI23" i="1" s="1"/>
  <c r="AJ23" i="1" s="1"/>
  <c r="AK23" i="1" s="1"/>
  <c r="AL23" i="1" s="1"/>
  <c r="AM23" i="1" s="1"/>
  <c r="AN23" i="1" s="1"/>
  <c r="AO23" i="1" s="1"/>
  <c r="AP23" i="1" s="1"/>
  <c r="AQ23" i="1" s="1"/>
  <c r="AR23" i="1" s="1"/>
  <c r="AS23" i="1" s="1"/>
  <c r="AT23" i="1" s="1"/>
  <c r="AU23" i="1" s="1"/>
  <c r="AV23" i="1" s="1"/>
  <c r="N23" i="1"/>
  <c r="O23" i="1" s="1"/>
  <c r="P23" i="1" s="1"/>
  <c r="M23" i="1"/>
  <c r="L23" i="1"/>
  <c r="B23" i="1"/>
  <c r="R22" i="1"/>
  <c r="S22" i="1" s="1"/>
  <c r="T22" i="1" s="1"/>
  <c r="U22" i="1" s="1"/>
  <c r="V22" i="1" s="1"/>
  <c r="W22" i="1" s="1"/>
  <c r="X22" i="1" s="1"/>
  <c r="Y22" i="1" s="1"/>
  <c r="Z22" i="1" s="1"/>
  <c r="AA22" i="1" s="1"/>
  <c r="AB22" i="1" s="1"/>
  <c r="AC22" i="1" s="1"/>
  <c r="AD22" i="1" s="1"/>
  <c r="AE22" i="1" s="1"/>
  <c r="AF22" i="1" s="1"/>
  <c r="AG22" i="1" s="1"/>
  <c r="AH22" i="1" s="1"/>
  <c r="AI22" i="1" s="1"/>
  <c r="AJ22" i="1" s="1"/>
  <c r="AK22" i="1" s="1"/>
  <c r="AL22" i="1" s="1"/>
  <c r="AM22" i="1" s="1"/>
  <c r="AN22" i="1" s="1"/>
  <c r="AO22" i="1" s="1"/>
  <c r="AP22" i="1" s="1"/>
  <c r="AQ22" i="1" s="1"/>
  <c r="AR22" i="1" s="1"/>
  <c r="AS22" i="1" s="1"/>
  <c r="AT22" i="1" s="1"/>
  <c r="AU22" i="1" s="1"/>
  <c r="AV22" i="1" s="1"/>
  <c r="L22" i="1"/>
  <c r="M22" i="1" s="1"/>
  <c r="N22" i="1" s="1"/>
  <c r="O22" i="1" s="1"/>
  <c r="P22" i="1" s="1"/>
  <c r="Q22" i="1" s="1"/>
  <c r="B22" i="1"/>
  <c r="L21" i="1"/>
  <c r="M21" i="1" s="1"/>
  <c r="N21" i="1" s="1"/>
  <c r="O21" i="1" s="1"/>
  <c r="P21" i="1" s="1"/>
  <c r="Q21" i="1" s="1"/>
  <c r="R21" i="1" s="1"/>
  <c r="S21" i="1" s="1"/>
  <c r="T21" i="1" s="1"/>
  <c r="U21" i="1" s="1"/>
  <c r="V21" i="1" s="1"/>
  <c r="W21" i="1" s="1"/>
  <c r="X21" i="1" s="1"/>
  <c r="Y21" i="1" s="1"/>
  <c r="Z21" i="1" s="1"/>
  <c r="AA21" i="1" s="1"/>
  <c r="AB21" i="1" s="1"/>
  <c r="AC21" i="1" s="1"/>
  <c r="AD21" i="1" s="1"/>
  <c r="AE21" i="1" s="1"/>
  <c r="AF21" i="1" s="1"/>
  <c r="AG21" i="1" s="1"/>
  <c r="AH21" i="1" s="1"/>
  <c r="AI21" i="1" s="1"/>
  <c r="AJ21" i="1" s="1"/>
  <c r="AK21" i="1" s="1"/>
  <c r="AL21" i="1" s="1"/>
  <c r="AM21" i="1" s="1"/>
  <c r="AN21" i="1" s="1"/>
  <c r="AO21" i="1" s="1"/>
  <c r="AP21" i="1" s="1"/>
  <c r="AQ21" i="1" s="1"/>
  <c r="AR21" i="1" s="1"/>
  <c r="AS21" i="1" s="1"/>
  <c r="AT21" i="1" s="1"/>
  <c r="AU21" i="1" s="1"/>
  <c r="AV21" i="1" s="1"/>
  <c r="B21" i="1"/>
  <c r="BN20" i="1"/>
  <c r="L20" i="1"/>
  <c r="M20" i="1" s="1"/>
  <c r="N20" i="1" s="1"/>
  <c r="O20" i="1" s="1"/>
  <c r="P20" i="1" s="1"/>
  <c r="Q20" i="1" s="1"/>
  <c r="R20" i="1" s="1"/>
  <c r="S20" i="1" s="1"/>
  <c r="T20" i="1" s="1"/>
  <c r="U20" i="1" s="1"/>
  <c r="V20" i="1" s="1"/>
  <c r="W20" i="1" s="1"/>
  <c r="X20" i="1" s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  <c r="AK20" i="1" s="1"/>
  <c r="AL20" i="1" s="1"/>
  <c r="AM20" i="1" s="1"/>
  <c r="AN20" i="1" s="1"/>
  <c r="AO20" i="1" s="1"/>
  <c r="AP20" i="1" s="1"/>
  <c r="AQ20" i="1" s="1"/>
  <c r="AR20" i="1" s="1"/>
  <c r="AS20" i="1" s="1"/>
  <c r="AT20" i="1" s="1"/>
  <c r="AU20" i="1" s="1"/>
  <c r="AV20" i="1" s="1"/>
  <c r="B20" i="1"/>
  <c r="M19" i="1"/>
  <c r="N19" i="1" s="1"/>
  <c r="O19" i="1" s="1"/>
  <c r="P19" i="1" s="1"/>
  <c r="Q19" i="1" s="1"/>
  <c r="R19" i="1" s="1"/>
  <c r="S19" i="1" s="1"/>
  <c r="T19" i="1" s="1"/>
  <c r="U19" i="1" s="1"/>
  <c r="V19" i="1" s="1"/>
  <c r="W19" i="1" s="1"/>
  <c r="X19" i="1" s="1"/>
  <c r="Y19" i="1" s="1"/>
  <c r="Z19" i="1" s="1"/>
  <c r="AA19" i="1" s="1"/>
  <c r="AB19" i="1" s="1"/>
  <c r="AC19" i="1" s="1"/>
  <c r="AD19" i="1" s="1"/>
  <c r="AE19" i="1" s="1"/>
  <c r="AF19" i="1" s="1"/>
  <c r="AG19" i="1" s="1"/>
  <c r="AH19" i="1" s="1"/>
  <c r="AI19" i="1" s="1"/>
  <c r="AJ19" i="1" s="1"/>
  <c r="AK19" i="1" s="1"/>
  <c r="AL19" i="1" s="1"/>
  <c r="AM19" i="1" s="1"/>
  <c r="AN19" i="1" s="1"/>
  <c r="AO19" i="1" s="1"/>
  <c r="AP19" i="1" s="1"/>
  <c r="AQ19" i="1" s="1"/>
  <c r="AR19" i="1" s="1"/>
  <c r="AS19" i="1" s="1"/>
  <c r="AT19" i="1" s="1"/>
  <c r="AU19" i="1" s="1"/>
  <c r="AV19" i="1" s="1"/>
  <c r="L19" i="1"/>
  <c r="B19" i="1"/>
  <c r="L18" i="1"/>
  <c r="M18" i="1" s="1"/>
  <c r="N18" i="1" s="1"/>
  <c r="O18" i="1" s="1"/>
  <c r="P18" i="1" s="1"/>
  <c r="Q18" i="1" s="1"/>
  <c r="R18" i="1" s="1"/>
  <c r="S18" i="1" s="1"/>
  <c r="T18" i="1" s="1"/>
  <c r="U18" i="1" s="1"/>
  <c r="V18" i="1" s="1"/>
  <c r="W18" i="1" s="1"/>
  <c r="X18" i="1" s="1"/>
  <c r="Y18" i="1" s="1"/>
  <c r="Z18" i="1" s="1"/>
  <c r="AA18" i="1" s="1"/>
  <c r="AB18" i="1" s="1"/>
  <c r="AC18" i="1" s="1"/>
  <c r="AD18" i="1" s="1"/>
  <c r="AE18" i="1" s="1"/>
  <c r="AF18" i="1" s="1"/>
  <c r="AG18" i="1" s="1"/>
  <c r="AH18" i="1" s="1"/>
  <c r="AI18" i="1" s="1"/>
  <c r="AJ18" i="1" s="1"/>
  <c r="AK18" i="1" s="1"/>
  <c r="AL18" i="1" s="1"/>
  <c r="AM18" i="1" s="1"/>
  <c r="AN18" i="1" s="1"/>
  <c r="AO18" i="1" s="1"/>
  <c r="AP18" i="1" s="1"/>
  <c r="AQ18" i="1" s="1"/>
  <c r="AR18" i="1" s="1"/>
  <c r="AS18" i="1" s="1"/>
  <c r="AT18" i="1" s="1"/>
  <c r="AU18" i="1" s="1"/>
  <c r="AV18" i="1" s="1"/>
  <c r="B18" i="1"/>
  <c r="BN17" i="1"/>
  <c r="BK17" i="1"/>
  <c r="BJ17" i="1"/>
  <c r="BI17" i="1"/>
  <c r="L17" i="1"/>
  <c r="M17" i="1" s="1"/>
  <c r="N17" i="1" s="1"/>
  <c r="O17" i="1" s="1"/>
  <c r="P17" i="1" s="1"/>
  <c r="Q17" i="1" s="1"/>
  <c r="R17" i="1" s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AE17" i="1" s="1"/>
  <c r="AF17" i="1" s="1"/>
  <c r="AG17" i="1" s="1"/>
  <c r="AH17" i="1" s="1"/>
  <c r="AI17" i="1" s="1"/>
  <c r="AJ17" i="1" s="1"/>
  <c r="AK17" i="1" s="1"/>
  <c r="AL17" i="1" s="1"/>
  <c r="AM17" i="1" s="1"/>
  <c r="AN17" i="1" s="1"/>
  <c r="AO17" i="1" s="1"/>
  <c r="AP17" i="1" s="1"/>
  <c r="AQ17" i="1" s="1"/>
  <c r="AR17" i="1" s="1"/>
  <c r="AS17" i="1" s="1"/>
  <c r="AT17" i="1" s="1"/>
  <c r="AU17" i="1" s="1"/>
  <c r="AV17" i="1" s="1"/>
  <c r="B17" i="1"/>
  <c r="L16" i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AL16" i="1" s="1"/>
  <c r="AM16" i="1" s="1"/>
  <c r="AN16" i="1" s="1"/>
  <c r="AO16" i="1" s="1"/>
  <c r="AP16" i="1" s="1"/>
  <c r="AQ16" i="1" s="1"/>
  <c r="AR16" i="1" s="1"/>
  <c r="AS16" i="1" s="1"/>
  <c r="AT16" i="1" s="1"/>
  <c r="AU16" i="1" s="1"/>
  <c r="AV16" i="1" s="1"/>
  <c r="B16" i="1"/>
  <c r="L15" i="1"/>
  <c r="B15" i="1"/>
  <c r="BK14" i="1"/>
  <c r="BJ14" i="1"/>
  <c r="BI14" i="1"/>
  <c r="B14" i="1"/>
  <c r="AK13" i="1"/>
  <c r="Y13" i="1"/>
  <c r="L13" i="1"/>
  <c r="B13" i="1"/>
  <c r="AK12" i="1"/>
  <c r="AL12" i="1" s="1"/>
  <c r="AM12" i="1" s="1"/>
  <c r="M12" i="1"/>
  <c r="N12" i="1" s="1"/>
  <c r="L12" i="1"/>
  <c r="B12" i="1"/>
  <c r="M11" i="1"/>
  <c r="L11" i="1"/>
  <c r="B11" i="1"/>
  <c r="Q10" i="1"/>
  <c r="R10" i="1" s="1"/>
  <c r="S10" i="1" s="1"/>
  <c r="T10" i="1" s="1"/>
  <c r="U10" i="1" s="1"/>
  <c r="V10" i="1" s="1"/>
  <c r="W10" i="1" s="1"/>
  <c r="X10" i="1" s="1"/>
  <c r="Y10" i="1" s="1"/>
  <c r="Z10" i="1" s="1"/>
  <c r="AA10" i="1" s="1"/>
  <c r="P10" i="1"/>
  <c r="L10" i="1"/>
  <c r="M10" i="1" s="1"/>
  <c r="N10" i="1" s="1"/>
  <c r="O10" i="1" s="1"/>
  <c r="B10" i="1"/>
  <c r="AK9" i="1"/>
  <c r="AL9" i="1" s="1"/>
  <c r="AM9" i="1" s="1"/>
  <c r="L9" i="1"/>
  <c r="M9" i="1" s="1"/>
  <c r="N9" i="1" s="1"/>
  <c r="B9" i="1"/>
  <c r="BK8" i="1"/>
  <c r="BJ8" i="1"/>
  <c r="BI8" i="1"/>
  <c r="AK8" i="1"/>
  <c r="Y8" i="1"/>
  <c r="L8" i="1"/>
  <c r="L7" i="1" s="1"/>
  <c r="B8" i="1"/>
  <c r="BK7" i="1"/>
  <c r="BJ7" i="1"/>
  <c r="BI7" i="1"/>
  <c r="O9" i="1" l="1"/>
  <c r="AB10" i="1"/>
  <c r="M7" i="1"/>
  <c r="N29" i="1"/>
  <c r="O30" i="1"/>
  <c r="N11" i="1"/>
  <c r="N7" i="1" s="1"/>
  <c r="O12" i="1"/>
  <c r="M15" i="1"/>
  <c r="L14" i="1"/>
  <c r="L5" i="1" s="1"/>
  <c r="L56" i="1" s="1"/>
  <c r="L35" i="1"/>
  <c r="M37" i="1"/>
  <c r="BK74" i="1"/>
  <c r="BK73" i="1" s="1"/>
  <c r="BK71" i="1" s="1"/>
  <c r="BJ73" i="1"/>
  <c r="BJ71" i="1" s="1"/>
  <c r="O39" i="1"/>
  <c r="M83" i="1"/>
  <c r="N84" i="1"/>
  <c r="L83" i="1"/>
  <c r="M89" i="1"/>
  <c r="L88" i="1"/>
  <c r="L78" i="1" s="1"/>
  <c r="L114" i="1" s="1"/>
  <c r="M44" i="1"/>
  <c r="AA38" i="1"/>
  <c r="BI73" i="1"/>
  <c r="BI71" i="1" s="1"/>
  <c r="M52" i="1"/>
  <c r="N52" i="1" s="1"/>
  <c r="O52" i="1" s="1"/>
  <c r="F69" i="2"/>
  <c r="U69" i="2"/>
  <c r="M29" i="1"/>
  <c r="N80" i="1"/>
  <c r="O81" i="1"/>
  <c r="L62" i="1"/>
  <c r="L60" i="1" s="1"/>
  <c r="M63" i="1"/>
  <c r="Q38" i="2"/>
  <c r="U68" i="1"/>
  <c r="V68" i="1" s="1"/>
  <c r="W68" i="1" s="1"/>
  <c r="X68" i="1" s="1"/>
  <c r="Y68" i="1" s="1"/>
  <c r="Z68" i="1" s="1"/>
  <c r="AA68" i="1" s="1"/>
  <c r="AB68" i="1" s="1"/>
  <c r="AC68" i="1" s="1"/>
  <c r="AD68" i="1" s="1"/>
  <c r="AE68" i="1" s="1"/>
  <c r="AF68" i="1" s="1"/>
  <c r="AG68" i="1" s="1"/>
  <c r="AH68" i="1" s="1"/>
  <c r="AI68" i="1" s="1"/>
  <c r="AJ68" i="1" s="1"/>
  <c r="Z15" i="2"/>
  <c r="Z13" i="2" s="1"/>
  <c r="N15" i="2"/>
  <c r="N13" i="2" s="1"/>
  <c r="X15" i="2"/>
  <c r="X13" i="2" s="1"/>
  <c r="K15" i="2"/>
  <c r="K13" i="2" s="1"/>
  <c r="AC15" i="2"/>
  <c r="AC13" i="2" s="1"/>
  <c r="O15" i="2"/>
  <c r="O13" i="2" s="1"/>
  <c r="AB15" i="2"/>
  <c r="AB13" i="2" s="1"/>
  <c r="M15" i="2"/>
  <c r="M13" i="2" s="1"/>
  <c r="AA15" i="2"/>
  <c r="AA13" i="2" s="1"/>
  <c r="L15" i="2"/>
  <c r="L13" i="2" s="1"/>
  <c r="Y15" i="2"/>
  <c r="Y13" i="2" s="1"/>
  <c r="J15" i="2"/>
  <c r="J13" i="2" s="1"/>
  <c r="W15" i="2"/>
  <c r="W13" i="2" s="1"/>
  <c r="I15" i="2"/>
  <c r="I13" i="2" s="1"/>
  <c r="V15" i="2"/>
  <c r="V13" i="2" s="1"/>
  <c r="H15" i="2"/>
  <c r="H13" i="2" s="1"/>
  <c r="U15" i="2"/>
  <c r="U13" i="2" s="1"/>
  <c r="G15" i="2"/>
  <c r="G13" i="2" s="1"/>
  <c r="T15" i="2"/>
  <c r="T13" i="2" s="1"/>
  <c r="F15" i="2"/>
  <c r="F13" i="2" s="1"/>
  <c r="AF15" i="2"/>
  <c r="AF13" i="2" s="1"/>
  <c r="AE15" i="2"/>
  <c r="S15" i="2"/>
  <c r="S13" i="2" s="1"/>
  <c r="R15" i="2"/>
  <c r="P15" i="2"/>
  <c r="P13" i="2" s="1"/>
  <c r="E15" i="2"/>
  <c r="T5" i="2"/>
  <c r="V25" i="2"/>
  <c r="J25" i="2"/>
  <c r="Z25" i="2"/>
  <c r="M25" i="2"/>
  <c r="AE25" i="2"/>
  <c r="AQ25" i="2" s="1"/>
  <c r="P25" i="2"/>
  <c r="AC25" i="2"/>
  <c r="O25" i="2"/>
  <c r="AB25" i="2"/>
  <c r="N25" i="2"/>
  <c r="AA25" i="2"/>
  <c r="L25" i="2"/>
  <c r="L19" i="2" s="1"/>
  <c r="Y25" i="2"/>
  <c r="Y19" i="2" s="1"/>
  <c r="K25" i="2"/>
  <c r="X25" i="2"/>
  <c r="I25" i="2"/>
  <c r="W25" i="2"/>
  <c r="W19" i="2" s="1"/>
  <c r="H25" i="2"/>
  <c r="AG25" i="2"/>
  <c r="AF25" i="2"/>
  <c r="U25" i="2"/>
  <c r="T25" i="2"/>
  <c r="S25" i="2"/>
  <c r="R25" i="2"/>
  <c r="AC10" i="2"/>
  <c r="AC5" i="2" s="1"/>
  <c r="E10" i="2"/>
  <c r="Z10" i="2"/>
  <c r="Z5" i="2" s="1"/>
  <c r="M10" i="2"/>
  <c r="M5" i="2" s="1"/>
  <c r="Y10" i="2"/>
  <c r="Y5" i="2" s="1"/>
  <c r="L10" i="2"/>
  <c r="L5" i="2" s="1"/>
  <c r="X10" i="2"/>
  <c r="X5" i="2" s="1"/>
  <c r="K10" i="2"/>
  <c r="K5" i="2" s="1"/>
  <c r="W10" i="2"/>
  <c r="W5" i="2" s="1"/>
  <c r="J10" i="2"/>
  <c r="J5" i="2" s="1"/>
  <c r="V10" i="2"/>
  <c r="I10" i="2"/>
  <c r="I5" i="2" s="1"/>
  <c r="U10" i="2"/>
  <c r="U5" i="2" s="1"/>
  <c r="H10" i="2"/>
  <c r="H5" i="2" s="1"/>
  <c r="AG10" i="2"/>
  <c r="T10" i="2"/>
  <c r="G10" i="2"/>
  <c r="AF10" i="2"/>
  <c r="S10" i="2"/>
  <c r="F10" i="2"/>
  <c r="F5" i="2" s="1"/>
  <c r="AE10" i="2"/>
  <c r="AB10" i="2"/>
  <c r="AB5" i="2" s="1"/>
  <c r="AA10" i="2"/>
  <c r="R10" i="2"/>
  <c r="P10" i="2"/>
  <c r="P5" i="2" s="1"/>
  <c r="O10" i="2"/>
  <c r="N10" i="2"/>
  <c r="N5" i="2" s="1"/>
  <c r="F25" i="2"/>
  <c r="Q25" i="2" s="1"/>
  <c r="AD39" i="2"/>
  <c r="AQ31" i="2"/>
  <c r="Q39" i="2"/>
  <c r="AC46" i="2"/>
  <c r="E46" i="2"/>
  <c r="U46" i="2"/>
  <c r="H46" i="2"/>
  <c r="AB46" i="2"/>
  <c r="N46" i="2"/>
  <c r="Z46" i="2"/>
  <c r="L46" i="2"/>
  <c r="Y46" i="2"/>
  <c r="K46" i="2"/>
  <c r="X46" i="2"/>
  <c r="J46" i="2"/>
  <c r="W46" i="2"/>
  <c r="I46" i="2"/>
  <c r="V46" i="2"/>
  <c r="G46" i="2"/>
  <c r="AE46" i="2"/>
  <c r="AA46" i="2"/>
  <c r="T46" i="2"/>
  <c r="S46" i="2"/>
  <c r="R46" i="2"/>
  <c r="P46" i="2"/>
  <c r="O46" i="2"/>
  <c r="AG46" i="2"/>
  <c r="AF46" i="2"/>
  <c r="V5" i="2"/>
  <c r="AL17" i="2"/>
  <c r="AE26" i="2"/>
  <c r="AQ26" i="2" s="1"/>
  <c r="P56" i="2"/>
  <c r="W86" i="1"/>
  <c r="X86" i="1" s="1"/>
  <c r="Y86" i="1" s="1"/>
  <c r="Z86" i="1" s="1"/>
  <c r="AA86" i="1" s="1"/>
  <c r="AB86" i="1" s="1"/>
  <c r="AC86" i="1" s="1"/>
  <c r="AD86" i="1" s="1"/>
  <c r="AE86" i="1" s="1"/>
  <c r="AF86" i="1" s="1"/>
  <c r="AG86" i="1" s="1"/>
  <c r="AH86" i="1" s="1"/>
  <c r="AI86" i="1" s="1"/>
  <c r="AJ86" i="1" s="1"/>
  <c r="AF26" i="2"/>
  <c r="V47" i="2"/>
  <c r="J47" i="2"/>
  <c r="AC47" i="2"/>
  <c r="P47" i="2"/>
  <c r="Z47" i="2"/>
  <c r="L47" i="2"/>
  <c r="X47" i="2"/>
  <c r="I47" i="2"/>
  <c r="W47" i="2"/>
  <c r="H47" i="2"/>
  <c r="U47" i="2"/>
  <c r="G47" i="2"/>
  <c r="T47" i="2"/>
  <c r="F47" i="2"/>
  <c r="AG47" i="2"/>
  <c r="S47" i="2"/>
  <c r="E47" i="2"/>
  <c r="AB47" i="2"/>
  <c r="AA47" i="2"/>
  <c r="Y47" i="2"/>
  <c r="R47" i="2"/>
  <c r="AD47" i="2" s="1"/>
  <c r="O47" i="2"/>
  <c r="N47" i="2"/>
  <c r="M47" i="2"/>
  <c r="AJ53" i="2"/>
  <c r="AJ75" i="2" s="1"/>
  <c r="AJ79" i="2" s="1"/>
  <c r="AQ41" i="2"/>
  <c r="AD41" i="2"/>
  <c r="AQ47" i="2"/>
  <c r="AM17" i="2"/>
  <c r="AM53" i="2"/>
  <c r="AM75" i="2" s="1"/>
  <c r="AM79" i="2" s="1"/>
  <c r="AF5" i="2"/>
  <c r="Q21" i="2"/>
  <c r="AA26" i="2"/>
  <c r="O26" i="2"/>
  <c r="U26" i="2"/>
  <c r="H26" i="2"/>
  <c r="AC26" i="2"/>
  <c r="N26" i="2"/>
  <c r="AB26" i="2"/>
  <c r="AB19" i="2" s="1"/>
  <c r="M26" i="2"/>
  <c r="M19" i="2" s="1"/>
  <c r="Z26" i="2"/>
  <c r="Z19" i="2" s="1"/>
  <c r="L26" i="2"/>
  <c r="Y26" i="2"/>
  <c r="K26" i="2"/>
  <c r="K19" i="2" s="1"/>
  <c r="X26" i="2"/>
  <c r="X19" i="2" s="1"/>
  <c r="J26" i="2"/>
  <c r="J19" i="2" s="1"/>
  <c r="W26" i="2"/>
  <c r="I26" i="2"/>
  <c r="V26" i="2"/>
  <c r="G26" i="2"/>
  <c r="G19" i="2" s="1"/>
  <c r="T26" i="2"/>
  <c r="AD26" i="2" s="1"/>
  <c r="F26" i="2"/>
  <c r="AD33" i="2"/>
  <c r="AQ39" i="2"/>
  <c r="AG5" i="2"/>
  <c r="E26" i="2"/>
  <c r="Q26" i="2" s="1"/>
  <c r="AN17" i="2"/>
  <c r="AF27" i="2"/>
  <c r="T27" i="2"/>
  <c r="H27" i="2"/>
  <c r="AC27" i="2"/>
  <c r="P27" i="2"/>
  <c r="R27" i="2"/>
  <c r="AG27" i="2"/>
  <c r="AQ27" i="2" s="1"/>
  <c r="E27" i="2"/>
  <c r="S27" i="2"/>
  <c r="AG40" i="2"/>
  <c r="U40" i="2"/>
  <c r="AD40" i="2" s="1"/>
  <c r="I40" i="2"/>
  <c r="I36" i="2" s="1"/>
  <c r="V40" i="2"/>
  <c r="V36" i="2" s="1"/>
  <c r="H40" i="2"/>
  <c r="H36" i="2" s="1"/>
  <c r="AC40" i="2"/>
  <c r="O40" i="2"/>
  <c r="Y40" i="2"/>
  <c r="Y36" i="2" s="1"/>
  <c r="K40" i="2"/>
  <c r="X40" i="2"/>
  <c r="J40" i="2"/>
  <c r="W40" i="2"/>
  <c r="AD50" i="2"/>
  <c r="N20" i="2"/>
  <c r="N19" i="2" s="1"/>
  <c r="AC20" i="2"/>
  <c r="AG23" i="2"/>
  <c r="U23" i="2"/>
  <c r="U19" i="2" s="1"/>
  <c r="I23" i="2"/>
  <c r="V23" i="2"/>
  <c r="H23" i="2"/>
  <c r="R23" i="2"/>
  <c r="AF23" i="2"/>
  <c r="AQ23" i="2" s="1"/>
  <c r="F27" i="2"/>
  <c r="U27" i="2"/>
  <c r="Y28" i="2"/>
  <c r="M28" i="2"/>
  <c r="X28" i="2"/>
  <c r="K28" i="2"/>
  <c r="R28" i="2"/>
  <c r="AF28" i="2"/>
  <c r="AQ28" i="2" s="1"/>
  <c r="O29" i="2"/>
  <c r="AC29" i="2"/>
  <c r="M30" i="2"/>
  <c r="AA30" i="2"/>
  <c r="E40" i="2"/>
  <c r="Z40" i="2"/>
  <c r="Z36" i="2" s="1"/>
  <c r="AQ43" i="2"/>
  <c r="AA6" i="2"/>
  <c r="O6" i="2"/>
  <c r="O5" i="2" s="1"/>
  <c r="P20" i="2"/>
  <c r="E23" i="2"/>
  <c r="S23" i="2"/>
  <c r="G27" i="2"/>
  <c r="V27" i="2"/>
  <c r="E28" i="2"/>
  <c r="S28" i="2"/>
  <c r="AG28" i="2"/>
  <c r="P29" i="2"/>
  <c r="AE29" i="2"/>
  <c r="N30" i="2"/>
  <c r="AC30" i="2"/>
  <c r="F40" i="2"/>
  <c r="AA40" i="2"/>
  <c r="U45" i="2"/>
  <c r="AD45" i="2" s="1"/>
  <c r="Y69" i="2"/>
  <c r="E6" i="2"/>
  <c r="R6" i="2"/>
  <c r="AE6" i="2"/>
  <c r="F23" i="2"/>
  <c r="T23" i="2"/>
  <c r="I27" i="2"/>
  <c r="W27" i="2"/>
  <c r="F28" i="2"/>
  <c r="T28" i="2"/>
  <c r="P30" i="2"/>
  <c r="AB36" i="2"/>
  <c r="G40" i="2"/>
  <c r="G36" i="2" s="1"/>
  <c r="AB40" i="2"/>
  <c r="AD63" i="2"/>
  <c r="V64" i="2"/>
  <c r="J64" i="2"/>
  <c r="J56" i="2" s="1"/>
  <c r="AG64" i="2"/>
  <c r="U64" i="2"/>
  <c r="I64" i="2"/>
  <c r="AB64" i="2"/>
  <c r="AB56" i="2" s="1"/>
  <c r="N64" i="2"/>
  <c r="N56" i="2" s="1"/>
  <c r="P64" i="2"/>
  <c r="AC64" i="2"/>
  <c r="AC56" i="2" s="1"/>
  <c r="O64" i="2"/>
  <c r="O56" i="2" s="1"/>
  <c r="M64" i="2"/>
  <c r="M56" i="2" s="1"/>
  <c r="AF64" i="2"/>
  <c r="L64" i="2"/>
  <c r="L56" i="2" s="1"/>
  <c r="AE64" i="2"/>
  <c r="K64" i="2"/>
  <c r="AA64" i="2"/>
  <c r="AA56" i="2" s="1"/>
  <c r="H64" i="2"/>
  <c r="Z64" i="2"/>
  <c r="Z56" i="2" s="1"/>
  <c r="G64" i="2"/>
  <c r="Y64" i="2"/>
  <c r="Y56" i="2" s="1"/>
  <c r="F64" i="2"/>
  <c r="F55" i="2" s="1"/>
  <c r="X64" i="2"/>
  <c r="E64" i="2"/>
  <c r="S5" i="2"/>
  <c r="AA20" i="2"/>
  <c r="O20" i="2"/>
  <c r="V20" i="2"/>
  <c r="I20" i="2"/>
  <c r="I19" i="2" s="1"/>
  <c r="R20" i="2"/>
  <c r="AF20" i="2"/>
  <c r="J27" i="2"/>
  <c r="X27" i="2"/>
  <c r="R29" i="2"/>
  <c r="F29" i="2"/>
  <c r="Q29" i="2" s="1"/>
  <c r="AG29" i="2"/>
  <c r="T29" i="2"/>
  <c r="G29" i="2"/>
  <c r="S29" i="2"/>
  <c r="L40" i="2"/>
  <c r="R64" i="2"/>
  <c r="AH53" i="2"/>
  <c r="AH75" i="2" s="1"/>
  <c r="AH79" i="2" s="1"/>
  <c r="G5" i="2"/>
  <c r="S19" i="2"/>
  <c r="K27" i="2"/>
  <c r="Y27" i="2"/>
  <c r="W30" i="2"/>
  <c r="K30" i="2"/>
  <c r="AB30" i="2"/>
  <c r="O30" i="2"/>
  <c r="R30" i="2"/>
  <c r="AF30" i="2"/>
  <c r="M40" i="2"/>
  <c r="M36" i="2" s="1"/>
  <c r="AE40" i="2"/>
  <c r="AQ40" i="2" s="1"/>
  <c r="X45" i="2"/>
  <c r="L45" i="2"/>
  <c r="Z45" i="2"/>
  <c r="M45" i="2"/>
  <c r="AE45" i="2"/>
  <c r="AC45" i="2"/>
  <c r="O45" i="2"/>
  <c r="AB45" i="2"/>
  <c r="N45" i="2"/>
  <c r="AA45" i="2"/>
  <c r="K45" i="2"/>
  <c r="Y45" i="2"/>
  <c r="J45" i="2"/>
  <c r="W45" i="2"/>
  <c r="I45" i="2"/>
  <c r="AF45" i="2"/>
  <c r="S64" i="2"/>
  <c r="AI53" i="2"/>
  <c r="AI75" i="2" s="1"/>
  <c r="AI79" i="2" s="1"/>
  <c r="AH17" i="2"/>
  <c r="F20" i="2"/>
  <c r="T20" i="2"/>
  <c r="L27" i="2"/>
  <c r="Z27" i="2"/>
  <c r="H29" i="2"/>
  <c r="V29" i="2"/>
  <c r="E30" i="2"/>
  <c r="S30" i="2"/>
  <c r="AG30" i="2"/>
  <c r="N40" i="2"/>
  <c r="AF40" i="2"/>
  <c r="E45" i="2"/>
  <c r="AG45" i="2"/>
  <c r="T64" i="2"/>
  <c r="J55" i="2"/>
  <c r="P42" i="2"/>
  <c r="P43" i="2"/>
  <c r="V56" i="2"/>
  <c r="AF21" i="2"/>
  <c r="AQ21" i="2" s="1"/>
  <c r="T21" i="2"/>
  <c r="AD21" i="2" s="1"/>
  <c r="H21" i="2"/>
  <c r="AA48" i="2"/>
  <c r="O48" i="2"/>
  <c r="X48" i="2"/>
  <c r="K48" i="2"/>
  <c r="Q48" i="2" s="1"/>
  <c r="R48" i="2"/>
  <c r="AD48" i="2" s="1"/>
  <c r="W56" i="2"/>
  <c r="W38" i="2"/>
  <c r="K38" i="2"/>
  <c r="AF38" i="2"/>
  <c r="AQ38" i="2" s="1"/>
  <c r="S38" i="2"/>
  <c r="F38" i="2"/>
  <c r="R38" i="2"/>
  <c r="AG38" i="2"/>
  <c r="AG42" i="2"/>
  <c r="AQ42" i="2" s="1"/>
  <c r="S42" i="2"/>
  <c r="G42" i="2"/>
  <c r="Y42" i="2"/>
  <c r="L42" i="2"/>
  <c r="R42" i="2"/>
  <c r="Z43" i="2"/>
  <c r="N43" i="2"/>
  <c r="V43" i="2"/>
  <c r="I43" i="2"/>
  <c r="R43" i="2"/>
  <c r="AF43" i="2"/>
  <c r="V49" i="2"/>
  <c r="J49" i="2"/>
  <c r="U49" i="2"/>
  <c r="H49" i="2"/>
  <c r="R49" i="2"/>
  <c r="AF49" i="2"/>
  <c r="AE57" i="2"/>
  <c r="S57" i="2"/>
  <c r="S56" i="2" s="1"/>
  <c r="G57" i="2"/>
  <c r="AF57" i="2"/>
  <c r="AF56" i="2" s="1"/>
  <c r="R57" i="2"/>
  <c r="E57" i="2"/>
  <c r="U57" i="2"/>
  <c r="U56" i="2" s="1"/>
  <c r="H57" i="2"/>
  <c r="H56" i="2" s="1"/>
  <c r="AG57" i="2"/>
  <c r="AG56" i="2" s="1"/>
  <c r="T57" i="2"/>
  <c r="F57" i="2"/>
  <c r="X57" i="2"/>
  <c r="E42" i="2"/>
  <c r="T42" i="2"/>
  <c r="T36" i="2" s="1"/>
  <c r="E43" i="2"/>
  <c r="S43" i="2"/>
  <c r="AG43" i="2"/>
  <c r="E49" i="2"/>
  <c r="S49" i="2"/>
  <c r="AG49" i="2"/>
  <c r="AQ49" i="2" s="1"/>
  <c r="I56" i="2"/>
  <c r="F42" i="2"/>
  <c r="U42" i="2"/>
  <c r="F43" i="2"/>
  <c r="T43" i="2"/>
  <c r="F49" i="2"/>
  <c r="T49" i="2"/>
  <c r="AG72" i="2"/>
  <c r="U72" i="2"/>
  <c r="I72" i="2"/>
  <c r="R72" i="2"/>
  <c r="F72" i="2"/>
  <c r="AC72" i="2"/>
  <c r="E72" i="2"/>
  <c r="E69" i="2" s="1"/>
  <c r="Z72" i="2"/>
  <c r="Z69" i="2" s="1"/>
  <c r="N72" i="2"/>
  <c r="Y72" i="2"/>
  <c r="M72" i="2"/>
  <c r="X72" i="2"/>
  <c r="X55" i="2" s="1"/>
  <c r="L72" i="2"/>
  <c r="L55" i="2" s="1"/>
  <c r="W72" i="2"/>
  <c r="W55" i="2" s="1"/>
  <c r="K72" i="2"/>
  <c r="K69" i="2" s="1"/>
  <c r="V72" i="2"/>
  <c r="V55" i="2" s="1"/>
  <c r="J72" i="2"/>
  <c r="AB72" i="2"/>
  <c r="AB55" i="2" s="1"/>
  <c r="AF72" i="2"/>
  <c r="AE72" i="2"/>
  <c r="K56" i="2"/>
  <c r="AB69" i="2"/>
  <c r="Q44" i="2"/>
  <c r="H72" i="2"/>
  <c r="AE67" i="2"/>
  <c r="S67" i="2"/>
  <c r="G67" i="2"/>
  <c r="R67" i="2"/>
  <c r="F67" i="2"/>
  <c r="Q67" i="2" s="1"/>
  <c r="T67" i="2"/>
  <c r="AE69" i="2"/>
  <c r="AA31" i="2"/>
  <c r="AD31" i="2" s="1"/>
  <c r="O31" i="2"/>
  <c r="Q31" i="2" s="1"/>
  <c r="Z41" i="2"/>
  <c r="N41" i="2"/>
  <c r="Q41" i="2" s="1"/>
  <c r="AE44" i="2"/>
  <c r="AQ44" i="2" s="1"/>
  <c r="S44" i="2"/>
  <c r="AD44" i="2" s="1"/>
  <c r="G44" i="2"/>
  <c r="AA50" i="2"/>
  <c r="O50" i="2"/>
  <c r="Q50" i="2" s="1"/>
  <c r="AF50" i="2"/>
  <c r="AQ50" i="2" s="1"/>
  <c r="AG67" i="2"/>
  <c r="O73" i="2"/>
  <c r="AA73" i="2"/>
  <c r="P73" i="2"/>
  <c r="P77" i="2"/>
  <c r="Q77" i="2" s="1"/>
  <c r="E73" i="2"/>
  <c r="AE73" i="2"/>
  <c r="P33" i="2"/>
  <c r="Q33" i="2" s="1"/>
  <c r="P39" i="2"/>
  <c r="P36" i="2" s="1"/>
  <c r="P63" i="2"/>
  <c r="Q63" i="2" s="1"/>
  <c r="O70" i="2"/>
  <c r="AA70" i="2"/>
  <c r="H71" i="2"/>
  <c r="Q71" i="2" s="1"/>
  <c r="T71" i="2"/>
  <c r="T55" i="2" s="1"/>
  <c r="AF71" i="2"/>
  <c r="AF69" i="2" s="1"/>
  <c r="F73" i="2"/>
  <c r="R73" i="2"/>
  <c r="AF73" i="2"/>
  <c r="W77" i="2"/>
  <c r="P70" i="2"/>
  <c r="I71" i="2"/>
  <c r="I55" i="2" s="1"/>
  <c r="U71" i="2"/>
  <c r="U55" i="2" s="1"/>
  <c r="AG71" i="2"/>
  <c r="G73" i="2"/>
  <c r="G69" i="2" s="1"/>
  <c r="S73" i="2"/>
  <c r="S69" i="2" s="1"/>
  <c r="AG73" i="2"/>
  <c r="X77" i="2"/>
  <c r="J73" i="2"/>
  <c r="J69" i="2" s="1"/>
  <c r="V73" i="2"/>
  <c r="AA77" i="2"/>
  <c r="K73" i="2"/>
  <c r="W73" i="2"/>
  <c r="P71" i="2"/>
  <c r="N73" i="2"/>
  <c r="L116" i="1" l="1"/>
  <c r="AC17" i="2"/>
  <c r="P52" i="1"/>
  <c r="L53" i="2"/>
  <c r="L75" i="2" s="1"/>
  <c r="L79" i="2" s="1"/>
  <c r="L17" i="2"/>
  <c r="I53" i="2"/>
  <c r="I75" i="2" s="1"/>
  <c r="I79" i="2" s="1"/>
  <c r="I17" i="2"/>
  <c r="V17" i="2"/>
  <c r="P81" i="1"/>
  <c r="O80" i="1"/>
  <c r="Q49" i="2"/>
  <c r="Q40" i="2"/>
  <c r="Q36" i="2" s="1"/>
  <c r="Q57" i="2"/>
  <c r="Q56" i="2" s="1"/>
  <c r="E56" i="2"/>
  <c r="AG55" i="2"/>
  <c r="AG69" i="2"/>
  <c r="O55" i="2"/>
  <c r="O69" i="2"/>
  <c r="AD67" i="2"/>
  <c r="M69" i="2"/>
  <c r="M55" i="2"/>
  <c r="R56" i="2"/>
  <c r="AD57" i="2"/>
  <c r="AG36" i="2"/>
  <c r="T19" i="2"/>
  <c r="AQ30" i="2"/>
  <c r="AF19" i="2"/>
  <c r="AF53" i="2" s="1"/>
  <c r="AF75" i="2" s="1"/>
  <c r="AF79" i="2" s="1"/>
  <c r="P19" i="2"/>
  <c r="P53" i="2" s="1"/>
  <c r="P75" i="2" s="1"/>
  <c r="P79" i="2" s="1"/>
  <c r="Q47" i="2"/>
  <c r="AQ20" i="2"/>
  <c r="AQ10" i="2"/>
  <c r="W17" i="2"/>
  <c r="AE36" i="2"/>
  <c r="P17" i="2"/>
  <c r="T53" i="2"/>
  <c r="T75" i="2" s="1"/>
  <c r="T79" i="2" s="1"/>
  <c r="T17" i="2"/>
  <c r="AG53" i="2"/>
  <c r="AG75" i="2" s="1"/>
  <c r="AG79" i="2" s="1"/>
  <c r="AG17" i="2"/>
  <c r="AG19" i="2"/>
  <c r="M43" i="1"/>
  <c r="N44" i="1"/>
  <c r="Y55" i="2"/>
  <c r="Q43" i="2"/>
  <c r="AD43" i="2"/>
  <c r="R36" i="2"/>
  <c r="AD38" i="2"/>
  <c r="F19" i="2"/>
  <c r="F53" i="2" s="1"/>
  <c r="F75" i="2" s="1"/>
  <c r="F79" i="2" s="1"/>
  <c r="AD30" i="2"/>
  <c r="R19" i="2"/>
  <c r="AD20" i="2"/>
  <c r="O17" i="2"/>
  <c r="AD23" i="2"/>
  <c r="AE19" i="2"/>
  <c r="AD46" i="2"/>
  <c r="F17" i="2"/>
  <c r="K17" i="2"/>
  <c r="R13" i="2"/>
  <c r="AD15" i="2"/>
  <c r="AD13" i="2" s="1"/>
  <c r="N89" i="1"/>
  <c r="M88" i="1"/>
  <c r="M78" i="1" s="1"/>
  <c r="M14" i="1"/>
  <c r="N15" i="1"/>
  <c r="M5" i="1"/>
  <c r="M56" i="1" s="1"/>
  <c r="AD27" i="2"/>
  <c r="AA55" i="2"/>
  <c r="AA69" i="2"/>
  <c r="AD70" i="2"/>
  <c r="AB17" i="2"/>
  <c r="AB53" i="2"/>
  <c r="AB75" i="2" s="1"/>
  <c r="AB79" i="2" s="1"/>
  <c r="E13" i="2"/>
  <c r="Q15" i="2"/>
  <c r="Q13" i="2" s="1"/>
  <c r="N69" i="2"/>
  <c r="N55" i="2"/>
  <c r="G56" i="2"/>
  <c r="F36" i="2"/>
  <c r="H19" i="2"/>
  <c r="Q45" i="2"/>
  <c r="AA5" i="2"/>
  <c r="J36" i="2"/>
  <c r="Q27" i="2"/>
  <c r="X17" i="2"/>
  <c r="U36" i="2"/>
  <c r="H55" i="2"/>
  <c r="AD25" i="2"/>
  <c r="M35" i="1"/>
  <c r="AA36" i="2"/>
  <c r="J53" i="2"/>
  <c r="J75" i="2" s="1"/>
  <c r="J79" i="2" s="1"/>
  <c r="J17" i="2"/>
  <c r="AQ67" i="2"/>
  <c r="Q42" i="2"/>
  <c r="S36" i="2"/>
  <c r="S53" i="2" s="1"/>
  <c r="S75" i="2" s="1"/>
  <c r="S79" i="2" s="1"/>
  <c r="L36" i="2"/>
  <c r="V19" i="2"/>
  <c r="V53" i="2" s="1"/>
  <c r="V75" i="2" s="1"/>
  <c r="V79" i="2" s="1"/>
  <c r="AQ29" i="2"/>
  <c r="Z55" i="2"/>
  <c r="X36" i="2"/>
  <c r="X53" i="2" s="1"/>
  <c r="X75" i="2" s="1"/>
  <c r="X79" i="2" s="1"/>
  <c r="V69" i="2"/>
  <c r="AE13" i="2"/>
  <c r="AQ15" i="2"/>
  <c r="AQ13" i="2" s="1"/>
  <c r="P12" i="1"/>
  <c r="AC10" i="1"/>
  <c r="U53" i="2"/>
  <c r="U75" i="2" s="1"/>
  <c r="U79" i="2" s="1"/>
  <c r="U17" i="2"/>
  <c r="AD71" i="2"/>
  <c r="H69" i="2"/>
  <c r="P55" i="2"/>
  <c r="P69" i="2"/>
  <c r="AQ72" i="2"/>
  <c r="AE55" i="2"/>
  <c r="AQ73" i="2"/>
  <c r="Q72" i="2"/>
  <c r="AQ57" i="2"/>
  <c r="AE56" i="2"/>
  <c r="AF36" i="2"/>
  <c r="N36" i="2"/>
  <c r="O19" i="2"/>
  <c r="O53" i="2" s="1"/>
  <c r="O75" i="2" s="1"/>
  <c r="O79" i="2" s="1"/>
  <c r="AQ64" i="2"/>
  <c r="X69" i="2"/>
  <c r="W69" i="2"/>
  <c r="Y53" i="2"/>
  <c r="Y17" i="2"/>
  <c r="Q46" i="2"/>
  <c r="AD29" i="2"/>
  <c r="AD10" i="2"/>
  <c r="S55" i="2"/>
  <c r="Q73" i="2"/>
  <c r="T69" i="2"/>
  <c r="AC69" i="2"/>
  <c r="AC55" i="2"/>
  <c r="X56" i="2"/>
  <c r="K36" i="2"/>
  <c r="K53" i="2" s="1"/>
  <c r="K75" i="2" s="1"/>
  <c r="K79" i="2" s="1"/>
  <c r="AQ45" i="2"/>
  <c r="AA19" i="2"/>
  <c r="AE5" i="2"/>
  <c r="AQ6" i="2"/>
  <c r="AD28" i="2"/>
  <c r="G55" i="2"/>
  <c r="AQ46" i="2"/>
  <c r="AQ36" i="2" s="1"/>
  <c r="M53" i="2"/>
  <c r="M75" i="2" s="1"/>
  <c r="M79" i="2" s="1"/>
  <c r="M17" i="2"/>
  <c r="E55" i="2"/>
  <c r="N83" i="1"/>
  <c r="O84" i="1"/>
  <c r="G53" i="2"/>
  <c r="G75" i="2" s="1"/>
  <c r="G79" i="2" s="1"/>
  <c r="G17" i="2"/>
  <c r="AD64" i="2"/>
  <c r="E36" i="2"/>
  <c r="AD73" i="2"/>
  <c r="Q70" i="2"/>
  <c r="F56" i="2"/>
  <c r="AD42" i="2"/>
  <c r="W36" i="2"/>
  <c r="W53" i="2" s="1"/>
  <c r="W75" i="2" s="1"/>
  <c r="W79" i="2" s="1"/>
  <c r="K55" i="2"/>
  <c r="S17" i="2"/>
  <c r="R5" i="2"/>
  <c r="AD6" i="2"/>
  <c r="I69" i="2"/>
  <c r="O36" i="2"/>
  <c r="Q20" i="2"/>
  <c r="N53" i="2"/>
  <c r="N75" i="2" s="1"/>
  <c r="N79" i="2" s="1"/>
  <c r="N17" i="2"/>
  <c r="Z53" i="2"/>
  <c r="Z75" i="2" s="1"/>
  <c r="Z79" i="2" s="1"/>
  <c r="Z17" i="2"/>
  <c r="AQ71" i="2"/>
  <c r="AF55" i="2"/>
  <c r="O29" i="1"/>
  <c r="P30" i="1"/>
  <c r="Q23" i="2"/>
  <c r="E19" i="2"/>
  <c r="AF17" i="2"/>
  <c r="AD72" i="2"/>
  <c r="R69" i="2"/>
  <c r="R55" i="2"/>
  <c r="T56" i="2"/>
  <c r="AD49" i="2"/>
  <c r="L69" i="2"/>
  <c r="Q30" i="2"/>
  <c r="Q64" i="2"/>
  <c r="E5" i="2"/>
  <c r="Q6" i="2"/>
  <c r="Q28" i="2"/>
  <c r="AC19" i="2"/>
  <c r="AC53" i="2" s="1"/>
  <c r="AC75" i="2" s="1"/>
  <c r="AC79" i="2" s="1"/>
  <c r="AC36" i="2"/>
  <c r="H53" i="2"/>
  <c r="H75" i="2" s="1"/>
  <c r="H79" i="2" s="1"/>
  <c r="H17" i="2"/>
  <c r="Q10" i="2"/>
  <c r="N63" i="1"/>
  <c r="M62" i="1"/>
  <c r="AB38" i="1"/>
  <c r="P39" i="1"/>
  <c r="O37" i="1"/>
  <c r="O11" i="1"/>
  <c r="O7" i="1"/>
  <c r="P9" i="1"/>
  <c r="Q39" i="1" l="1"/>
  <c r="P37" i="1"/>
  <c r="Q19" i="2"/>
  <c r="AC38" i="1"/>
  <c r="E87" i="2"/>
  <c r="E17" i="2"/>
  <c r="E53" i="2"/>
  <c r="E75" i="2" s="1"/>
  <c r="E79" i="2" s="1"/>
  <c r="M69" i="1" s="1"/>
  <c r="M60" i="1" s="1"/>
  <c r="M114" i="1" s="1"/>
  <c r="M116" i="1" s="1"/>
  <c r="M118" i="1" s="1"/>
  <c r="Q5" i="2"/>
  <c r="AD56" i="2"/>
  <c r="Q52" i="1"/>
  <c r="N88" i="1"/>
  <c r="N78" i="1" s="1"/>
  <c r="O89" i="1"/>
  <c r="O44" i="1"/>
  <c r="N43" i="1"/>
  <c r="N35" i="1" s="1"/>
  <c r="O15" i="1"/>
  <c r="N14" i="1"/>
  <c r="N5" i="1" s="1"/>
  <c r="P29" i="1"/>
  <c r="Q30" i="1"/>
  <c r="AQ56" i="2"/>
  <c r="Q81" i="1"/>
  <c r="P80" i="1"/>
  <c r="P11" i="1"/>
  <c r="AD36" i="2"/>
  <c r="AE53" i="2"/>
  <c r="AE75" i="2" s="1"/>
  <c r="AE79" i="2" s="1"/>
  <c r="AK69" i="1" s="1"/>
  <c r="AL69" i="1" s="1"/>
  <c r="AQ5" i="2"/>
  <c r="AE17" i="2"/>
  <c r="AD10" i="1"/>
  <c r="AD19" i="2"/>
  <c r="AQ19" i="2"/>
  <c r="AA17" i="2"/>
  <c r="AA53" i="2"/>
  <c r="AA75" i="2" s="1"/>
  <c r="AA79" i="2" s="1"/>
  <c r="Q55" i="2"/>
  <c r="Q69" i="2"/>
  <c r="O63" i="1"/>
  <c r="N62" i="1"/>
  <c r="R53" i="2"/>
  <c r="R75" i="2" s="1"/>
  <c r="R79" i="2" s="1"/>
  <c r="R17" i="2"/>
  <c r="AD5" i="2"/>
  <c r="P7" i="1"/>
  <c r="Q9" i="1"/>
  <c r="AQ55" i="2"/>
  <c r="AQ69" i="2"/>
  <c r="O83" i="1"/>
  <c r="P84" i="1"/>
  <c r="Y75" i="2"/>
  <c r="Y79" i="2" s="1"/>
  <c r="Q12" i="1"/>
  <c r="R12" i="1" s="1"/>
  <c r="S12" i="1" s="1"/>
  <c r="T12" i="1" s="1"/>
  <c r="U12" i="1" s="1"/>
  <c r="V12" i="1" s="1"/>
  <c r="W12" i="1" s="1"/>
  <c r="X12" i="1" s="1"/>
  <c r="Y12" i="1" s="1"/>
  <c r="Z12" i="1" s="1"/>
  <c r="AD69" i="2"/>
  <c r="AD55" i="2"/>
  <c r="L118" i="1"/>
  <c r="AE85" i="2" l="1"/>
  <c r="AE83" i="2"/>
  <c r="AD83" i="2"/>
  <c r="AM69" i="1"/>
  <c r="O88" i="1"/>
  <c r="O78" i="1" s="1"/>
  <c r="P89" i="1"/>
  <c r="R30" i="1"/>
  <c r="Q29" i="1"/>
  <c r="AD38" i="1"/>
  <c r="P83" i="1"/>
  <c r="Q84" i="1"/>
  <c r="AQ17" i="2"/>
  <c r="AQ53" i="2"/>
  <c r="AQ75" i="2" s="1"/>
  <c r="E85" i="2"/>
  <c r="E83" i="2"/>
  <c r="R81" i="1"/>
  <c r="Q80" i="1"/>
  <c r="R52" i="1"/>
  <c r="AD53" i="2"/>
  <c r="AD75" i="2" s="1"/>
  <c r="AD79" i="2" s="1"/>
  <c r="AD17" i="2"/>
  <c r="AE10" i="1"/>
  <c r="P15" i="1"/>
  <c r="O14" i="1"/>
  <c r="O5" i="1" s="1"/>
  <c r="O56" i="1" s="1"/>
  <c r="O62" i="1"/>
  <c r="P63" i="1"/>
  <c r="Q37" i="1"/>
  <c r="R39" i="1"/>
  <c r="N69" i="1"/>
  <c r="N60" i="1" s="1"/>
  <c r="N114" i="1" s="1"/>
  <c r="N116" i="1" s="1"/>
  <c r="O43" i="1"/>
  <c r="O35" i="1" s="1"/>
  <c r="P44" i="1"/>
  <c r="V90" i="2"/>
  <c r="Y69" i="1"/>
  <c r="N56" i="1"/>
  <c r="R9" i="1"/>
  <c r="Q11" i="1"/>
  <c r="Q53" i="2"/>
  <c r="Q75" i="2" s="1"/>
  <c r="Q17" i="2"/>
  <c r="G87" i="2"/>
  <c r="K87" i="2"/>
  <c r="O87" i="2"/>
  <c r="O88" i="2" s="1"/>
  <c r="H87" i="2"/>
  <c r="L87" i="2"/>
  <c r="M87" i="2"/>
  <c r="J87" i="2"/>
  <c r="F87" i="2"/>
  <c r="I87" i="2"/>
  <c r="P87" i="2"/>
  <c r="N87" i="2"/>
  <c r="AB90" i="2"/>
  <c r="S52" i="1" l="1"/>
  <c r="Q89" i="1"/>
  <c r="P88" i="1"/>
  <c r="P78" i="1" s="1"/>
  <c r="Q15" i="1"/>
  <c r="P14" i="1"/>
  <c r="P5" i="1" s="1"/>
  <c r="P56" i="1" s="1"/>
  <c r="AQ83" i="2"/>
  <c r="AQ79" i="2"/>
  <c r="R80" i="1"/>
  <c r="S81" i="1"/>
  <c r="R85" i="2"/>
  <c r="Z69" i="1"/>
  <c r="AE38" i="1"/>
  <c r="R84" i="1"/>
  <c r="Q83" i="1"/>
  <c r="AF85" i="2"/>
  <c r="AF83" i="2"/>
  <c r="AN69" i="1"/>
  <c r="R11" i="1"/>
  <c r="R29" i="1"/>
  <c r="S30" i="1"/>
  <c r="Q44" i="1"/>
  <c r="P43" i="1"/>
  <c r="P35" i="1" s="1"/>
  <c r="R37" i="1"/>
  <c r="S39" i="1"/>
  <c r="S9" i="1"/>
  <c r="Q7" i="1"/>
  <c r="P62" i="1"/>
  <c r="Q63" i="1"/>
  <c r="AF10" i="1"/>
  <c r="AD91" i="2"/>
  <c r="AD93" i="2" s="1"/>
  <c r="Q79" i="2"/>
  <c r="F85" i="2"/>
  <c r="F83" i="2"/>
  <c r="O69" i="1"/>
  <c r="AD92" i="2"/>
  <c r="AC92" i="2" s="1"/>
  <c r="AD90" i="2"/>
  <c r="T9" i="1" l="1"/>
  <c r="G85" i="2"/>
  <c r="G83" i="2"/>
  <c r="P69" i="1"/>
  <c r="AF38" i="1"/>
  <c r="S37" i="1"/>
  <c r="T39" i="1"/>
  <c r="T30" i="1"/>
  <c r="S29" i="1"/>
  <c r="T52" i="1"/>
  <c r="R15" i="1"/>
  <c r="Q14" i="1"/>
  <c r="R89" i="1"/>
  <c r="Q88" i="1"/>
  <c r="Q78" i="1" s="1"/>
  <c r="O60" i="1"/>
  <c r="O114" i="1" s="1"/>
  <c r="O116" i="1" s="1"/>
  <c r="AG10" i="1"/>
  <c r="T81" i="1"/>
  <c r="S80" i="1"/>
  <c r="S84" i="1"/>
  <c r="R83" i="1"/>
  <c r="Q43" i="1"/>
  <c r="Q35" i="1" s="1"/>
  <c r="R44" i="1"/>
  <c r="S85" i="2"/>
  <c r="S83" i="2"/>
  <c r="AA69" i="1"/>
  <c r="S11" i="1"/>
  <c r="S7" i="1" s="1"/>
  <c r="R63" i="1"/>
  <c r="Q62" i="1"/>
  <c r="AG85" i="2"/>
  <c r="AG83" i="2"/>
  <c r="AO69" i="1"/>
  <c r="Q5" i="1"/>
  <c r="Q56" i="1" s="1"/>
  <c r="R7" i="1"/>
  <c r="U39" i="1" l="1"/>
  <c r="T37" i="1"/>
  <c r="T85" i="2"/>
  <c r="T83" i="2"/>
  <c r="AB69" i="1"/>
  <c r="S63" i="1"/>
  <c r="R62" i="1"/>
  <c r="H85" i="2"/>
  <c r="H83" i="2"/>
  <c r="Q69" i="1"/>
  <c r="R88" i="1"/>
  <c r="R78" i="1" s="1"/>
  <c r="S89" i="1"/>
  <c r="U30" i="1"/>
  <c r="T29" i="1"/>
  <c r="S44" i="1"/>
  <c r="R43" i="1"/>
  <c r="R35" i="1" s="1"/>
  <c r="Q60" i="1"/>
  <c r="Q114" i="1" s="1"/>
  <c r="Q116" i="1" s="1"/>
  <c r="AH10" i="1"/>
  <c r="R14" i="1"/>
  <c r="R5" i="1" s="1"/>
  <c r="R56" i="1" s="1"/>
  <c r="S15" i="1"/>
  <c r="AG38" i="1"/>
  <c r="U9" i="1"/>
  <c r="T80" i="1"/>
  <c r="U81" i="1"/>
  <c r="U52" i="1"/>
  <c r="T11" i="1"/>
  <c r="T7" i="1" s="1"/>
  <c r="AH85" i="2"/>
  <c r="AH83" i="2"/>
  <c r="AP69" i="1"/>
  <c r="P60" i="1"/>
  <c r="P114" i="1" s="1"/>
  <c r="P116" i="1" s="1"/>
  <c r="T84" i="1"/>
  <c r="S83" i="1"/>
  <c r="T63" i="1" l="1"/>
  <c r="S62" i="1"/>
  <c r="U80" i="1"/>
  <c r="V81" i="1"/>
  <c r="S43" i="1"/>
  <c r="S35" i="1" s="1"/>
  <c r="T44" i="1"/>
  <c r="U85" i="2"/>
  <c r="U83" i="2"/>
  <c r="AC69" i="1"/>
  <c r="V52" i="1"/>
  <c r="U84" i="1"/>
  <c r="T83" i="1"/>
  <c r="U29" i="1"/>
  <c r="V30" i="1"/>
  <c r="U7" i="1"/>
  <c r="V9" i="1"/>
  <c r="S88" i="1"/>
  <c r="S78" i="1" s="1"/>
  <c r="T89" i="1"/>
  <c r="U11" i="1"/>
  <c r="AI85" i="2"/>
  <c r="AI83" i="2"/>
  <c r="AQ69" i="1"/>
  <c r="AH38" i="1"/>
  <c r="V39" i="1"/>
  <c r="U37" i="1"/>
  <c r="AI10" i="1"/>
  <c r="T15" i="1"/>
  <c r="S14" i="1"/>
  <c r="S5" i="1" s="1"/>
  <c r="I85" i="2"/>
  <c r="I83" i="2"/>
  <c r="R69" i="1"/>
  <c r="AI38" i="1" l="1"/>
  <c r="T43" i="1"/>
  <c r="T35" i="1" s="1"/>
  <c r="U44" i="1"/>
  <c r="V80" i="1"/>
  <c r="W81" i="1"/>
  <c r="U89" i="1"/>
  <c r="T88" i="1"/>
  <c r="T78" i="1" s="1"/>
  <c r="V29" i="1"/>
  <c r="W30" i="1"/>
  <c r="J83" i="2"/>
  <c r="J85" i="2"/>
  <c r="S69" i="1"/>
  <c r="AJ85" i="2"/>
  <c r="AJ83" i="2"/>
  <c r="AR69" i="1"/>
  <c r="S60" i="1"/>
  <c r="S114" i="1" s="1"/>
  <c r="S116" i="1" s="1"/>
  <c r="V7" i="1"/>
  <c r="W9" i="1"/>
  <c r="V84" i="1"/>
  <c r="U83" i="1"/>
  <c r="V83" i="2"/>
  <c r="V85" i="2"/>
  <c r="AD69" i="1"/>
  <c r="T62" i="1"/>
  <c r="U63" i="1"/>
  <c r="S56" i="1"/>
  <c r="R60" i="1"/>
  <c r="R114" i="1" s="1"/>
  <c r="R116" i="1" s="1"/>
  <c r="W39" i="1"/>
  <c r="V37" i="1"/>
  <c r="U15" i="1"/>
  <c r="T14" i="1"/>
  <c r="T5" i="1" s="1"/>
  <c r="V11" i="1"/>
  <c r="W52" i="1"/>
  <c r="AJ10" i="1"/>
  <c r="W37" i="1" l="1"/>
  <c r="X39" i="1"/>
  <c r="U43" i="1"/>
  <c r="U35" i="1" s="1"/>
  <c r="V44" i="1"/>
  <c r="U62" i="1"/>
  <c r="V63" i="1"/>
  <c r="T60" i="1"/>
  <c r="T114" i="1" s="1"/>
  <c r="T116" i="1" s="1"/>
  <c r="W83" i="2"/>
  <c r="W85" i="2"/>
  <c r="AE69" i="1"/>
  <c r="K83" i="2"/>
  <c r="K85" i="2"/>
  <c r="T69" i="1"/>
  <c r="AJ38" i="1"/>
  <c r="V89" i="1"/>
  <c r="U88" i="1"/>
  <c r="U78" i="1" s="1"/>
  <c r="W80" i="1"/>
  <c r="X81" i="1"/>
  <c r="W11" i="1"/>
  <c r="T56" i="1"/>
  <c r="AK10" i="1"/>
  <c r="AK85" i="2"/>
  <c r="AK83" i="2"/>
  <c r="AS69" i="1"/>
  <c r="V15" i="1"/>
  <c r="U14" i="1"/>
  <c r="U5" i="1" s="1"/>
  <c r="U56" i="1" s="1"/>
  <c r="W84" i="1"/>
  <c r="V83" i="1"/>
  <c r="X30" i="1"/>
  <c r="W29" i="1"/>
  <c r="X52" i="1"/>
  <c r="W7" i="1"/>
  <c r="X9" i="1"/>
  <c r="V88" i="1" l="1"/>
  <c r="V78" i="1" s="1"/>
  <c r="W89" i="1"/>
  <c r="W44" i="1"/>
  <c r="V43" i="1"/>
  <c r="V35" i="1" s="1"/>
  <c r="Y81" i="1"/>
  <c r="X80" i="1"/>
  <c r="BI81" i="1"/>
  <c r="V62" i="1"/>
  <c r="W63" i="1"/>
  <c r="AK38" i="1"/>
  <c r="Y52" i="1"/>
  <c r="X37" i="1"/>
  <c r="Y39" i="1"/>
  <c r="W83" i="1"/>
  <c r="X84" i="1"/>
  <c r="AL10" i="1"/>
  <c r="L83" i="2"/>
  <c r="L85" i="2"/>
  <c r="U69" i="1"/>
  <c r="U60" i="1" s="1"/>
  <c r="U114" i="1" s="1"/>
  <c r="U116" i="1" s="1"/>
  <c r="W15" i="1"/>
  <c r="V14" i="1"/>
  <c r="V5" i="1" s="1"/>
  <c r="V56" i="1" s="1"/>
  <c r="AL85" i="2"/>
  <c r="AL83" i="2"/>
  <c r="AT69" i="1"/>
  <c r="X7" i="1"/>
  <c r="Y9" i="1"/>
  <c r="Y30" i="1"/>
  <c r="X29" i="1"/>
  <c r="BI30" i="1"/>
  <c r="BI29" i="1" s="1"/>
  <c r="BI5" i="1" s="1"/>
  <c r="BI56" i="1" s="1"/>
  <c r="X11" i="1"/>
  <c r="X83" i="2"/>
  <c r="X85" i="2"/>
  <c r="AF69" i="1"/>
  <c r="AL38" i="1" l="1"/>
  <c r="Z9" i="1"/>
  <c r="AM10" i="1"/>
  <c r="X63" i="1"/>
  <c r="W62" i="1"/>
  <c r="BI80" i="1"/>
  <c r="BJ81" i="1"/>
  <c r="AM85" i="2"/>
  <c r="AM83" i="2"/>
  <c r="AU69" i="1"/>
  <c r="Y85" i="2"/>
  <c r="Y83" i="2"/>
  <c r="AG69" i="1"/>
  <c r="Z39" i="1"/>
  <c r="Y37" i="1"/>
  <c r="Y80" i="1"/>
  <c r="Z81" i="1"/>
  <c r="X83" i="1"/>
  <c r="Y84" i="1"/>
  <c r="W14" i="1"/>
  <c r="W5" i="1" s="1"/>
  <c r="X15" i="1"/>
  <c r="Z52" i="1"/>
  <c r="X44" i="1"/>
  <c r="W43" i="1"/>
  <c r="W35" i="1" s="1"/>
  <c r="Y11" i="1"/>
  <c r="Z30" i="1"/>
  <c r="Y29" i="1"/>
  <c r="M85" i="2"/>
  <c r="M83" i="2"/>
  <c r="V69" i="1"/>
  <c r="BM67" i="1" s="1"/>
  <c r="W88" i="1"/>
  <c r="W78" i="1" s="1"/>
  <c r="X89" i="1"/>
  <c r="BK81" i="1" l="1"/>
  <c r="BK80" i="1" s="1"/>
  <c r="BJ80" i="1"/>
  <c r="X43" i="1"/>
  <c r="X35" i="1" s="1"/>
  <c r="Y44" i="1"/>
  <c r="Z85" i="2"/>
  <c r="Z83" i="2"/>
  <c r="AH69" i="1"/>
  <c r="Z29" i="1"/>
  <c r="AA30" i="1"/>
  <c r="AN10" i="1"/>
  <c r="Z11" i="1"/>
  <c r="X14" i="1"/>
  <c r="X5" i="1" s="1"/>
  <c r="X56" i="1" s="1"/>
  <c r="Y15" i="1"/>
  <c r="AN85" i="2"/>
  <c r="AN83" i="2"/>
  <c r="AV69" i="1"/>
  <c r="Y7" i="1"/>
  <c r="AA39" i="1"/>
  <c r="Z37" i="1"/>
  <c r="AA52" i="1"/>
  <c r="W56" i="1"/>
  <c r="X62" i="1"/>
  <c r="Y63" i="1"/>
  <c r="N85" i="2"/>
  <c r="N83" i="2"/>
  <c r="W69" i="1"/>
  <c r="Y89" i="1"/>
  <c r="BI89" i="1"/>
  <c r="X88" i="1"/>
  <c r="X78" i="1" s="1"/>
  <c r="AM38" i="1"/>
  <c r="V60" i="1"/>
  <c r="V114" i="1" s="1"/>
  <c r="V116" i="1" s="1"/>
  <c r="AA81" i="1"/>
  <c r="Z80" i="1"/>
  <c r="Z84" i="1"/>
  <c r="Y83" i="1"/>
  <c r="Z44" i="1" l="1"/>
  <c r="Y43" i="1"/>
  <c r="Y35" i="1" s="1"/>
  <c r="AA29" i="1"/>
  <c r="AB30" i="1"/>
  <c r="O85" i="2"/>
  <c r="O83" i="2"/>
  <c r="X69" i="1"/>
  <c r="AA85" i="2"/>
  <c r="AA83" i="2"/>
  <c r="AI69" i="1"/>
  <c r="AA80" i="1"/>
  <c r="AB81" i="1"/>
  <c r="AA11" i="1"/>
  <c r="AP83" i="2"/>
  <c r="AO83" i="2"/>
  <c r="AB52" i="1"/>
  <c r="Y14" i="1"/>
  <c r="Y5" i="1" s="1"/>
  <c r="Y56" i="1" s="1"/>
  <c r="Z15" i="1"/>
  <c r="AN38" i="1"/>
  <c r="Z7" i="1"/>
  <c r="Z63" i="1"/>
  <c r="BJ89" i="1"/>
  <c r="BI88" i="1"/>
  <c r="BI78" i="1" s="1"/>
  <c r="AB39" i="1"/>
  <c r="AA37" i="1"/>
  <c r="Z83" i="1"/>
  <c r="AA84" i="1"/>
  <c r="W60" i="1"/>
  <c r="W114" i="1" s="1"/>
  <c r="W116" i="1" s="1"/>
  <c r="Z89" i="1"/>
  <c r="Y88" i="1"/>
  <c r="Y78" i="1" s="1"/>
  <c r="AO10" i="1"/>
  <c r="AA63" i="1" l="1"/>
  <c r="P85" i="2"/>
  <c r="P83" i="2"/>
  <c r="BI69" i="1"/>
  <c r="BI60" i="1" s="1"/>
  <c r="Y66" i="1"/>
  <c r="Q85" i="2"/>
  <c r="R83" i="2"/>
  <c r="Q83" i="2"/>
  <c r="AC52" i="1"/>
  <c r="X60" i="1"/>
  <c r="X114" i="1" s="1"/>
  <c r="X116" i="1" s="1"/>
  <c r="Z14" i="1"/>
  <c r="AA15" i="1"/>
  <c r="AP10" i="1"/>
  <c r="BI114" i="1"/>
  <c r="BI116" i="1" s="1"/>
  <c r="AA89" i="1"/>
  <c r="Z88" i="1"/>
  <c r="Z78" i="1" s="1"/>
  <c r="AB29" i="1"/>
  <c r="AC30" i="1"/>
  <c r="AA7" i="1"/>
  <c r="AB11" i="1"/>
  <c r="BK89" i="1"/>
  <c r="BK88" i="1" s="1"/>
  <c r="BK78" i="1" s="1"/>
  <c r="BK114" i="1" s="1"/>
  <c r="BJ88" i="1"/>
  <c r="BJ78" i="1" s="1"/>
  <c r="BJ114" i="1" s="1"/>
  <c r="AA44" i="1"/>
  <c r="Z43" i="1"/>
  <c r="Z35" i="1" s="1"/>
  <c r="AC81" i="1"/>
  <c r="AB80" i="1"/>
  <c r="AB83" i="2"/>
  <c r="AJ69" i="1"/>
  <c r="AC83" i="2" s="1"/>
  <c r="AB84" i="1"/>
  <c r="AA83" i="1"/>
  <c r="Z5" i="1"/>
  <c r="AO38" i="1"/>
  <c r="AC39" i="1"/>
  <c r="AB37" i="1"/>
  <c r="AC80" i="1" l="1"/>
  <c r="AD81" i="1"/>
  <c r="Z66" i="1"/>
  <c r="Y62" i="1"/>
  <c r="Y60" i="1" s="1"/>
  <c r="Y114" i="1" s="1"/>
  <c r="Y116" i="1" s="1"/>
  <c r="AB89" i="1"/>
  <c r="AA88" i="1"/>
  <c r="AA78" i="1" s="1"/>
  <c r="AD39" i="1"/>
  <c r="AC37" i="1"/>
  <c r="AB44" i="1"/>
  <c r="AA43" i="1"/>
  <c r="AA35" i="1" s="1"/>
  <c r="AQ10" i="1"/>
  <c r="AP38" i="1"/>
  <c r="AD30" i="1"/>
  <c r="AC29" i="1"/>
  <c r="AB63" i="1"/>
  <c r="AA5" i="1"/>
  <c r="AB15" i="1"/>
  <c r="AA14" i="1"/>
  <c r="Z56" i="1"/>
  <c r="AB7" i="1"/>
  <c r="AC11" i="1"/>
  <c r="AB83" i="1"/>
  <c r="AC84" i="1"/>
  <c r="AD52" i="1"/>
  <c r="AE39" i="1" l="1"/>
  <c r="AD37" i="1"/>
  <c r="AD84" i="1"/>
  <c r="AC83" i="1"/>
  <c r="AC63" i="1"/>
  <c r="AC7" i="1"/>
  <c r="AD11" i="1"/>
  <c r="AC89" i="1"/>
  <c r="AB88" i="1"/>
  <c r="AB78" i="1" s="1"/>
  <c r="AA56" i="1"/>
  <c r="AD29" i="1"/>
  <c r="AE30" i="1"/>
  <c r="AE52" i="1"/>
  <c r="AQ38" i="1"/>
  <c r="AE81" i="1"/>
  <c r="AD80" i="1"/>
  <c r="AB43" i="1"/>
  <c r="AB35" i="1" s="1"/>
  <c r="AC44" i="1"/>
  <c r="AA66" i="1"/>
  <c r="Z62" i="1"/>
  <c r="Z60" i="1" s="1"/>
  <c r="Z114" i="1" s="1"/>
  <c r="Z116" i="1" s="1"/>
  <c r="AR10" i="1"/>
  <c r="AC15" i="1"/>
  <c r="AB14" i="1"/>
  <c r="AB5" i="1" s="1"/>
  <c r="AB56" i="1" s="1"/>
  <c r="AD89" i="1" l="1"/>
  <c r="AC88" i="1"/>
  <c r="AC78" i="1" s="1"/>
  <c r="AE80" i="1"/>
  <c r="AF81" i="1"/>
  <c r="AD7" i="1"/>
  <c r="AE11" i="1"/>
  <c r="AD63" i="1"/>
  <c r="AD15" i="1"/>
  <c r="AC14" i="1"/>
  <c r="AF30" i="1"/>
  <c r="AE29" i="1"/>
  <c r="AC5" i="1"/>
  <c r="AF52" i="1"/>
  <c r="AD83" i="1"/>
  <c r="AE84" i="1"/>
  <c r="AF39" i="1"/>
  <c r="AE37" i="1"/>
  <c r="AR38" i="1"/>
  <c r="AS10" i="1"/>
  <c r="AB66" i="1"/>
  <c r="AA62" i="1"/>
  <c r="AA60" i="1" s="1"/>
  <c r="AA114" i="1" s="1"/>
  <c r="AA116" i="1" s="1"/>
  <c r="AD44" i="1"/>
  <c r="AC43" i="1"/>
  <c r="AC35" i="1" s="1"/>
  <c r="AE7" i="1" l="1"/>
  <c r="AF11" i="1"/>
  <c r="AE63" i="1"/>
  <c r="AD6" i="1"/>
  <c r="AD5" i="1"/>
  <c r="AG52" i="1"/>
  <c r="AG39" i="1"/>
  <c r="AF37" i="1"/>
  <c r="AF80" i="1"/>
  <c r="AG81" i="1"/>
  <c r="AE83" i="1"/>
  <c r="AF84" i="1"/>
  <c r="AC56" i="1"/>
  <c r="AD14" i="1"/>
  <c r="AE15" i="1"/>
  <c r="AE44" i="1"/>
  <c r="AD43" i="1"/>
  <c r="AD35" i="1" s="1"/>
  <c r="AD88" i="1"/>
  <c r="AD78" i="1" s="1"/>
  <c r="AE89" i="1"/>
  <c r="AG30" i="1"/>
  <c r="AF29" i="1"/>
  <c r="AC66" i="1"/>
  <c r="AB62" i="1"/>
  <c r="AB60" i="1" s="1"/>
  <c r="AB114" i="1" s="1"/>
  <c r="AB116" i="1" s="1"/>
  <c r="AT10" i="1"/>
  <c r="AS38" i="1"/>
  <c r="AT38" i="1" l="1"/>
  <c r="AD56" i="1"/>
  <c r="AE14" i="1"/>
  <c r="AF15" i="1"/>
  <c r="AU10" i="1"/>
  <c r="AH39" i="1"/>
  <c r="AG37" i="1"/>
  <c r="AF63" i="1"/>
  <c r="AF7" i="1"/>
  <c r="AG11" i="1"/>
  <c r="AF44" i="1"/>
  <c r="AE43" i="1"/>
  <c r="AE35" i="1" s="1"/>
  <c r="AD66" i="1"/>
  <c r="AC62" i="1"/>
  <c r="AC60" i="1" s="1"/>
  <c r="AC114" i="1" s="1"/>
  <c r="AC116" i="1" s="1"/>
  <c r="AH81" i="1"/>
  <c r="AG80" i="1"/>
  <c r="AH30" i="1"/>
  <c r="AG29" i="1"/>
  <c r="AH52" i="1"/>
  <c r="AG84" i="1"/>
  <c r="AF83" i="1"/>
  <c r="AE6" i="1"/>
  <c r="AE5" i="1"/>
  <c r="AE56" i="1" s="1"/>
  <c r="AE88" i="1"/>
  <c r="AE78" i="1" s="1"/>
  <c r="AF89" i="1"/>
  <c r="AH29" i="1" l="1"/>
  <c r="AI30" i="1"/>
  <c r="AI39" i="1"/>
  <c r="AH37" i="1"/>
  <c r="AV10" i="1"/>
  <c r="AG63" i="1"/>
  <c r="AE66" i="1"/>
  <c r="AD62" i="1"/>
  <c r="AD60" i="1" s="1"/>
  <c r="AD114" i="1" s="1"/>
  <c r="AD116" i="1" s="1"/>
  <c r="AF14" i="1"/>
  <c r="AG15" i="1"/>
  <c r="AG89" i="1"/>
  <c r="AF88" i="1"/>
  <c r="AF78" i="1" s="1"/>
  <c r="AF43" i="1"/>
  <c r="AF35" i="1" s="1"/>
  <c r="AG44" i="1"/>
  <c r="AG7" i="1"/>
  <c r="AH11" i="1"/>
  <c r="AU38" i="1"/>
  <c r="AH80" i="1"/>
  <c r="AI81" i="1"/>
  <c r="AG83" i="1"/>
  <c r="AH84" i="1"/>
  <c r="AI52" i="1"/>
  <c r="AF5" i="1"/>
  <c r="AF56" i="1" s="1"/>
  <c r="AF66" i="1" l="1"/>
  <c r="AE62" i="1"/>
  <c r="AE60" i="1" s="1"/>
  <c r="AE114" i="1" s="1"/>
  <c r="AE116" i="1" s="1"/>
  <c r="AH7" i="1"/>
  <c r="AI11" i="1"/>
  <c r="AG43" i="1"/>
  <c r="AG35" i="1" s="1"/>
  <c r="AH44" i="1"/>
  <c r="AV38" i="1"/>
  <c r="AJ52" i="1"/>
  <c r="AH63" i="1"/>
  <c r="AH89" i="1"/>
  <c r="AG88" i="1"/>
  <c r="AG78" i="1" s="1"/>
  <c r="AG14" i="1"/>
  <c r="AG5" i="1" s="1"/>
  <c r="AG56" i="1" s="1"/>
  <c r="AH15" i="1"/>
  <c r="AJ30" i="1"/>
  <c r="AI29" i="1"/>
  <c r="AI84" i="1"/>
  <c r="AH83" i="1"/>
  <c r="AJ39" i="1"/>
  <c r="AI37" i="1"/>
  <c r="AJ81" i="1"/>
  <c r="AI80" i="1"/>
  <c r="AH43" i="1" l="1"/>
  <c r="AH35" i="1" s="1"/>
  <c r="AI44" i="1"/>
  <c r="AI83" i="1"/>
  <c r="AJ84" i="1"/>
  <c r="AI7" i="1"/>
  <c r="AJ11" i="1"/>
  <c r="AI63" i="1"/>
  <c r="AJ29" i="1"/>
  <c r="AK30" i="1"/>
  <c r="AH88" i="1"/>
  <c r="AH78" i="1" s="1"/>
  <c r="AI89" i="1"/>
  <c r="AK39" i="1"/>
  <c r="AJ37" i="1"/>
  <c r="AI15" i="1"/>
  <c r="AH14" i="1"/>
  <c r="AH5" i="1" s="1"/>
  <c r="AH56" i="1" s="1"/>
  <c r="AK81" i="1"/>
  <c r="AJ80" i="1"/>
  <c r="AK52" i="1"/>
  <c r="AG66" i="1"/>
  <c r="AF62" i="1"/>
  <c r="AF60" i="1" s="1"/>
  <c r="AF114" i="1" s="1"/>
  <c r="AF116" i="1" s="1"/>
  <c r="AJ7" i="1" l="1"/>
  <c r="AK11" i="1"/>
  <c r="AL81" i="1"/>
  <c r="AK80" i="1"/>
  <c r="AL39" i="1"/>
  <c r="AK37" i="1"/>
  <c r="AI14" i="1"/>
  <c r="AI5" i="1" s="1"/>
  <c r="AI56" i="1" s="1"/>
  <c r="AJ15" i="1"/>
  <c r="AK84" i="1"/>
  <c r="AJ83" i="1"/>
  <c r="AJ63" i="1"/>
  <c r="AH66" i="1"/>
  <c r="AG62" i="1"/>
  <c r="AG60" i="1" s="1"/>
  <c r="AG114" i="1" s="1"/>
  <c r="AG116" i="1" s="1"/>
  <c r="AL52" i="1"/>
  <c r="AI43" i="1"/>
  <c r="AI35" i="1" s="1"/>
  <c r="AJ44" i="1"/>
  <c r="AI88" i="1"/>
  <c r="AI78" i="1" s="1"/>
  <c r="AJ89" i="1"/>
  <c r="AL30" i="1"/>
  <c r="AK29" i="1"/>
  <c r="AK15" i="1" l="1"/>
  <c r="AJ14" i="1"/>
  <c r="AM52" i="1"/>
  <c r="AN52" i="1" s="1"/>
  <c r="AO52" i="1" s="1"/>
  <c r="AP52" i="1" s="1"/>
  <c r="AQ52" i="1" s="1"/>
  <c r="AR52" i="1" s="1"/>
  <c r="AS52" i="1" s="1"/>
  <c r="AT52" i="1" s="1"/>
  <c r="AU52" i="1" s="1"/>
  <c r="AV52" i="1" s="1"/>
  <c r="AJ43" i="1"/>
  <c r="AJ35" i="1" s="1"/>
  <c r="AK44" i="1"/>
  <c r="AJ88" i="1"/>
  <c r="AJ78" i="1" s="1"/>
  <c r="AK89" i="1"/>
  <c r="AI66" i="1"/>
  <c r="AH62" i="1"/>
  <c r="AH60" i="1" s="1"/>
  <c r="AH114" i="1" s="1"/>
  <c r="AH116" i="1" s="1"/>
  <c r="AK63" i="1"/>
  <c r="AL29" i="1"/>
  <c r="AM30" i="1"/>
  <c r="AJ5" i="1"/>
  <c r="AJ56" i="1" s="1"/>
  <c r="AM39" i="1"/>
  <c r="AL37" i="1"/>
  <c r="AM81" i="1"/>
  <c r="AL80" i="1"/>
  <c r="AK7" i="1"/>
  <c r="AL11" i="1"/>
  <c r="AK83" i="1"/>
  <c r="AL84" i="1"/>
  <c r="AJ66" i="1" l="1"/>
  <c r="AI62" i="1"/>
  <c r="AI60" i="1" s="1"/>
  <c r="AI114" i="1" s="1"/>
  <c r="AI116" i="1" s="1"/>
  <c r="AL89" i="1"/>
  <c r="AK88" i="1"/>
  <c r="AK78" i="1" s="1"/>
  <c r="AN39" i="1"/>
  <c r="AM37" i="1"/>
  <c r="AK43" i="1"/>
  <c r="AK35" i="1" s="1"/>
  <c r="AL44" i="1"/>
  <c r="AN30" i="1"/>
  <c r="AM29" i="1"/>
  <c r="AN81" i="1"/>
  <c r="AM80" i="1"/>
  <c r="AM84" i="1"/>
  <c r="AL83" i="1"/>
  <c r="AL63" i="1"/>
  <c r="AL7" i="1"/>
  <c r="AM11" i="1"/>
  <c r="AK14" i="1"/>
  <c r="AK5" i="1" s="1"/>
  <c r="AK56" i="1" s="1"/>
  <c r="AL15" i="1"/>
  <c r="AN29" i="1" l="1"/>
  <c r="AO30" i="1"/>
  <c r="AM7" i="1"/>
  <c r="AN11" i="1"/>
  <c r="AM63" i="1"/>
  <c r="AL43" i="1"/>
  <c r="AL35" i="1" s="1"/>
  <c r="AM44" i="1"/>
  <c r="AO39" i="1"/>
  <c r="AN37" i="1"/>
  <c r="AM89" i="1"/>
  <c r="AL88" i="1"/>
  <c r="AL78" i="1" s="1"/>
  <c r="AO81" i="1"/>
  <c r="AN80" i="1"/>
  <c r="AM83" i="1"/>
  <c r="AN84" i="1"/>
  <c r="AM15" i="1"/>
  <c r="AL14" i="1"/>
  <c r="AL5" i="1" s="1"/>
  <c r="AL56" i="1" s="1"/>
  <c r="AK66" i="1"/>
  <c r="AJ62" i="1"/>
  <c r="AJ60" i="1" s="1"/>
  <c r="AJ114" i="1" s="1"/>
  <c r="AJ116" i="1" s="1"/>
  <c r="AP39" i="1" l="1"/>
  <c r="AO37" i="1"/>
  <c r="AN83" i="1"/>
  <c r="AO84" i="1"/>
  <c r="AN63" i="1"/>
  <c r="AL66" i="1"/>
  <c r="AK62" i="1"/>
  <c r="AK60" i="1" s="1"/>
  <c r="AK114" i="1" s="1"/>
  <c r="AK116" i="1" s="1"/>
  <c r="AN7" i="1"/>
  <c r="AO11" i="1"/>
  <c r="AN44" i="1"/>
  <c r="AM43" i="1"/>
  <c r="AM35" i="1" s="1"/>
  <c r="AO29" i="1"/>
  <c r="AP30" i="1"/>
  <c r="AM14" i="1"/>
  <c r="AN15" i="1"/>
  <c r="AO80" i="1"/>
  <c r="AP81" i="1"/>
  <c r="AM5" i="1"/>
  <c r="AM56" i="1" s="1"/>
  <c r="AN89" i="1"/>
  <c r="AM88" i="1"/>
  <c r="AM78" i="1" s="1"/>
  <c r="AO7" i="1" l="1"/>
  <c r="AP11" i="1"/>
  <c r="AO15" i="1"/>
  <c r="AN14" i="1"/>
  <c r="AN5" i="1" s="1"/>
  <c r="AN56" i="1" s="1"/>
  <c r="AO89" i="1"/>
  <c r="AN88" i="1"/>
  <c r="AN78" i="1" s="1"/>
  <c r="AP84" i="1"/>
  <c r="AO83" i="1"/>
  <c r="AM66" i="1"/>
  <c r="AL62" i="1"/>
  <c r="AL60" i="1" s="1"/>
  <c r="AL114" i="1" s="1"/>
  <c r="AL116" i="1" s="1"/>
  <c r="AP80" i="1"/>
  <c r="AQ81" i="1"/>
  <c r="AO63" i="1"/>
  <c r="AQ39" i="1"/>
  <c r="AP37" i="1"/>
  <c r="AQ30" i="1"/>
  <c r="AP29" i="1"/>
  <c r="AO44" i="1"/>
  <c r="AN43" i="1"/>
  <c r="AN35" i="1" s="1"/>
  <c r="AN66" i="1" l="1"/>
  <c r="AM62" i="1"/>
  <c r="AM60" i="1" s="1"/>
  <c r="AM114" i="1" s="1"/>
  <c r="AM116" i="1" s="1"/>
  <c r="AQ84" i="1"/>
  <c r="AP83" i="1"/>
  <c r="AP44" i="1"/>
  <c r="AO43" i="1"/>
  <c r="AO35" i="1" s="1"/>
  <c r="AP15" i="1"/>
  <c r="AO14" i="1"/>
  <c r="AO5" i="1" s="1"/>
  <c r="AO56" i="1" s="1"/>
  <c r="AR30" i="1"/>
  <c r="AQ29" i="1"/>
  <c r="AR39" i="1"/>
  <c r="AQ37" i="1"/>
  <c r="AP7" i="1"/>
  <c r="AQ11" i="1"/>
  <c r="AP89" i="1"/>
  <c r="AO88" i="1"/>
  <c r="AO78" i="1" s="1"/>
  <c r="AP63" i="1"/>
  <c r="AQ80" i="1"/>
  <c r="AR81" i="1"/>
  <c r="AR80" i="1" l="1"/>
  <c r="AS81" i="1"/>
  <c r="AQ89" i="1"/>
  <c r="AP88" i="1"/>
  <c r="AP78" i="1" s="1"/>
  <c r="AQ63" i="1"/>
  <c r="AQ44" i="1"/>
  <c r="AP43" i="1"/>
  <c r="AP35" i="1" s="1"/>
  <c r="AS30" i="1"/>
  <c r="AR29" i="1"/>
  <c r="AQ7" i="1"/>
  <c r="AR11" i="1"/>
  <c r="AP6" i="1"/>
  <c r="AO66" i="1"/>
  <c r="AN62" i="1"/>
  <c r="AN60" i="1" s="1"/>
  <c r="AN114" i="1" s="1"/>
  <c r="AN116" i="1" s="1"/>
  <c r="AQ15" i="1"/>
  <c r="AP14" i="1"/>
  <c r="AP5" i="1" s="1"/>
  <c r="AP56" i="1" s="1"/>
  <c r="AR84" i="1"/>
  <c r="AQ83" i="1"/>
  <c r="AS39" i="1"/>
  <c r="AR37" i="1"/>
  <c r="AQ14" i="1" l="1"/>
  <c r="AR15" i="1"/>
  <c r="AR83" i="1"/>
  <c r="AS84" i="1"/>
  <c r="AS29" i="1"/>
  <c r="AT30" i="1"/>
  <c r="AQ88" i="1"/>
  <c r="AQ78" i="1" s="1"/>
  <c r="AR89" i="1"/>
  <c r="AP66" i="1"/>
  <c r="AO62" i="1"/>
  <c r="AO60" i="1" s="1"/>
  <c r="AO114" i="1" s="1"/>
  <c r="AO116" i="1" s="1"/>
  <c r="AR63" i="1"/>
  <c r="AR7" i="1"/>
  <c r="AS11" i="1"/>
  <c r="AQ5" i="1"/>
  <c r="AQ6" i="1"/>
  <c r="AR44" i="1"/>
  <c r="AQ43" i="1"/>
  <c r="AQ35" i="1" s="1"/>
  <c r="AT81" i="1"/>
  <c r="AS80" i="1"/>
  <c r="AT39" i="1"/>
  <c r="AS37" i="1"/>
  <c r="AQ66" i="1" l="1"/>
  <c r="AP62" i="1"/>
  <c r="AP60" i="1" s="1"/>
  <c r="AP114" i="1" s="1"/>
  <c r="AP116" i="1" s="1"/>
  <c r="AR88" i="1"/>
  <c r="AR78" i="1" s="1"/>
  <c r="AS89" i="1"/>
  <c r="AT29" i="1"/>
  <c r="AU30" i="1"/>
  <c r="AQ56" i="1"/>
  <c r="AT84" i="1"/>
  <c r="AS83" i="1"/>
  <c r="AS44" i="1"/>
  <c r="AR43" i="1"/>
  <c r="AR35" i="1" s="1"/>
  <c r="AT80" i="1"/>
  <c r="AU81" i="1"/>
  <c r="AR14" i="1"/>
  <c r="AS15" i="1"/>
  <c r="AR5" i="1"/>
  <c r="AS7" i="1"/>
  <c r="AT11" i="1"/>
  <c r="AU39" i="1"/>
  <c r="AT37" i="1"/>
  <c r="AS63" i="1"/>
  <c r="AS43" i="1" l="1"/>
  <c r="AS35" i="1" s="1"/>
  <c r="AT44" i="1"/>
  <c r="AU84" i="1"/>
  <c r="AT83" i="1"/>
  <c r="AV30" i="1"/>
  <c r="AU29" i="1"/>
  <c r="AT89" i="1"/>
  <c r="AS88" i="1"/>
  <c r="AS78" i="1" s="1"/>
  <c r="AT63" i="1"/>
  <c r="AT7" i="1"/>
  <c r="AU11" i="1"/>
  <c r="AR56" i="1"/>
  <c r="AR66" i="1"/>
  <c r="AQ62" i="1"/>
  <c r="AQ60" i="1" s="1"/>
  <c r="AQ114" i="1" s="1"/>
  <c r="AQ116" i="1" s="1"/>
  <c r="AV39" i="1"/>
  <c r="AV37" i="1" s="1"/>
  <c r="AU37" i="1"/>
  <c r="AS14" i="1"/>
  <c r="AS5" i="1" s="1"/>
  <c r="AS56" i="1" s="1"/>
  <c r="AT15" i="1"/>
  <c r="AV81" i="1"/>
  <c r="AV80" i="1" s="1"/>
  <c r="AU80" i="1"/>
  <c r="AT14" i="1" l="1"/>
  <c r="AU15" i="1"/>
  <c r="AU63" i="1"/>
  <c r="AV29" i="1"/>
  <c r="BJ30" i="1"/>
  <c r="AU83" i="1"/>
  <c r="AV84" i="1"/>
  <c r="AV83" i="1" s="1"/>
  <c r="AT43" i="1"/>
  <c r="AT35" i="1" s="1"/>
  <c r="AU44" i="1"/>
  <c r="AT88" i="1"/>
  <c r="AT78" i="1" s="1"/>
  <c r="AU89" i="1"/>
  <c r="AS66" i="1"/>
  <c r="AR62" i="1"/>
  <c r="AR60" i="1" s="1"/>
  <c r="AR114" i="1" s="1"/>
  <c r="AR116" i="1" s="1"/>
  <c r="AU7" i="1"/>
  <c r="AV11" i="1"/>
  <c r="AV7" i="1" s="1"/>
  <c r="AT5" i="1"/>
  <c r="AT56" i="1" s="1"/>
  <c r="BJ29" i="1" l="1"/>
  <c r="BJ5" i="1" s="1"/>
  <c r="BJ56" i="1" s="1"/>
  <c r="BJ116" i="1" s="1"/>
  <c r="BK30" i="1"/>
  <c r="BK29" i="1" s="1"/>
  <c r="BK5" i="1" s="1"/>
  <c r="BK56" i="1" s="1"/>
  <c r="BK116" i="1" s="1"/>
  <c r="AT66" i="1"/>
  <c r="AS62" i="1"/>
  <c r="AS60" i="1" s="1"/>
  <c r="AS114" i="1" s="1"/>
  <c r="AS116" i="1" s="1"/>
  <c r="AU88" i="1"/>
  <c r="AU78" i="1" s="1"/>
  <c r="AV89" i="1"/>
  <c r="AV88" i="1" s="1"/>
  <c r="AV78" i="1" s="1"/>
  <c r="AU14" i="1"/>
  <c r="AV15" i="1"/>
  <c r="AV14" i="1" s="1"/>
  <c r="AV5" i="1" s="1"/>
  <c r="AV56" i="1" s="1"/>
  <c r="AU5" i="1"/>
  <c r="AU56" i="1" s="1"/>
  <c r="AV63" i="1"/>
  <c r="AV44" i="1"/>
  <c r="AV43" i="1" s="1"/>
  <c r="AV35" i="1" s="1"/>
  <c r="AU43" i="1"/>
  <c r="AU35" i="1" s="1"/>
  <c r="AU66" i="1" l="1"/>
  <c r="AT62" i="1"/>
  <c r="AT60" i="1" s="1"/>
  <c r="AT114" i="1" s="1"/>
  <c r="AT116" i="1" s="1"/>
  <c r="AV66" i="1" l="1"/>
  <c r="AV62" i="1" s="1"/>
  <c r="AV60" i="1" s="1"/>
  <c r="AV114" i="1" s="1"/>
  <c r="AV116" i="1" s="1"/>
  <c r="AU62" i="1"/>
  <c r="AU60" i="1" s="1"/>
  <c r="AU114" i="1" s="1"/>
  <c r="AU1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tc={30D5F74B-6E84-45D5-8175-3F87C9EF778B}</author>
  </authors>
  <commentList>
    <comment ref="AM51" authorId="0" shapeId="0" xr:uid="{30D5F74B-6E84-45D5-8175-3F87C9EF778B}">
      <text>
        <t>[Threaded comment]
Your version of Excel allows you to read this threaded comment; however, any edits to it will get removed if the file is opened in a newer version of Excel. Learn more: https://go.microsoft.com/fwlink/?linkid=870924
Comment:
    Lo coloque manual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tc={3A13DACD-3DAD-40B1-AF99-365EB9B8108F}</author>
    <author>LIZ MARTINEZ</author>
    <author>tc={6453CED6-7AD6-4954-8A59-57EFCBA61EFD}</author>
    <author>tc={24AE2EF1-2538-4CFB-95B9-9F05058DB6B0}</author>
    <author>tc={CBEF2918-D6AB-4F17-9EC8-B5FE009ED2C1}</author>
    <author>tc={726B6C13-A5C3-45DA-A438-8E0626C85D6F}</author>
  </authors>
  <commentList>
    <comment ref="AG31" authorId="0" shapeId="0" xr:uid="{3A13DACD-3DAD-40B1-AF99-365EB9B810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coloque manual, </t>
      </text>
    </comment>
    <comment ref="AC40" authorId="1" shapeId="0" xr:uid="{68F55F93-B0A8-499E-9547-7BCB56D6232A}">
      <text>
        <r>
          <rPr>
            <b/>
            <sz val="9"/>
            <color indexed="81"/>
            <rFont val="Tahoma"/>
            <family val="2"/>
          </rPr>
          <t>LIZ MARTINEZ:</t>
        </r>
        <r>
          <rPr>
            <sz val="9"/>
            <color indexed="81"/>
            <rFont val="Tahoma"/>
            <family val="2"/>
          </rPr>
          <t xml:space="preserve">
Estimado gastos de impuestos
</t>
        </r>
      </text>
    </comment>
    <comment ref="AP40" authorId="1" shapeId="0" xr:uid="{36C7D77B-6CF6-4E72-83BF-6063EACD9017}">
      <text>
        <r>
          <rPr>
            <b/>
            <sz val="9"/>
            <color indexed="81"/>
            <rFont val="Tahoma"/>
            <family val="2"/>
          </rPr>
          <t>LIZ MARTINEZ:</t>
        </r>
        <r>
          <rPr>
            <sz val="9"/>
            <color indexed="81"/>
            <rFont val="Tahoma"/>
            <family val="2"/>
          </rPr>
          <t xml:space="preserve">
Estimado gastos de impuestos
</t>
        </r>
      </text>
    </comment>
    <comment ref="AC70" authorId="2" shapeId="0" xr:uid="{6453CED6-7AD6-4954-8A59-57EFCBA6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Estime 5 millones mas de gastos bancarios</t>
      </text>
    </comment>
    <comment ref="AP70" authorId="3" shapeId="0" xr:uid="{24AE2EF1-2538-4CFB-95B9-9F05058DB6B0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Estime 5 millones mas de gastos bancarios</t>
      </text>
    </comment>
    <comment ref="AC72" authorId="4" shapeId="0" xr:uid="{CBEF2918-D6AB-4F17-9EC8-B5FE009ED2C1}">
      <text>
        <t>[Threaded comment]
Your version of Excel allows you to read this threaded comment; however, any edits to it will get removed if the file is opened in a newer version of Excel. Learn more: https://go.microsoft.com/fwlink/?linkid=870924
Comment:
    Estos pueden ser pequeños ajustes</t>
      </text>
    </comment>
    <comment ref="AP72" authorId="5" shapeId="0" xr:uid="{726B6C13-A5C3-45DA-A438-8E0626C85D6F}">
      <text>
        <t>[Threaded comment]
Your version of Excel allows you to read this threaded comment; however, any edits to it will get removed if the file is opened in a newer version of Excel. Learn more: https://go.microsoft.com/fwlink/?linkid=870924
Comment:
    Estos pueden ser pequeños ajustes</t>
      </text>
    </comment>
  </commentList>
</comments>
</file>

<file path=xl/sharedStrings.xml><?xml version="1.0" encoding="utf-8"?>
<sst xmlns="http://schemas.openxmlformats.org/spreadsheetml/2006/main" count="169" uniqueCount="148">
  <si>
    <t>2024</t>
  </si>
  <si>
    <t>2025</t>
  </si>
  <si>
    <t>2026</t>
  </si>
  <si>
    <t>ESTIMADO</t>
  </si>
  <si>
    <t>BALANCE  ACTIVO</t>
  </si>
  <si>
    <t>Cuenta</t>
  </si>
  <si>
    <t>ACTIVO CORRIENTE</t>
  </si>
  <si>
    <t>Existencias</t>
  </si>
  <si>
    <t>Materia Prima - Inventario</t>
  </si>
  <si>
    <t>Productos en proceso</t>
  </si>
  <si>
    <t>Mercancia no Fabricada</t>
  </si>
  <si>
    <t>Inventario en Transito</t>
  </si>
  <si>
    <t>Provision Inventario</t>
  </si>
  <si>
    <t>Deudores Comerciales</t>
  </si>
  <si>
    <t>Clientes</t>
  </si>
  <si>
    <t>Cuentas por cobrar a socios</t>
  </si>
  <si>
    <t>Anticipos clientes</t>
  </si>
  <si>
    <t>ventas</t>
  </si>
  <si>
    <t xml:space="preserve">Anticipo de Impuestos </t>
  </si>
  <si>
    <t>costo</t>
  </si>
  <si>
    <t>Cuentas por cobrar a empleados</t>
  </si>
  <si>
    <t>Deudores Varios</t>
  </si>
  <si>
    <t>Provision de Cartera</t>
  </si>
  <si>
    <t>Inversiones</t>
  </si>
  <si>
    <t>HP Deudora</t>
  </si>
  <si>
    <t>Tesoreria</t>
  </si>
  <si>
    <t>Caja</t>
  </si>
  <si>
    <t>Bancos Nacionales</t>
  </si>
  <si>
    <t>Bancos Moneda extranjera</t>
  </si>
  <si>
    <t>ACTIVOS NO CORRIENTES</t>
  </si>
  <si>
    <t>Otros Activos</t>
  </si>
  <si>
    <t>Licencias</t>
  </si>
  <si>
    <t>Gastos Pagados Por anticipado</t>
  </si>
  <si>
    <t>Impuesto Diferido</t>
  </si>
  <si>
    <t>Inmovilizac. Fijo</t>
  </si>
  <si>
    <t>Terrenos y construcciones</t>
  </si>
  <si>
    <t>Edificaciones</t>
  </si>
  <si>
    <t>Propiedadades de Inversion</t>
  </si>
  <si>
    <t>Maquinaria</t>
  </si>
  <si>
    <t>Equipo de Oficina</t>
  </si>
  <si>
    <t>Equipo de computacion</t>
  </si>
  <si>
    <t>Equipo Medico cientifico</t>
  </si>
  <si>
    <t>Depreciacion Acumulada</t>
  </si>
  <si>
    <t>Amortizaciones Acumulada</t>
  </si>
  <si>
    <t>Inversiones financieras lp</t>
  </si>
  <si>
    <t>Inversiones Financieras Lp</t>
  </si>
  <si>
    <t>TOTAL ACTIVO</t>
  </si>
  <si>
    <t>BALANCE  PASIVO</t>
  </si>
  <si>
    <t>PATRIMONIO NETO</t>
  </si>
  <si>
    <t>Patrimonio</t>
  </si>
  <si>
    <t>Aportes sociales</t>
  </si>
  <si>
    <t>Capital suscrito y pagado</t>
  </si>
  <si>
    <t>Reservas Obligatorias</t>
  </si>
  <si>
    <t>Utilidades o excedentes acumuladas</t>
  </si>
  <si>
    <t>Ajustes por convergencia NIIF</t>
  </si>
  <si>
    <t>De capital social</t>
  </si>
  <si>
    <t>Pérdidas y ganancias</t>
  </si>
  <si>
    <t>PASIVO NO CORRIENTE</t>
  </si>
  <si>
    <t>Deudas Entidades de credito</t>
  </si>
  <si>
    <t>Deudas entidades de credicto  LP</t>
  </si>
  <si>
    <t>Deudas corporaciones Financieras</t>
  </si>
  <si>
    <t>Otras Obligaciones Financieras</t>
  </si>
  <si>
    <t>PASIVO CORRIENTE</t>
  </si>
  <si>
    <t>Deudas Entidades de credito CP</t>
  </si>
  <si>
    <t>Deudas entidades de credicto  CP</t>
  </si>
  <si>
    <t>Proveedores Comerciales</t>
  </si>
  <si>
    <t>Nacionales</t>
  </si>
  <si>
    <t>Del exterior</t>
  </si>
  <si>
    <t>Cuentas Corrientes</t>
  </si>
  <si>
    <t>Otras deudas no comerc.</t>
  </si>
  <si>
    <t>Costos y gastos por pagar</t>
  </si>
  <si>
    <t>Acreedores Oficiales</t>
  </si>
  <si>
    <t>Deudas comerciales con accionistas</t>
  </si>
  <si>
    <t>Retenciones por pagar</t>
  </si>
  <si>
    <t>Impuesto a las ventas retenido</t>
  </si>
  <si>
    <t>Impuesto de Industria y comercio</t>
  </si>
  <si>
    <t>Retenciones y aportes de nomina</t>
  </si>
  <si>
    <t>Acreedores varios - Pension</t>
  </si>
  <si>
    <t>De renta y complementarios corriente</t>
  </si>
  <si>
    <t>Industria y comercio anual</t>
  </si>
  <si>
    <t>Impuesto sobre las ventas por pagar</t>
  </si>
  <si>
    <t>Provision Impuesto Renta</t>
  </si>
  <si>
    <t>Para Costos y Gastos</t>
  </si>
  <si>
    <t>Utilidad Diferida en Venta a Plazos</t>
  </si>
  <si>
    <t>Salarios por pagar</t>
  </si>
  <si>
    <t>Cesantias</t>
  </si>
  <si>
    <t>Intereses sobre Cesabtias</t>
  </si>
  <si>
    <t>Prima de Servicios</t>
  </si>
  <si>
    <t>Vacaciones</t>
  </si>
  <si>
    <t>2610</t>
  </si>
  <si>
    <t>Para Obligaciones laborales</t>
  </si>
  <si>
    <t>Anticipos y avances Recibidos</t>
  </si>
  <si>
    <t>Ingresos recibidos para tercero</t>
  </si>
  <si>
    <t>Dividendos y Participaciones por Pagar</t>
  </si>
  <si>
    <t>TOTAL PATRIMONIO NETO Y PASIVO</t>
  </si>
  <si>
    <t>Comprobacion</t>
  </si>
  <si>
    <t>ESTADO DE RESULTADOS</t>
  </si>
  <si>
    <t>AÑO 2024</t>
  </si>
  <si>
    <t>AÑO 2025</t>
  </si>
  <si>
    <t>AÑO 2026</t>
  </si>
  <si>
    <t>ACUMULADO 2024</t>
  </si>
  <si>
    <t>ACUMULADO 2025</t>
  </si>
  <si>
    <t>INGRESOS OPERACIONALES</t>
  </si>
  <si>
    <t>Ingresos</t>
  </si>
  <si>
    <t>Devolución</t>
  </si>
  <si>
    <t>COSTOS DIRECTOS</t>
  </si>
  <si>
    <t>Costo de productos</t>
  </si>
  <si>
    <t>Margen Bruto</t>
  </si>
  <si>
    <t>GASTOS DE ADMINISTRACION</t>
  </si>
  <si>
    <t>Gastos de personal</t>
  </si>
  <si>
    <t>Honorarios</t>
  </si>
  <si>
    <t>Impuestos</t>
  </si>
  <si>
    <t>Arrendamientos</t>
  </si>
  <si>
    <t>Contribuciones y afiliaciones</t>
  </si>
  <si>
    <t>Seguros</t>
  </si>
  <si>
    <t>Servicios</t>
  </si>
  <si>
    <t>Gastos legales</t>
  </si>
  <si>
    <t>Mantenimiento y reparaciones</t>
  </si>
  <si>
    <t>Adecuación e instalación</t>
  </si>
  <si>
    <t>Gastos de viaje</t>
  </si>
  <si>
    <t>Depreciaciones</t>
  </si>
  <si>
    <t>Amortizaciones</t>
  </si>
  <si>
    <t>Diversos</t>
  </si>
  <si>
    <t>Provisiones</t>
  </si>
  <si>
    <t>GASTOS DE VENTAS</t>
  </si>
  <si>
    <t>UTILIDAD OPERACIONAL</t>
  </si>
  <si>
    <t>NO OPERACIONALES</t>
  </si>
  <si>
    <t>Ingresos no operacionales</t>
  </si>
  <si>
    <t>Financieros - Descuento comercial ganado</t>
  </si>
  <si>
    <t>Dividendos y Participaciones</t>
  </si>
  <si>
    <t>Utilidad en Venta de Propiedades, Planta y Equipo</t>
  </si>
  <si>
    <t>Utilidad en Venta de otros vienes</t>
  </si>
  <si>
    <t>Recuperaciones</t>
  </si>
  <si>
    <t>Indemnizaciones</t>
  </si>
  <si>
    <t>Ingresos de Ejercicios anteriores</t>
  </si>
  <si>
    <t>Devoluciones, Rebajas y descuentos</t>
  </si>
  <si>
    <t>Recuperacion depreciacion -otros</t>
  </si>
  <si>
    <t>Correcciones Monetarias</t>
  </si>
  <si>
    <t>Gastos no operacionales</t>
  </si>
  <si>
    <t>Financieros</t>
  </si>
  <si>
    <t>Perdida en venta y retiro de bienes</t>
  </si>
  <si>
    <t>Gastos extraordinarios</t>
  </si>
  <si>
    <t>UTILIDAD/PERDIDA ANTES DE IMPUESTOS</t>
  </si>
  <si>
    <t>IMPUESTO DE RENTA</t>
  </si>
  <si>
    <t>UTILIDAD DESPUES DE IMPUESTOS</t>
  </si>
  <si>
    <t>Utilidad</t>
  </si>
  <si>
    <t>Porcentaje de Renta</t>
  </si>
  <si>
    <t>COLOCA EN ROJO LOS VALORES NEGATIVOS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</si>
</sst>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_ ;\-#,##0\ "/>
    <numFmt numFmtId="165" formatCode="_-* #,##0.00\ _€_-;\-* #,##0.00\ _€_-;_-* &quot;-&quot;??\ _€_-;_-@_-"/>
    <numFmt numFmtId="166" formatCode="_-* #,##0\ _€_-;\-* #,##0\ _€_-;_-* &quot;-&quot;??\ _€_-;_-@_-"/>
    <numFmt numFmtId="167" formatCode="#,##0.00_ ;\-#,##0.00\ "/>
    <numFmt numFmtId="168" formatCode="_-* #,##0.00_-;\-* #,##0.00_-;_-* &quot;-&quot;??_-;_-@_-"/>
    <numFmt numFmtId="169" formatCode="_-* #,##0_-;\-* #,##0_-;_-* &quot;-&quot;??_-;_-@_-"/>
    <numFmt numFmtId="170" formatCode="_-* #,##0\ _€_-;\-* #,##0\ _€_-;_-* &quot;-&quot;\ _€_-;_-@"/>
    <numFmt numFmtId="171" formatCode="#,##0_ ;[Red]\-#,##0\ 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i/>
      <sz val="10"/>
      <name val="Arial"/>
      <family val="2"/>
    </font>
    <font>
      <sz val="11"/>
      <color rgb="FF000000"/>
      <name val="Calibri"/>
      <family val="2"/>
    </font>
    <font>
      <b/>
      <sz val="8"/>
      <name val="Arial"/>
      <family val="2"/>
    </font>
    <font>
      <sz val="9"/>
      <color indexed="81"/>
      <name val="Tahoma"/>
      <charset val="1"/>
    </font>
    <font>
      <sz val="10"/>
      <color rgb="FF000000"/>
      <name val="Arial"/>
      <family val="2"/>
    </font>
    <font>
      <sz val="9"/>
      <color rgb="FF000000"/>
      <name val="Century Gothic"/>
      <family val="2"/>
    </font>
    <font>
      <sz val="9"/>
      <name val="Century Gothic"/>
      <family val="2"/>
    </font>
    <font>
      <b/>
      <sz val="12"/>
      <name val="Century Gothic"/>
      <family val="2"/>
    </font>
    <font>
      <b/>
      <sz val="12"/>
      <color rgb="FF000000"/>
      <name val="Century Gothic"/>
      <family val="2"/>
    </font>
    <font>
      <b/>
      <sz val="9"/>
      <name val="Century Gothic"/>
      <family val="2"/>
    </font>
    <font>
      <sz val="9"/>
      <color rgb="FFFF0000"/>
      <name val="Century Gothic"/>
      <family val="2"/>
    </font>
    <font>
      <b/>
      <sz val="9"/>
      <color rgb="FFFF0000"/>
      <name val="Century Gothic"/>
      <family val="2"/>
    </font>
    <font>
      <b/>
      <sz val="10"/>
      <name val="Century Gothic"/>
      <family val="2"/>
    </font>
    <font>
      <b/>
      <sz val="10"/>
      <color rgb="FFFF0000"/>
      <name val="Century Gothic"/>
      <family val="2"/>
    </font>
    <font>
      <b/>
      <sz val="9"/>
      <color rgb="FF000000"/>
      <name val="Century Gothi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rgb="FFDBE5F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D8D8D8"/>
      </patternFill>
    </fill>
    <fill>
      <patternFill patternType="solid">
        <fgColor rgb="FFFF0000"/>
        <bgColor indexed="64"/>
      </patternFill>
    </fill>
    <fill>
      <patternFill patternType="solid">
        <fgColor rgb="FFF8F8F8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168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</cellStyleXfs>
  <cellXfs count="163">
    <xf numFmtId="0" fontId="0" fillId="0" borderId="0" xfId="0"/>
    <xf numFmtId="0" fontId="3" fillId="0" borderId="0" xfId="3"/>
    <xf numFmtId="164" fontId="3" fillId="0" borderId="0" xfId="3" applyNumberFormat="1"/>
    <xf numFmtId="164" fontId="4" fillId="0" borderId="0" xfId="3" applyNumberFormat="1" applyFont="1"/>
    <xf numFmtId="49" fontId="4" fillId="0" borderId="1" xfId="4" applyNumberFormat="1" applyFont="1" applyBorder="1" applyAlignment="1">
      <alignment horizontal="center"/>
    </xf>
    <xf numFmtId="49" fontId="4" fillId="0" borderId="2" xfId="4" applyNumberFormat="1" applyFont="1" applyBorder="1" applyAlignment="1">
      <alignment horizontal="center"/>
    </xf>
    <xf numFmtId="49" fontId="4" fillId="0" borderId="3" xfId="4" applyNumberFormat="1" applyFont="1" applyBorder="1" applyAlignment="1">
      <alignment horizontal="center"/>
    </xf>
    <xf numFmtId="49" fontId="4" fillId="0" borderId="2" xfId="4" applyNumberFormat="1" applyFont="1" applyBorder="1" applyAlignment="1"/>
    <xf numFmtId="166" fontId="4" fillId="2" borderId="4" xfId="4" applyNumberFormat="1" applyFont="1" applyFill="1" applyBorder="1" applyAlignment="1">
      <alignment horizontal="center"/>
    </xf>
    <xf numFmtId="166" fontId="4" fillId="2" borderId="0" xfId="4" applyNumberFormat="1" applyFont="1" applyFill="1" applyBorder="1" applyAlignment="1">
      <alignment horizontal="center"/>
    </xf>
    <xf numFmtId="164" fontId="4" fillId="3" borderId="0" xfId="3" applyNumberFormat="1" applyFont="1" applyFill="1" applyAlignment="1">
      <alignment horizontal="center"/>
    </xf>
    <xf numFmtId="17" fontId="4" fillId="3" borderId="4" xfId="3" applyNumberFormat="1" applyFont="1" applyFill="1" applyBorder="1" applyAlignment="1">
      <alignment horizontal="center"/>
    </xf>
    <xf numFmtId="17" fontId="4" fillId="4" borderId="4" xfId="3" applyNumberFormat="1" applyFont="1" applyFill="1" applyBorder="1" applyAlignment="1">
      <alignment horizontal="center"/>
    </xf>
    <xf numFmtId="17" fontId="4" fillId="5" borderId="4" xfId="3" applyNumberFormat="1" applyFont="1" applyFill="1" applyBorder="1" applyAlignment="1">
      <alignment horizontal="center"/>
    </xf>
    <xf numFmtId="17" fontId="4" fillId="5" borderId="0" xfId="3" applyNumberFormat="1" applyFont="1" applyFill="1" applyAlignment="1">
      <alignment horizontal="center"/>
    </xf>
    <xf numFmtId="164" fontId="0" fillId="0" borderId="0" xfId="4" applyNumberFormat="1" applyFont="1"/>
    <xf numFmtId="164" fontId="3" fillId="0" borderId="0" xfId="3" applyNumberFormat="1" applyAlignment="1">
      <alignment horizontal="left" indent="2"/>
    </xf>
    <xf numFmtId="167" fontId="0" fillId="0" borderId="0" xfId="4" applyNumberFormat="1" applyFont="1"/>
    <xf numFmtId="164" fontId="4" fillId="6" borderId="0" xfId="3" applyNumberFormat="1" applyFont="1" applyFill="1"/>
    <xf numFmtId="167" fontId="4" fillId="6" borderId="5" xfId="4" applyNumberFormat="1" applyFont="1" applyFill="1" applyBorder="1"/>
    <xf numFmtId="167" fontId="4" fillId="6" borderId="6" xfId="4" applyNumberFormat="1" applyFont="1" applyFill="1" applyBorder="1"/>
    <xf numFmtId="169" fontId="4" fillId="6" borderId="7" xfId="1" applyNumberFormat="1" applyFont="1" applyFill="1" applyBorder="1"/>
    <xf numFmtId="169" fontId="4" fillId="6" borderId="5" xfId="1" applyNumberFormat="1" applyFont="1" applyFill="1" applyBorder="1"/>
    <xf numFmtId="169" fontId="4" fillId="6" borderId="6" xfId="1" applyNumberFormat="1" applyFont="1" applyFill="1" applyBorder="1"/>
    <xf numFmtId="167" fontId="4" fillId="6" borderId="0" xfId="4" applyNumberFormat="1" applyFont="1" applyFill="1" applyBorder="1"/>
    <xf numFmtId="167" fontId="4" fillId="6" borderId="0" xfId="4" applyNumberFormat="1" applyFont="1" applyFill="1"/>
    <xf numFmtId="167" fontId="4" fillId="4" borderId="8" xfId="4" applyNumberFormat="1" applyFont="1" applyFill="1" applyBorder="1"/>
    <xf numFmtId="167" fontId="4" fillId="4" borderId="0" xfId="4" applyNumberFormat="1" applyFont="1" applyFill="1" applyBorder="1"/>
    <xf numFmtId="169" fontId="4" fillId="4" borderId="9" xfId="1" applyNumberFormat="1" applyFont="1" applyFill="1" applyBorder="1"/>
    <xf numFmtId="169" fontId="4" fillId="0" borderId="0" xfId="1" applyNumberFormat="1" applyFont="1" applyFill="1" applyBorder="1"/>
    <xf numFmtId="169" fontId="5" fillId="4" borderId="8" xfId="1" applyNumberFormat="1" applyFont="1" applyFill="1" applyBorder="1"/>
    <xf numFmtId="169" fontId="5" fillId="4" borderId="0" xfId="1" applyNumberFormat="1" applyFont="1" applyFill="1" applyBorder="1"/>
    <xf numFmtId="169" fontId="5" fillId="4" borderId="9" xfId="1" applyNumberFormat="1" applyFont="1" applyFill="1" applyBorder="1"/>
    <xf numFmtId="169" fontId="4" fillId="0" borderId="9" xfId="1" applyNumberFormat="1" applyFont="1" applyFill="1" applyBorder="1"/>
    <xf numFmtId="167" fontId="4" fillId="0" borderId="0" xfId="4" applyNumberFormat="1" applyFont="1" applyFill="1" applyBorder="1"/>
    <xf numFmtId="167" fontId="4" fillId="0" borderId="0" xfId="4" applyNumberFormat="1" applyFont="1"/>
    <xf numFmtId="0" fontId="2" fillId="0" borderId="0" xfId="0" applyFont="1"/>
    <xf numFmtId="167" fontId="4" fillId="4" borderId="10" xfId="4" applyNumberFormat="1" applyFont="1" applyFill="1" applyBorder="1"/>
    <xf numFmtId="167" fontId="4" fillId="4" borderId="11" xfId="4" applyNumberFormat="1" applyFont="1" applyFill="1" applyBorder="1"/>
    <xf numFmtId="169" fontId="4" fillId="4" borderId="12" xfId="1" applyNumberFormat="1" applyFont="1" applyFill="1" applyBorder="1"/>
    <xf numFmtId="169" fontId="4" fillId="0" borderId="10" xfId="1" applyNumberFormat="1" applyFont="1" applyFill="1" applyBorder="1"/>
    <xf numFmtId="169" fontId="4" fillId="0" borderId="11" xfId="1" applyNumberFormat="1" applyFont="1" applyFill="1" applyBorder="1"/>
    <xf numFmtId="169" fontId="4" fillId="4" borderId="10" xfId="1" applyNumberFormat="1" applyFont="1" applyFill="1" applyBorder="1"/>
    <xf numFmtId="169" fontId="4" fillId="4" borderId="11" xfId="1" applyNumberFormat="1" applyFont="1" applyFill="1" applyBorder="1"/>
    <xf numFmtId="169" fontId="4" fillId="0" borderId="12" xfId="1" applyNumberFormat="1" applyFont="1" applyFill="1" applyBorder="1"/>
    <xf numFmtId="167" fontId="4" fillId="0" borderId="11" xfId="4" applyNumberFormat="1" applyFont="1" applyFill="1" applyBorder="1"/>
    <xf numFmtId="167" fontId="4" fillId="0" borderId="11" xfId="4" applyNumberFormat="1" applyFont="1" applyBorder="1"/>
    <xf numFmtId="167" fontId="4" fillId="0" borderId="0" xfId="4" applyNumberFormat="1" applyFont="1" applyBorder="1"/>
    <xf numFmtId="0" fontId="3" fillId="5" borderId="0" xfId="3" applyFill="1"/>
    <xf numFmtId="167" fontId="5" fillId="4" borderId="8" xfId="4" applyNumberFormat="1" applyFont="1" applyFill="1" applyBorder="1"/>
    <xf numFmtId="167" fontId="5" fillId="4" borderId="0" xfId="4" applyNumberFormat="1" applyFont="1" applyFill="1" applyBorder="1"/>
    <xf numFmtId="169" fontId="5" fillId="0" borderId="13" xfId="1" applyNumberFormat="1" applyFont="1" applyFill="1" applyBorder="1"/>
    <xf numFmtId="169" fontId="5" fillId="0" borderId="14" xfId="1" applyNumberFormat="1" applyFont="1" applyFill="1" applyBorder="1"/>
    <xf numFmtId="169" fontId="5" fillId="0" borderId="15" xfId="1" applyNumberFormat="1" applyFont="1" applyFill="1" applyBorder="1"/>
    <xf numFmtId="167" fontId="5" fillId="0" borderId="0" xfId="4" applyNumberFormat="1" applyFont="1" applyFill="1" applyBorder="1"/>
    <xf numFmtId="167" fontId="5" fillId="0" borderId="0" xfId="4" applyNumberFormat="1" applyFont="1"/>
    <xf numFmtId="169" fontId="5" fillId="0" borderId="8" xfId="1" applyNumberFormat="1" applyFont="1" applyFill="1" applyBorder="1"/>
    <xf numFmtId="169" fontId="5" fillId="0" borderId="0" xfId="1" applyNumberFormat="1" applyFont="1" applyFill="1" applyBorder="1"/>
    <xf numFmtId="169" fontId="5" fillId="0" borderId="9" xfId="1" applyNumberFormat="1" applyFont="1" applyFill="1" applyBorder="1"/>
    <xf numFmtId="167" fontId="3" fillId="4" borderId="8" xfId="4" applyNumberFormat="1" applyFill="1" applyBorder="1"/>
    <xf numFmtId="167" fontId="3" fillId="4" borderId="0" xfId="4" applyNumberFormat="1" applyFill="1" applyBorder="1"/>
    <xf numFmtId="167" fontId="3" fillId="0" borderId="0" xfId="4" applyNumberFormat="1" applyFill="1" applyBorder="1"/>
    <xf numFmtId="167" fontId="5" fillId="0" borderId="2" xfId="4" applyNumberFormat="1" applyFont="1" applyBorder="1"/>
    <xf numFmtId="167" fontId="5" fillId="0" borderId="0" xfId="4" applyNumberFormat="1" applyFont="1" applyBorder="1"/>
    <xf numFmtId="169" fontId="3" fillId="4" borderId="9" xfId="1" applyNumberFormat="1" applyFont="1" applyFill="1" applyBorder="1"/>
    <xf numFmtId="169" fontId="4" fillId="0" borderId="8" xfId="1" applyNumberFormat="1" applyFont="1" applyFill="1" applyBorder="1"/>
    <xf numFmtId="164" fontId="6" fillId="0" borderId="0" xfId="3" applyNumberFormat="1" applyFont="1" applyAlignment="1">
      <alignment horizontal="left" indent="2"/>
    </xf>
    <xf numFmtId="169" fontId="3" fillId="0" borderId="8" xfId="1" applyNumberFormat="1" applyFont="1" applyFill="1" applyBorder="1"/>
    <xf numFmtId="169" fontId="3" fillId="0" borderId="0" xfId="1" applyNumberFormat="1" applyFont="1" applyFill="1" applyBorder="1"/>
    <xf numFmtId="169" fontId="3" fillId="4" borderId="8" xfId="1" applyNumberFormat="1" applyFont="1" applyFill="1" applyBorder="1"/>
    <xf numFmtId="169" fontId="3" fillId="4" borderId="0" xfId="1" applyNumberFormat="1" applyFont="1" applyFill="1" applyBorder="1"/>
    <xf numFmtId="167" fontId="3" fillId="0" borderId="0" xfId="4" applyNumberFormat="1"/>
    <xf numFmtId="167" fontId="4" fillId="6" borderId="8" xfId="4" applyNumberFormat="1" applyFont="1" applyFill="1" applyBorder="1"/>
    <xf numFmtId="169" fontId="4" fillId="6" borderId="9" xfId="1" applyNumberFormat="1" applyFont="1" applyFill="1" applyBorder="1"/>
    <xf numFmtId="169" fontId="4" fillId="6" borderId="8" xfId="1" applyNumberFormat="1" applyFont="1" applyFill="1" applyBorder="1"/>
    <xf numFmtId="169" fontId="4" fillId="6" borderId="0" xfId="1" applyNumberFormat="1" applyFont="1" applyFill="1" applyBorder="1"/>
    <xf numFmtId="169" fontId="4" fillId="4" borderId="8" xfId="1" applyNumberFormat="1" applyFont="1" applyFill="1" applyBorder="1"/>
    <xf numFmtId="169" fontId="4" fillId="4" borderId="0" xfId="1" applyNumberFormat="1" applyFont="1" applyFill="1" applyBorder="1"/>
    <xf numFmtId="169" fontId="5" fillId="5" borderId="0" xfId="1" applyNumberFormat="1" applyFont="1" applyFill="1" applyBorder="1"/>
    <xf numFmtId="169" fontId="0" fillId="0" borderId="9" xfId="1" applyNumberFormat="1" applyFont="1" applyBorder="1"/>
    <xf numFmtId="169" fontId="0" fillId="0" borderId="0" xfId="1" applyNumberFormat="1" applyFont="1"/>
    <xf numFmtId="17" fontId="4" fillId="4" borderId="16" xfId="3" applyNumberFormat="1" applyFont="1" applyFill="1" applyBorder="1" applyAlignment="1">
      <alignment horizontal="center"/>
    </xf>
    <xf numFmtId="17" fontId="4" fillId="4" borderId="17" xfId="3" applyNumberFormat="1" applyFont="1" applyFill="1" applyBorder="1" applyAlignment="1">
      <alignment horizontal="center"/>
    </xf>
    <xf numFmtId="164" fontId="0" fillId="0" borderId="0" xfId="4" applyNumberFormat="1" applyFont="1" applyBorder="1"/>
    <xf numFmtId="169" fontId="0" fillId="0" borderId="0" xfId="1" applyNumberFormat="1" applyFont="1" applyBorder="1"/>
    <xf numFmtId="169" fontId="3" fillId="0" borderId="9" xfId="1" applyNumberFormat="1" applyFont="1" applyFill="1" applyBorder="1"/>
    <xf numFmtId="0" fontId="7" fillId="0" borderId="0" xfId="0" applyFont="1" applyAlignment="1">
      <alignment horizontal="left" vertical="center"/>
    </xf>
    <xf numFmtId="0" fontId="0" fillId="5" borderId="0" xfId="0" applyFill="1"/>
    <xf numFmtId="49" fontId="7" fillId="0" borderId="0" xfId="0" applyNumberFormat="1" applyFont="1" applyAlignment="1">
      <alignment horizontal="left" vertical="center"/>
    </xf>
    <xf numFmtId="167" fontId="4" fillId="6" borderId="18" xfId="4" applyNumberFormat="1" applyFont="1" applyFill="1" applyBorder="1"/>
    <xf numFmtId="167" fontId="4" fillId="6" borderId="19" xfId="4" applyNumberFormat="1" applyFont="1" applyFill="1" applyBorder="1"/>
    <xf numFmtId="169" fontId="4" fillId="6" borderId="20" xfId="1" applyNumberFormat="1" applyFont="1" applyFill="1" applyBorder="1"/>
    <xf numFmtId="169" fontId="4" fillId="6" borderId="18" xfId="1" applyNumberFormat="1" applyFont="1" applyFill="1" applyBorder="1"/>
    <xf numFmtId="169" fontId="4" fillId="6" borderId="19" xfId="1" applyNumberFormat="1" applyFont="1" applyFill="1" applyBorder="1"/>
    <xf numFmtId="167" fontId="0" fillId="0" borderId="0" xfId="4" applyNumberFormat="1" applyFont="1" applyBorder="1"/>
    <xf numFmtId="164" fontId="8" fillId="6" borderId="0" xfId="3" applyNumberFormat="1" applyFont="1" applyFill="1" applyAlignment="1">
      <alignment horizontal="left" indent="2"/>
    </xf>
    <xf numFmtId="167" fontId="8" fillId="6" borderId="0" xfId="4" applyNumberFormat="1" applyFont="1" applyFill="1"/>
    <xf numFmtId="169" fontId="8" fillId="6" borderId="0" xfId="1" applyNumberFormat="1" applyFont="1" applyFill="1"/>
    <xf numFmtId="169" fontId="8" fillId="6" borderId="0" xfId="1" applyNumberFormat="1" applyFont="1" applyFill="1" applyBorder="1"/>
    <xf numFmtId="169" fontId="8" fillId="6" borderId="9" xfId="1" applyNumberFormat="1" applyFont="1" applyFill="1" applyBorder="1"/>
    <xf numFmtId="167" fontId="8" fillId="6" borderId="0" xfId="4" applyNumberFormat="1" applyFont="1" applyFill="1" applyBorder="1"/>
    <xf numFmtId="0" fontId="11" fillId="0" borderId="0" xfId="5" applyFont="1"/>
    <xf numFmtId="0" fontId="12" fillId="0" borderId="0" xfId="5" applyFont="1"/>
    <xf numFmtId="0" fontId="13" fillId="7" borderId="8" xfId="5" applyFont="1" applyFill="1" applyBorder="1" applyAlignment="1">
      <alignment horizontal="center"/>
    </xf>
    <xf numFmtId="0" fontId="13" fillId="7" borderId="0" xfId="5" applyFont="1" applyFill="1" applyAlignment="1">
      <alignment horizontal="center"/>
    </xf>
    <xf numFmtId="0" fontId="13" fillId="7" borderId="9" xfId="5" applyFont="1" applyFill="1" applyBorder="1" applyAlignment="1">
      <alignment horizontal="center"/>
    </xf>
    <xf numFmtId="10" fontId="14" fillId="0" borderId="8" xfId="6" applyNumberFormat="1" applyFont="1" applyBorder="1" applyAlignment="1">
      <alignment horizontal="center"/>
    </xf>
    <xf numFmtId="10" fontId="14" fillId="0" borderId="0" xfId="6" applyNumberFormat="1" applyFont="1" applyBorder="1" applyAlignment="1">
      <alignment horizontal="center"/>
    </xf>
    <xf numFmtId="10" fontId="14" fillId="0" borderId="9" xfId="6" applyNumberFormat="1" applyFont="1" applyBorder="1" applyAlignment="1">
      <alignment horizontal="center"/>
    </xf>
    <xf numFmtId="10" fontId="14" fillId="0" borderId="21" xfId="6" applyNumberFormat="1" applyFont="1" applyBorder="1" applyAlignment="1">
      <alignment horizontal="center"/>
    </xf>
    <xf numFmtId="10" fontId="14" fillId="0" borderId="2" xfId="6" applyNumberFormat="1" applyFont="1" applyBorder="1" applyAlignment="1">
      <alignment horizontal="center"/>
    </xf>
    <xf numFmtId="10" fontId="14" fillId="0" borderId="22" xfId="6" applyNumberFormat="1" applyFont="1" applyBorder="1" applyAlignment="1">
      <alignment horizontal="center"/>
    </xf>
    <xf numFmtId="0" fontId="11" fillId="0" borderId="0" xfId="5" applyFont="1" applyAlignment="1">
      <alignment horizontal="center" vertical="center"/>
    </xf>
    <xf numFmtId="0" fontId="12" fillId="0" borderId="0" xfId="5" applyFont="1" applyAlignment="1">
      <alignment horizontal="center" vertical="center"/>
    </xf>
    <xf numFmtId="0" fontId="12" fillId="0" borderId="23" xfId="5" applyFont="1" applyBorder="1" applyAlignment="1">
      <alignment horizontal="center" vertical="center"/>
    </xf>
    <xf numFmtId="170" fontId="15" fillId="5" borderId="24" xfId="5" applyNumberFormat="1" applyFont="1" applyFill="1" applyBorder="1" applyAlignment="1">
      <alignment horizontal="center" vertical="center" wrapText="1"/>
    </xf>
    <xf numFmtId="0" fontId="12" fillId="0" borderId="25" xfId="5" applyFont="1" applyBorder="1"/>
    <xf numFmtId="170" fontId="12" fillId="0" borderId="2" xfId="5" applyNumberFormat="1" applyFont="1" applyBorder="1" applyAlignment="1">
      <alignment horizontal="right"/>
    </xf>
    <xf numFmtId="170" fontId="12" fillId="0" borderId="22" xfId="5" applyNumberFormat="1" applyFont="1" applyBorder="1" applyAlignment="1">
      <alignment horizontal="right"/>
    </xf>
    <xf numFmtId="9" fontId="12" fillId="0" borderId="2" xfId="2" applyFont="1" applyBorder="1" applyAlignment="1">
      <alignment horizontal="right"/>
    </xf>
    <xf numFmtId="0" fontId="15" fillId="8" borderId="26" xfId="5" applyFont="1" applyFill="1" applyBorder="1"/>
    <xf numFmtId="171" fontId="15" fillId="8" borderId="27" xfId="5" applyNumberFormat="1" applyFont="1" applyFill="1" applyBorder="1" applyAlignment="1">
      <alignment horizontal="right"/>
    </xf>
    <xf numFmtId="171" fontId="15" fillId="8" borderId="28" xfId="5" applyNumberFormat="1" applyFont="1" applyFill="1" applyBorder="1" applyAlignment="1">
      <alignment horizontal="right"/>
    </xf>
    <xf numFmtId="0" fontId="12" fillId="0" borderId="29" xfId="5" applyFont="1" applyBorder="1"/>
    <xf numFmtId="171" fontId="12" fillId="0" borderId="0" xfId="5" applyNumberFormat="1" applyFont="1" applyAlignment="1">
      <alignment horizontal="right"/>
    </xf>
    <xf numFmtId="171" fontId="15" fillId="0" borderId="9" xfId="5" applyNumberFormat="1" applyFont="1" applyBorder="1" applyAlignment="1">
      <alignment horizontal="right"/>
    </xf>
    <xf numFmtId="0" fontId="16" fillId="0" borderId="29" xfId="5" applyFont="1" applyBorder="1"/>
    <xf numFmtId="171" fontId="17" fillId="0" borderId="0" xfId="5" applyNumberFormat="1" applyFont="1" applyAlignment="1">
      <alignment horizontal="right"/>
    </xf>
    <xf numFmtId="171" fontId="17" fillId="0" borderId="9" xfId="5" applyNumberFormat="1" applyFont="1" applyBorder="1" applyAlignment="1">
      <alignment horizontal="right"/>
    </xf>
    <xf numFmtId="0" fontId="12" fillId="4" borderId="29" xfId="5" applyFont="1" applyFill="1" applyBorder="1"/>
    <xf numFmtId="171" fontId="12" fillId="4" borderId="0" xfId="5" applyNumberFormat="1" applyFont="1" applyFill="1" applyAlignment="1">
      <alignment horizontal="right"/>
    </xf>
    <xf numFmtId="171" fontId="15" fillId="4" borderId="9" xfId="5" applyNumberFormat="1" applyFont="1" applyFill="1" applyBorder="1" applyAlignment="1">
      <alignment horizontal="right"/>
    </xf>
    <xf numFmtId="0" fontId="15" fillId="9" borderId="29" xfId="5" applyFont="1" applyFill="1" applyBorder="1"/>
    <xf numFmtId="171" fontId="15" fillId="9" borderId="0" xfId="5" applyNumberFormat="1" applyFont="1" applyFill="1" applyAlignment="1">
      <alignment horizontal="right"/>
    </xf>
    <xf numFmtId="171" fontId="15" fillId="9" borderId="9" xfId="5" applyNumberFormat="1" applyFont="1" applyFill="1" applyBorder="1" applyAlignment="1">
      <alignment horizontal="right"/>
    </xf>
    <xf numFmtId="0" fontId="12" fillId="10" borderId="0" xfId="5" applyFont="1" applyFill="1"/>
    <xf numFmtId="0" fontId="15" fillId="0" borderId="29" xfId="5" applyFont="1" applyBorder="1"/>
    <xf numFmtId="171" fontId="15" fillId="0" borderId="0" xfId="5" applyNumberFormat="1" applyFont="1" applyAlignment="1">
      <alignment horizontal="right"/>
    </xf>
    <xf numFmtId="164" fontId="4" fillId="6" borderId="8" xfId="3" applyNumberFormat="1" applyFont="1" applyFill="1" applyBorder="1"/>
    <xf numFmtId="169" fontId="4" fillId="6" borderId="0" xfId="1" applyNumberFormat="1" applyFont="1" applyFill="1"/>
    <xf numFmtId="171" fontId="12" fillId="5" borderId="0" xfId="5" applyNumberFormat="1" applyFont="1" applyFill="1" applyAlignment="1">
      <alignment horizontal="right"/>
    </xf>
    <xf numFmtId="0" fontId="15" fillId="11" borderId="29" xfId="5" applyFont="1" applyFill="1" applyBorder="1"/>
    <xf numFmtId="171" fontId="15" fillId="11" borderId="0" xfId="5" applyNumberFormat="1" applyFont="1" applyFill="1" applyAlignment="1">
      <alignment horizontal="right"/>
    </xf>
    <xf numFmtId="171" fontId="15" fillId="11" borderId="9" xfId="5" applyNumberFormat="1" applyFont="1" applyFill="1" applyBorder="1" applyAlignment="1">
      <alignment horizontal="right"/>
    </xf>
    <xf numFmtId="0" fontId="18" fillId="8" borderId="26" xfId="5" applyFont="1" applyFill="1" applyBorder="1"/>
    <xf numFmtId="171" fontId="18" fillId="8" borderId="27" xfId="5" applyNumberFormat="1" applyFont="1" applyFill="1" applyBorder="1" applyAlignment="1">
      <alignment horizontal="right"/>
    </xf>
    <xf numFmtId="171" fontId="18" fillId="4" borderId="27" xfId="5" applyNumberFormat="1" applyFont="1" applyFill="1" applyBorder="1" applyAlignment="1">
      <alignment horizontal="right"/>
    </xf>
    <xf numFmtId="171" fontId="18" fillId="5" borderId="28" xfId="5" applyNumberFormat="1" applyFont="1" applyFill="1" applyBorder="1" applyAlignment="1">
      <alignment horizontal="right"/>
    </xf>
    <xf numFmtId="0" fontId="17" fillId="0" borderId="29" xfId="5" applyFont="1" applyBorder="1"/>
    <xf numFmtId="171" fontId="16" fillId="0" borderId="0" xfId="5" applyNumberFormat="1" applyFont="1" applyAlignment="1">
      <alignment horizontal="right"/>
    </xf>
    <xf numFmtId="171" fontId="19" fillId="0" borderId="9" xfId="5" applyNumberFormat="1" applyFont="1" applyBorder="1" applyAlignment="1">
      <alignment horizontal="right"/>
    </xf>
    <xf numFmtId="0" fontId="12" fillId="0" borderId="30" xfId="5" applyFont="1" applyBorder="1"/>
    <xf numFmtId="170" fontId="12" fillId="0" borderId="19" xfId="5" applyNumberFormat="1" applyFont="1" applyBorder="1" applyAlignment="1">
      <alignment horizontal="right"/>
    </xf>
    <xf numFmtId="170" fontId="15" fillId="0" borderId="20" xfId="5" applyNumberFormat="1" applyFont="1" applyBorder="1" applyAlignment="1">
      <alignment horizontal="right"/>
    </xf>
    <xf numFmtId="170" fontId="12" fillId="0" borderId="0" xfId="5" applyNumberFormat="1" applyFont="1" applyAlignment="1">
      <alignment horizontal="right"/>
    </xf>
    <xf numFmtId="169" fontId="12" fillId="0" borderId="0" xfId="1" applyNumberFormat="1" applyFont="1"/>
    <xf numFmtId="169" fontId="8" fillId="6" borderId="0" xfId="1" applyNumberFormat="1" applyFont="1" applyFill="1" applyAlignment="1">
      <alignment horizontal="left" indent="2"/>
    </xf>
    <xf numFmtId="169" fontId="11" fillId="0" borderId="0" xfId="1" applyNumberFormat="1" applyFont="1"/>
    <xf numFmtId="0" fontId="12" fillId="0" borderId="0" xfId="5" applyFont="1" applyAlignment="1">
      <alignment horizontal="right"/>
    </xf>
    <xf numFmtId="9" fontId="12" fillId="0" borderId="0" xfId="2" applyFont="1"/>
    <xf numFmtId="0" fontId="15" fillId="0" borderId="0" xfId="5" applyFont="1" applyAlignment="1">
      <alignment vertical="center"/>
    </xf>
    <xf numFmtId="9" fontId="12" fillId="0" borderId="0" xfId="2" applyFont="1" applyAlignment="1">
      <alignment horizontal="right"/>
    </xf>
    <xf numFmtId="10" fontId="20" fillId="0" borderId="0" xfId="6" applyNumberFormat="1" applyFont="1"/>
  </cellXfs>
  <cellStyles count="7">
    <cellStyle name="Comma" xfId="1" builtinId="3"/>
    <cellStyle name="Millares 2" xfId="4" xr:uid="{2BADBADE-3E0C-4F6C-B6F1-6FBE17382B1E}"/>
    <cellStyle name="Normal" xfId="0" builtinId="0"/>
    <cellStyle name="Normal 2" xfId="3" xr:uid="{865E38E4-C27B-4B5A-BFA6-B1F10769DA1F}"/>
    <cellStyle name="Normal 6" xfId="5" xr:uid="{24F24B0E-540E-422B-B0B4-B156CC5DB358}"/>
    <cellStyle name="Percent" xfId="2" builtinId="5"/>
    <cellStyle name="Porcentaje 3" xfId="6" xr:uid="{400BF822-7E44-4496-919F-268017E924E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microsoft.com/office/2017/10/relationships/person" Target="persons/person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80</xdr:col>
      <xdr:colOff>371475</xdr:colOff>
      <xdr:row>0</xdr:row>
      <xdr:rowOff>0</xdr:rowOff>
    </xdr:from>
    <xdr:to>
      <xdr:col>92</xdr:col>
      <xdr:colOff>704269</xdr:colOff>
      <xdr:row>31</xdr:row>
      <xdr:rowOff>115140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C33605-862C-4BF9-9E1C-A97257DDE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99125" y="0"/>
          <a:ext cx="9937169" cy="575394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zmartinez\Desktop\Contabilidad\EEFF\PAN\Balance%20de%20prueba%20general%202023.xlsx" TargetMode="External"/><Relationship Id="rId1" Type="http://schemas.openxmlformats.org/officeDocument/2006/relationships/externalLinkPath" Target="file:///D:\Jefe%20Contable\Contabilidad\EEFF\PAN\Balance%20de%20prueba%20genera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zmartinez\Desktop\Contabilidad\Contabilidad\0%20Grupo\BG\Z%20BG%20Panorama.xlsm" TargetMode="External"/><Relationship Id="rId1" Type="http://schemas.openxmlformats.org/officeDocument/2006/relationships/externalLinkPath" Target="file:///C:\Users\lizmartinez\Desktop\Contabilidad\Contabilidad\0%20Grupo\BG\Z%20BG%20Panorama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Jefe%20Contable\Contabilidad\EEFF\PAN\Informe%20Panorama%20%202025.xlsx" TargetMode="External"/><Relationship Id="rId1" Type="http://schemas.openxmlformats.org/officeDocument/2006/relationships/externalLinkPath" Target="file:///D:\Jefe%20Contable\Contabilidad\EEFF\PAN\Informe%20Panorama%20%202025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zmartinez\Desktop\Contabilidad\Contabilidad\0%20Grupo\BG\Z%20BG%20Centro%20Optico.xlsm" TargetMode="External"/><Relationship Id="rId1" Type="http://schemas.openxmlformats.org/officeDocument/2006/relationships/externalLinkPath" Target="file:///C:\Users\lizmartinez\Desktop\Contabilidad\Contabilidad\0%20Grupo\BG\Z%20BG%20Centro%20Optico.xlsm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zmartinez\Desktop\Contabilidad\EEFF\COC\Balance%20de%20prueba%20general%202023%20coc.xlsx" TargetMode="External"/><Relationship Id="rId1" Type="http://schemas.openxmlformats.org/officeDocument/2006/relationships/externalLinkPath" Target="file:///C:\Users\lizmartinez\Desktop\Contabilidad\EEFF\COC\Balance%20de%20prueba%20general%202023%20co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4"/>
      <sheetName val="6"/>
      <sheetName val="8"/>
    </sheetNames>
    <sheetDataSet>
      <sheetData sheetId="0"/>
      <sheetData sheetId="1">
        <row r="1">
          <cell r="C1" t="str">
            <v>Código cuenta contable</v>
          </cell>
          <cell r="I1" t="str">
            <v>en miles</v>
          </cell>
        </row>
        <row r="2">
          <cell r="C2">
            <v>1105</v>
          </cell>
          <cell r="I2">
            <v>30600.400309999997</v>
          </cell>
        </row>
        <row r="3">
          <cell r="C3">
            <v>1110</v>
          </cell>
          <cell r="I3">
            <v>3512.5567700000001</v>
          </cell>
        </row>
        <row r="4">
          <cell r="C4">
            <v>1120</v>
          </cell>
          <cell r="I4">
            <v>47409.950440000001</v>
          </cell>
        </row>
        <row r="5">
          <cell r="C5">
            <v>1305</v>
          </cell>
          <cell r="I5">
            <v>352212.41044999997</v>
          </cell>
        </row>
        <row r="6">
          <cell r="C6">
            <v>1310</v>
          </cell>
          <cell r="I6">
            <v>0</v>
          </cell>
        </row>
        <row r="7">
          <cell r="C7">
            <v>1330</v>
          </cell>
          <cell r="I7">
            <v>7491.2790000000005</v>
          </cell>
        </row>
        <row r="8">
          <cell r="C8">
            <v>1355</v>
          </cell>
          <cell r="I8">
            <v>85606.261299999998</v>
          </cell>
        </row>
        <row r="9">
          <cell r="C9">
            <v>1365</v>
          </cell>
          <cell r="I9">
            <v>4132</v>
          </cell>
        </row>
        <row r="10">
          <cell r="C10">
            <v>1380</v>
          </cell>
          <cell r="I10">
            <v>9975.7720200000003</v>
          </cell>
        </row>
        <row r="11">
          <cell r="C11">
            <v>1399</v>
          </cell>
          <cell r="I11">
            <v>-26670.313999999998</v>
          </cell>
        </row>
        <row r="12">
          <cell r="C12">
            <v>1435</v>
          </cell>
          <cell r="I12">
            <v>575483.92083000008</v>
          </cell>
        </row>
        <row r="13">
          <cell r="C13">
            <v>1465</v>
          </cell>
          <cell r="I13">
            <v>0</v>
          </cell>
        </row>
        <row r="14">
          <cell r="C14">
            <v>1524</v>
          </cell>
          <cell r="I14">
            <v>782962.72317999997</v>
          </cell>
        </row>
        <row r="15">
          <cell r="C15">
            <v>1528</v>
          </cell>
          <cell r="I15">
            <v>75439.168680000002</v>
          </cell>
        </row>
        <row r="16">
          <cell r="C16">
            <v>1532</v>
          </cell>
          <cell r="I16">
            <v>12129.856220000001</v>
          </cell>
        </row>
        <row r="17">
          <cell r="C17">
            <v>1592</v>
          </cell>
          <cell r="I17">
            <v>-156525.47025000001</v>
          </cell>
        </row>
        <row r="18">
          <cell r="C18">
            <v>1705</v>
          </cell>
          <cell r="I18">
            <v>17369.355</v>
          </cell>
        </row>
        <row r="19">
          <cell r="C19">
            <v>1710</v>
          </cell>
          <cell r="I19">
            <v>17338.870999999999</v>
          </cell>
        </row>
        <row r="20">
          <cell r="C20">
            <v>2105</v>
          </cell>
          <cell r="I20">
            <v>-4479.1156300000002</v>
          </cell>
        </row>
        <row r="21">
          <cell r="C21">
            <v>2205</v>
          </cell>
          <cell r="I21">
            <v>-350125.15500000003</v>
          </cell>
        </row>
        <row r="22">
          <cell r="C22">
            <v>2335</v>
          </cell>
          <cell r="I22">
            <v>-25382.745640000001</v>
          </cell>
        </row>
        <row r="23">
          <cell r="C23">
            <v>2345</v>
          </cell>
          <cell r="I23">
            <v>-35052</v>
          </cell>
        </row>
        <row r="24">
          <cell r="C24">
            <v>2360</v>
          </cell>
          <cell r="I24">
            <v>-9488.4586999999992</v>
          </cell>
        </row>
        <row r="25">
          <cell r="C25">
            <v>2365</v>
          </cell>
          <cell r="I25">
            <v>-0.88400000000000001</v>
          </cell>
        </row>
        <row r="26">
          <cell r="C26">
            <v>2368</v>
          </cell>
          <cell r="I26">
            <v>-49.417000000000002</v>
          </cell>
        </row>
        <row r="27">
          <cell r="C27">
            <v>2370</v>
          </cell>
          <cell r="I27">
            <v>-8713.1679999999997</v>
          </cell>
        </row>
        <row r="28">
          <cell r="C28">
            <v>2380</v>
          </cell>
          <cell r="I28">
            <v>0</v>
          </cell>
        </row>
        <row r="29">
          <cell r="C29">
            <v>2404</v>
          </cell>
          <cell r="I29">
            <v>-162717.37513</v>
          </cell>
        </row>
        <row r="30">
          <cell r="C30">
            <v>2408</v>
          </cell>
          <cell r="I30">
            <v>-2.0061300000000002</v>
          </cell>
        </row>
        <row r="31">
          <cell r="C31">
            <v>2412</v>
          </cell>
          <cell r="I31">
            <v>-12669</v>
          </cell>
        </row>
        <row r="32">
          <cell r="C32">
            <v>2495</v>
          </cell>
          <cell r="I32">
            <v>0.43</v>
          </cell>
        </row>
        <row r="33">
          <cell r="C33">
            <v>2505</v>
          </cell>
          <cell r="I33">
            <v>0</v>
          </cell>
        </row>
        <row r="34">
          <cell r="C34">
            <v>2510</v>
          </cell>
          <cell r="I34">
            <v>-34714.197999999997</v>
          </cell>
        </row>
        <row r="35">
          <cell r="C35">
            <v>2515</v>
          </cell>
          <cell r="I35">
            <v>-4027.223</v>
          </cell>
        </row>
        <row r="36">
          <cell r="C36">
            <v>2520</v>
          </cell>
          <cell r="I36">
            <v>0</v>
          </cell>
        </row>
        <row r="37">
          <cell r="C37">
            <v>2525</v>
          </cell>
          <cell r="I37">
            <v>-6725.076</v>
          </cell>
        </row>
        <row r="38">
          <cell r="C38">
            <v>2605</v>
          </cell>
          <cell r="I38">
            <v>0</v>
          </cell>
        </row>
        <row r="39">
          <cell r="C39">
            <v>2725</v>
          </cell>
          <cell r="I39">
            <v>-119984.5</v>
          </cell>
        </row>
        <row r="40">
          <cell r="C40">
            <v>2805</v>
          </cell>
          <cell r="I40">
            <v>-124045.73735</v>
          </cell>
        </row>
        <row r="41">
          <cell r="C41">
            <v>3115</v>
          </cell>
          <cell r="I41">
            <v>-10000</v>
          </cell>
        </row>
        <row r="42">
          <cell r="C42">
            <v>3305</v>
          </cell>
          <cell r="I42">
            <v>-5229.9755100000002</v>
          </cell>
        </row>
        <row r="43">
          <cell r="C43">
            <v>3405</v>
          </cell>
          <cell r="I43">
            <v>0</v>
          </cell>
        </row>
        <row r="44">
          <cell r="C44">
            <v>3605</v>
          </cell>
          <cell r="I44">
            <v>0</v>
          </cell>
        </row>
        <row r="45">
          <cell r="C45">
            <v>3705</v>
          </cell>
          <cell r="I45">
            <v>-409935.51139999996</v>
          </cell>
        </row>
        <row r="46">
          <cell r="C46">
            <v>3715</v>
          </cell>
          <cell r="I46">
            <v>-42460.544399999999</v>
          </cell>
          <cell r="J46">
            <v>-472667.08006000053</v>
          </cell>
        </row>
        <row r="47">
          <cell r="C47">
            <v>4135</v>
          </cell>
          <cell r="I47">
            <v>-7404753.0010000002</v>
          </cell>
        </row>
        <row r="48">
          <cell r="C48">
            <v>4175</v>
          </cell>
          <cell r="I48">
            <v>154599.66165999998</v>
          </cell>
        </row>
        <row r="49">
          <cell r="C49">
            <v>4210</v>
          </cell>
          <cell r="I49">
            <v>-7076.9350000000004</v>
          </cell>
        </row>
        <row r="50">
          <cell r="C50">
            <v>4255</v>
          </cell>
          <cell r="I50">
            <v>-2801.4789999999998</v>
          </cell>
        </row>
        <row r="51">
          <cell r="C51">
            <v>4295</v>
          </cell>
          <cell r="I51">
            <v>-18092.939999999999</v>
          </cell>
        </row>
        <row r="52">
          <cell r="C52">
            <v>5105</v>
          </cell>
          <cell r="I52">
            <v>553408.59400000004</v>
          </cell>
        </row>
        <row r="53">
          <cell r="C53">
            <v>5110</v>
          </cell>
          <cell r="I53">
            <v>799209.5</v>
          </cell>
        </row>
        <row r="54">
          <cell r="C54">
            <v>5120</v>
          </cell>
          <cell r="I54">
            <v>577944.87199999997</v>
          </cell>
        </row>
        <row r="55">
          <cell r="C55">
            <v>5130</v>
          </cell>
          <cell r="I55">
            <v>7146.7020000000002</v>
          </cell>
        </row>
        <row r="56">
          <cell r="C56">
            <v>5135</v>
          </cell>
          <cell r="I56">
            <v>473207.21799999999</v>
          </cell>
        </row>
        <row r="57">
          <cell r="C57">
            <v>5140</v>
          </cell>
          <cell r="I57">
            <v>4481.3999999999996</v>
          </cell>
        </row>
        <row r="58">
          <cell r="C58">
            <v>5145</v>
          </cell>
          <cell r="I58">
            <v>1020</v>
          </cell>
        </row>
        <row r="59">
          <cell r="C59">
            <v>5150</v>
          </cell>
          <cell r="I59">
            <v>30334.28</v>
          </cell>
        </row>
        <row r="60">
          <cell r="C60">
            <v>5155</v>
          </cell>
          <cell r="I60">
            <v>10180.906000000001</v>
          </cell>
        </row>
        <row r="61">
          <cell r="C61">
            <v>5160</v>
          </cell>
          <cell r="I61">
            <v>34900.590029999999</v>
          </cell>
        </row>
        <row r="62">
          <cell r="C62">
            <v>5195</v>
          </cell>
          <cell r="I62">
            <v>75512.460000000006</v>
          </cell>
        </row>
        <row r="63">
          <cell r="C63">
            <v>5215</v>
          </cell>
          <cell r="I63">
            <v>212774.36421</v>
          </cell>
        </row>
        <row r="64">
          <cell r="C64">
            <v>5235</v>
          </cell>
          <cell r="I64">
            <v>519.6</v>
          </cell>
        </row>
        <row r="65">
          <cell r="C65">
            <v>5295</v>
          </cell>
          <cell r="I65">
            <v>105085.94</v>
          </cell>
        </row>
        <row r="66">
          <cell r="C66">
            <v>5305</v>
          </cell>
          <cell r="I66">
            <v>90683.911959999998</v>
          </cell>
        </row>
        <row r="67">
          <cell r="C67">
            <v>5310</v>
          </cell>
          <cell r="I67">
            <v>50</v>
          </cell>
        </row>
        <row r="68">
          <cell r="C68">
            <v>5315</v>
          </cell>
          <cell r="I68">
            <v>9892.4438100000007</v>
          </cell>
        </row>
        <row r="69">
          <cell r="C69">
            <v>5405</v>
          </cell>
          <cell r="I69">
            <v>298800.85499999998</v>
          </cell>
        </row>
        <row r="70">
          <cell r="C70">
            <v>6135</v>
          </cell>
          <cell r="I70">
            <v>3520303.97627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G"/>
      <sheetName val="TBG cuenta"/>
      <sheetName val="Consolidado"/>
      <sheetName val="Resultado Opticas"/>
      <sheetName val="Tabla BG 2"/>
      <sheetName val="BG 2"/>
      <sheetName val="Tabla BG 4"/>
      <sheetName val="Tabla BG 8"/>
      <sheetName val="BG 4"/>
      <sheetName val="TBG G Cuenta"/>
    </sheetNames>
    <sheetDataSet>
      <sheetData sheetId="0" refreshError="1"/>
      <sheetData sheetId="1" refreshError="1"/>
      <sheetData sheetId="2" refreshError="1"/>
      <sheetData sheetId="3" refreshError="1"/>
      <sheetData sheetId="4">
        <row r="3">
          <cell r="E3" t="str">
            <v>Año</v>
          </cell>
          <cell r="F3" t="str">
            <v>Mes</v>
          </cell>
        </row>
        <row r="4">
          <cell r="E4">
            <v>2024</v>
          </cell>
          <cell r="R4">
            <v>2025</v>
          </cell>
          <cell r="AE4">
            <v>2026</v>
          </cell>
          <cell r="AH4" t="str">
            <v>Total 2026</v>
          </cell>
          <cell r="AI4" t="str">
            <v>Total general</v>
          </cell>
        </row>
        <row r="5">
          <cell r="C5" t="str">
            <v>CuentaG</v>
          </cell>
          <cell r="E5">
            <v>1</v>
          </cell>
          <cell r="F5">
            <v>2</v>
          </cell>
          <cell r="G5">
            <v>3</v>
          </cell>
          <cell r="H5">
            <v>4</v>
          </cell>
          <cell r="I5">
            <v>5</v>
          </cell>
          <cell r="J5">
            <v>6</v>
          </cell>
          <cell r="K5">
            <v>7</v>
          </cell>
          <cell r="L5">
            <v>8</v>
          </cell>
          <cell r="M5">
            <v>9</v>
          </cell>
          <cell r="N5">
            <v>10</v>
          </cell>
          <cell r="O5">
            <v>11</v>
          </cell>
          <cell r="P5">
            <v>12</v>
          </cell>
          <cell r="R5">
            <v>1</v>
          </cell>
          <cell r="S5">
            <v>2</v>
          </cell>
          <cell r="T5">
            <v>3</v>
          </cell>
          <cell r="U5">
            <v>4</v>
          </cell>
          <cell r="V5">
            <v>5</v>
          </cell>
          <cell r="W5">
            <v>6</v>
          </cell>
          <cell r="X5">
            <v>7</v>
          </cell>
          <cell r="Y5">
            <v>8</v>
          </cell>
          <cell r="Z5">
            <v>9</v>
          </cell>
          <cell r="AA5">
            <v>10</v>
          </cell>
          <cell r="AB5">
            <v>11</v>
          </cell>
          <cell r="AC5">
            <v>12</v>
          </cell>
          <cell r="AE5">
            <v>1</v>
          </cell>
          <cell r="AF5">
            <v>2</v>
          </cell>
          <cell r="AG5">
            <v>3</v>
          </cell>
        </row>
        <row r="6">
          <cell r="C6" t="str">
            <v>1105</v>
          </cell>
          <cell r="E6">
            <v>-11499.130000000005</v>
          </cell>
          <cell r="F6">
            <v>3117.2939999999944</v>
          </cell>
          <cell r="G6">
            <v>18538.54800000001</v>
          </cell>
          <cell r="H6">
            <v>-20099.108000000007</v>
          </cell>
          <cell r="I6">
            <v>1374.3080000000191</v>
          </cell>
          <cell r="J6">
            <v>20855.299999999988</v>
          </cell>
          <cell r="K6">
            <v>-10203.184999999998</v>
          </cell>
          <cell r="L6">
            <v>14238.449000000022</v>
          </cell>
          <cell r="M6">
            <v>-5408.3690000000061</v>
          </cell>
          <cell r="N6">
            <v>-8132.216999999946</v>
          </cell>
          <cell r="O6">
            <v>14676.739999999991</v>
          </cell>
          <cell r="P6">
            <v>-4048.4040000000969</v>
          </cell>
          <cell r="R6">
            <v>-6742.26800000004</v>
          </cell>
          <cell r="S6">
            <v>14213.720000000088</v>
          </cell>
          <cell r="T6">
            <v>10626.960000000079</v>
          </cell>
          <cell r="U6">
            <v>-4598.8850000000093</v>
          </cell>
          <cell r="V6">
            <v>14901.949000000022</v>
          </cell>
          <cell r="W6">
            <v>-24757.127999999968</v>
          </cell>
          <cell r="X6">
            <v>-15732.912999999942</v>
          </cell>
          <cell r="Y6">
            <v>13145.059999999939</v>
          </cell>
          <cell r="Z6">
            <v>-1184.49099999998</v>
          </cell>
          <cell r="AA6">
            <v>-89.950000000186265</v>
          </cell>
          <cell r="AB6">
            <v>6736.2419999999693</v>
          </cell>
          <cell r="AC6">
            <v>-38151.92200000002</v>
          </cell>
          <cell r="AE6">
            <v>9087.9100000000326</v>
          </cell>
          <cell r="AF6">
            <v>34519.464600000007</v>
          </cell>
          <cell r="AG6">
            <v>-6283.140000000014</v>
          </cell>
          <cell r="AH6">
            <v>37324.234600000025</v>
          </cell>
          <cell r="AI6">
            <v>19100.834599999944</v>
          </cell>
        </row>
        <row r="7">
          <cell r="C7" t="str">
            <v>1110</v>
          </cell>
          <cell r="E7">
            <v>36741.317920000001</v>
          </cell>
          <cell r="F7">
            <v>22518.363229999988</v>
          </cell>
          <cell r="G7">
            <v>-14707.970230000006</v>
          </cell>
          <cell r="H7">
            <v>29905.046509999986</v>
          </cell>
          <cell r="I7">
            <v>-61268.905889999965</v>
          </cell>
          <cell r="J7">
            <v>-927.60193999999319</v>
          </cell>
          <cell r="K7">
            <v>54125.128380000009</v>
          </cell>
          <cell r="L7">
            <v>-5533.8750999999902</v>
          </cell>
          <cell r="M7">
            <v>14465.268930000006</v>
          </cell>
          <cell r="N7">
            <v>29488.581690000021</v>
          </cell>
          <cell r="O7">
            <v>14570.840670000005</v>
          </cell>
          <cell r="P7">
            <v>-88227.416090000013</v>
          </cell>
          <cell r="R7">
            <v>42706.180289999989</v>
          </cell>
          <cell r="S7">
            <v>4340.6428500000038</v>
          </cell>
          <cell r="T7">
            <v>-10987.389779999998</v>
          </cell>
          <cell r="U7">
            <v>112359.86963000006</v>
          </cell>
          <cell r="V7">
            <v>-36955.37638999999</v>
          </cell>
          <cell r="W7">
            <v>107636.19425</v>
          </cell>
          <cell r="X7">
            <v>-127711.91136000003</v>
          </cell>
          <cell r="Y7">
            <v>12504.409679999982</v>
          </cell>
          <cell r="Z7">
            <v>85195.309340000036</v>
          </cell>
          <cell r="AA7">
            <v>69898.962200000009</v>
          </cell>
          <cell r="AB7">
            <v>-32174.334050000005</v>
          </cell>
          <cell r="AC7">
            <v>-234189.76306</v>
          </cell>
          <cell r="AE7">
            <v>15534.115749999997</v>
          </cell>
          <cell r="AF7">
            <v>64309.32779000001</v>
          </cell>
          <cell r="AG7">
            <v>25318.064499999979</v>
          </cell>
          <cell r="AH7">
            <v>105161.50803999999</v>
          </cell>
          <cell r="AI7">
            <v>128933.07972000013</v>
          </cell>
        </row>
        <row r="8">
          <cell r="C8" t="str">
            <v>1120</v>
          </cell>
          <cell r="E8">
            <v>34508.902029999881</v>
          </cell>
          <cell r="F8">
            <v>36761.011160000053</v>
          </cell>
          <cell r="G8">
            <v>21393.678470000043</v>
          </cell>
          <cell r="H8">
            <v>134010.83260000002</v>
          </cell>
          <cell r="I8">
            <v>-162560.81874999998</v>
          </cell>
          <cell r="J8">
            <v>-26800.426539999957</v>
          </cell>
          <cell r="K8">
            <v>99439.411090000067</v>
          </cell>
          <cell r="L8">
            <v>81694.79515999998</v>
          </cell>
          <cell r="M8">
            <v>-78284.147239999962</v>
          </cell>
          <cell r="N8">
            <v>-71895.860430000001</v>
          </cell>
          <cell r="O8">
            <v>-34117.484449999989</v>
          </cell>
          <cell r="P8">
            <v>37235.37421999994</v>
          </cell>
          <cell r="R8">
            <v>-50478.288079999969</v>
          </cell>
          <cell r="S8">
            <v>125601.58627000003</v>
          </cell>
          <cell r="T8">
            <v>-48042.600259999977</v>
          </cell>
          <cell r="U8">
            <v>135224.38181999995</v>
          </cell>
          <cell r="V8">
            <v>-152413.55626999994</v>
          </cell>
          <cell r="W8">
            <v>-46625.743710000068</v>
          </cell>
          <cell r="X8">
            <v>86144.125250000041</v>
          </cell>
          <cell r="Y8">
            <v>150311.88328000001</v>
          </cell>
          <cell r="Z8">
            <v>-238699.03509000002</v>
          </cell>
          <cell r="AA8">
            <v>49567.601370000048</v>
          </cell>
          <cell r="AB8">
            <v>-56749.613260000013</v>
          </cell>
          <cell r="AC8">
            <v>13667.849379999912</v>
          </cell>
          <cell r="AE8">
            <v>-35375.513580000028</v>
          </cell>
          <cell r="AF8">
            <v>6922.9170800000429</v>
          </cell>
          <cell r="AG8">
            <v>-15107.361539999954</v>
          </cell>
          <cell r="AH8">
            <v>-43559.95803999994</v>
          </cell>
          <cell r="AI8">
            <v>-4666.100019999838</v>
          </cell>
        </row>
        <row r="9">
          <cell r="C9" t="str">
            <v>1305</v>
          </cell>
          <cell r="E9">
            <v>-21414.986990000005</v>
          </cell>
          <cell r="F9">
            <v>8309.852040000027</v>
          </cell>
          <cell r="G9">
            <v>26468.716000000015</v>
          </cell>
          <cell r="H9">
            <v>-34916.998009999981</v>
          </cell>
          <cell r="I9">
            <v>25589.561510000029</v>
          </cell>
          <cell r="J9">
            <v>-24597.695599999977</v>
          </cell>
          <cell r="K9">
            <v>58277.570589999901</v>
          </cell>
          <cell r="L9">
            <v>114668.75352999987</v>
          </cell>
          <cell r="M9">
            <v>78802.526399999973</v>
          </cell>
          <cell r="N9">
            <v>60022.279080000008</v>
          </cell>
          <cell r="O9">
            <v>-35547.55700000003</v>
          </cell>
          <cell r="P9">
            <v>192530.04648999998</v>
          </cell>
          <cell r="R9">
            <v>-24846.89049000002</v>
          </cell>
          <cell r="S9">
            <v>15975.474999999977</v>
          </cell>
          <cell r="T9">
            <v>35220.560500000021</v>
          </cell>
          <cell r="U9">
            <v>-28185.652000000002</v>
          </cell>
          <cell r="V9">
            <v>-99229.96192999999</v>
          </cell>
          <cell r="W9">
            <v>42719.484270000015</v>
          </cell>
          <cell r="X9">
            <v>3214.025159999961</v>
          </cell>
          <cell r="Y9">
            <v>-44888.947999999858</v>
          </cell>
          <cell r="Z9">
            <v>4314.1139999999432</v>
          </cell>
          <cell r="AA9">
            <v>-126343.76699999999</v>
          </cell>
          <cell r="AB9">
            <v>-120295.93450999993</v>
          </cell>
          <cell r="AC9">
            <v>176387.29850999999</v>
          </cell>
          <cell r="AE9">
            <v>-5793.5839999999152</v>
          </cell>
          <cell r="AF9">
            <v>-96561.287929999991</v>
          </cell>
          <cell r="AG9">
            <v>-35300.65000000014</v>
          </cell>
          <cell r="AH9">
            <v>-137655.52193000005</v>
          </cell>
          <cell r="AI9">
            <v>144576.34961999988</v>
          </cell>
        </row>
        <row r="10">
          <cell r="C10" t="str">
            <v>1310</v>
          </cell>
          <cell r="G10">
            <v>0</v>
          </cell>
          <cell r="L10">
            <v>4972.3500000000004</v>
          </cell>
          <cell r="M10">
            <v>-4972.3500000000004</v>
          </cell>
          <cell r="N10">
            <v>-0.37</v>
          </cell>
          <cell r="O10">
            <v>0</v>
          </cell>
          <cell r="P10">
            <v>0</v>
          </cell>
          <cell r="R10">
            <v>-18</v>
          </cell>
          <cell r="S10">
            <v>0</v>
          </cell>
          <cell r="T10">
            <v>-516.1</v>
          </cell>
          <cell r="U10">
            <v>516.1</v>
          </cell>
          <cell r="V10">
            <v>-1650.0999999999985</v>
          </cell>
          <cell r="W10">
            <v>880.1</v>
          </cell>
          <cell r="X10">
            <v>653</v>
          </cell>
          <cell r="Y10">
            <v>0</v>
          </cell>
          <cell r="Z10">
            <v>55689.91</v>
          </cell>
          <cell r="AA10">
            <v>-55689.91</v>
          </cell>
          <cell r="AB10">
            <v>166.208</v>
          </cell>
          <cell r="AC10">
            <v>-30.837999999999965</v>
          </cell>
          <cell r="AE10">
            <v>380</v>
          </cell>
          <cell r="AF10">
            <v>1196.46</v>
          </cell>
          <cell r="AG10">
            <v>-1196.46</v>
          </cell>
          <cell r="AH10">
            <v>380</v>
          </cell>
          <cell r="AI10">
            <v>380.00000000000455</v>
          </cell>
        </row>
        <row r="11">
          <cell r="C11" t="str">
            <v>1330</v>
          </cell>
          <cell r="E11">
            <v>1868.0999999999995</v>
          </cell>
          <cell r="F11">
            <v>-3118.8599999999997</v>
          </cell>
          <cell r="G11">
            <v>67.228000000000009</v>
          </cell>
          <cell r="H11">
            <v>303.37699999999995</v>
          </cell>
          <cell r="I11">
            <v>19251.39</v>
          </cell>
          <cell r="J11">
            <v>8399.9900000000016</v>
          </cell>
          <cell r="K11">
            <v>3533.473</v>
          </cell>
          <cell r="L11">
            <v>-15693.180999999999</v>
          </cell>
          <cell r="M11">
            <v>1335.7230000000004</v>
          </cell>
          <cell r="N11">
            <v>-20431.635999999999</v>
          </cell>
          <cell r="O11">
            <v>-145.18399999999929</v>
          </cell>
          <cell r="P11">
            <v>1534.0329999999999</v>
          </cell>
          <cell r="R11">
            <v>518.67200000000003</v>
          </cell>
          <cell r="S11">
            <v>5954.24</v>
          </cell>
          <cell r="T11">
            <v>676.54299999999967</v>
          </cell>
          <cell r="U11">
            <v>2163.9160000000011</v>
          </cell>
          <cell r="V11">
            <v>-7891.1919999999991</v>
          </cell>
          <cell r="W11">
            <v>11089.49134</v>
          </cell>
          <cell r="X11">
            <v>-16564.337</v>
          </cell>
          <cell r="Y11">
            <v>8260.4110000000001</v>
          </cell>
          <cell r="Z11">
            <v>-2190.1589999999997</v>
          </cell>
          <cell r="AA11">
            <v>-5946.9250700000011</v>
          </cell>
          <cell r="AB11">
            <v>223.90093000000024</v>
          </cell>
          <cell r="AC11">
            <v>668.48080000000004</v>
          </cell>
          <cell r="AE11">
            <v>7.9839999999999236</v>
          </cell>
          <cell r="AF11">
            <v>845.54631000000018</v>
          </cell>
          <cell r="AG11">
            <v>-819.04631999999992</v>
          </cell>
          <cell r="AH11">
            <v>34.483990000000176</v>
          </cell>
          <cell r="AI11">
            <v>-6098.0210099999913</v>
          </cell>
        </row>
        <row r="12">
          <cell r="C12" t="str">
            <v>1355</v>
          </cell>
          <cell r="E12">
            <v>15908.103929999999</v>
          </cell>
          <cell r="F12">
            <v>8277.8305900000014</v>
          </cell>
          <cell r="G12">
            <v>13627.140539999999</v>
          </cell>
          <cell r="H12">
            <v>6686.9996199999996</v>
          </cell>
          <cell r="I12">
            <v>13496.838389999997</v>
          </cell>
          <cell r="J12">
            <v>8027.4191299999993</v>
          </cell>
          <cell r="K12">
            <v>14689.810460000001</v>
          </cell>
          <cell r="L12">
            <v>10809.12789</v>
          </cell>
          <cell r="M12">
            <v>15516.638429999999</v>
          </cell>
          <cell r="N12">
            <v>10284.270239999998</v>
          </cell>
          <cell r="O12">
            <v>18310.102179999998</v>
          </cell>
          <cell r="P12">
            <v>-133477.72554000001</v>
          </cell>
          <cell r="R12">
            <v>22529.538140000001</v>
          </cell>
          <cell r="S12">
            <v>11034.935200000002</v>
          </cell>
          <cell r="T12">
            <v>16370.939630000001</v>
          </cell>
          <cell r="U12">
            <v>11904.360400000001</v>
          </cell>
          <cell r="V12">
            <v>21119.97811</v>
          </cell>
          <cell r="W12">
            <v>14431.035709999998</v>
          </cell>
          <cell r="X12">
            <v>26534.49583</v>
          </cell>
          <cell r="Y12">
            <v>19062.134030000001</v>
          </cell>
          <cell r="Z12">
            <v>24785.466969999998</v>
          </cell>
          <cell r="AA12">
            <v>25748.375899999999</v>
          </cell>
          <cell r="AB12">
            <v>28700.98431</v>
          </cell>
          <cell r="AC12">
            <v>-244426.25899</v>
          </cell>
          <cell r="AE12">
            <v>27331.7111</v>
          </cell>
          <cell r="AF12">
            <v>16952.214460000003</v>
          </cell>
          <cell r="AG12">
            <v>31487.431460000003</v>
          </cell>
          <cell r="AH12">
            <v>75771.35702000001</v>
          </cell>
          <cell r="AI12">
            <v>55723.898120000013</v>
          </cell>
        </row>
        <row r="13">
          <cell r="C13" t="str">
            <v>1365</v>
          </cell>
          <cell r="E13">
            <v>-150.78000000000009</v>
          </cell>
          <cell r="F13">
            <v>-354.22</v>
          </cell>
          <cell r="G13">
            <v>-375.38600000000008</v>
          </cell>
          <cell r="H13">
            <v>-880.06400000000008</v>
          </cell>
          <cell r="I13">
            <v>-1243.55</v>
          </cell>
          <cell r="J13">
            <v>-753.33399999999995</v>
          </cell>
          <cell r="K13">
            <v>5366.933</v>
          </cell>
          <cell r="L13">
            <v>-1271.5659999999998</v>
          </cell>
          <cell r="M13">
            <v>-1059.366</v>
          </cell>
          <cell r="N13">
            <v>-259.375</v>
          </cell>
          <cell r="O13">
            <v>-609.36599999999999</v>
          </cell>
          <cell r="P13">
            <v>483.529</v>
          </cell>
          <cell r="R13">
            <v>540.86800000000005</v>
          </cell>
          <cell r="S13">
            <v>-794.65499999999997</v>
          </cell>
          <cell r="T13">
            <v>218.90699999999993</v>
          </cell>
          <cell r="U13">
            <v>-115.97099999999989</v>
          </cell>
          <cell r="V13">
            <v>570.83300000000008</v>
          </cell>
          <cell r="W13">
            <v>2256.2259999999997</v>
          </cell>
          <cell r="X13">
            <v>-1148.454</v>
          </cell>
          <cell r="Y13">
            <v>-501.173</v>
          </cell>
          <cell r="Z13">
            <v>-868.23199999999997</v>
          </cell>
          <cell r="AA13">
            <v>-824.88800000000003</v>
          </cell>
          <cell r="AB13">
            <v>-472.86900000000003</v>
          </cell>
          <cell r="AC13">
            <v>680.27700000000004</v>
          </cell>
          <cell r="AE13">
            <v>792.221</v>
          </cell>
          <cell r="AF13">
            <v>-44.932000000000016</v>
          </cell>
          <cell r="AG13">
            <v>-175.53499999999997</v>
          </cell>
          <cell r="AH13">
            <v>571.75400000000002</v>
          </cell>
          <cell r="AI13">
            <v>-993.92199999999946</v>
          </cell>
        </row>
        <row r="14">
          <cell r="C14" t="str">
            <v>1380</v>
          </cell>
          <cell r="E14">
            <v>672.0896700000003</v>
          </cell>
          <cell r="F14">
            <v>-784.76786999999877</v>
          </cell>
          <cell r="G14">
            <v>0</v>
          </cell>
          <cell r="H14">
            <v>0</v>
          </cell>
          <cell r="I14">
            <v>-4.7570000000632717E-2</v>
          </cell>
          <cell r="J14">
            <v>1379.0199299999995</v>
          </cell>
          <cell r="K14">
            <v>-3665.7153600000001</v>
          </cell>
          <cell r="L14">
            <v>-53.394039999999222</v>
          </cell>
          <cell r="M14">
            <v>-5287.3927800000001</v>
          </cell>
          <cell r="N14">
            <v>224.06428000000051</v>
          </cell>
          <cell r="O14">
            <v>1476.9198399999996</v>
          </cell>
          <cell r="P14">
            <v>10117.809030000004</v>
          </cell>
          <cell r="R14">
            <v>-11270.309850000001</v>
          </cell>
          <cell r="S14">
            <v>-530.24699999999939</v>
          </cell>
          <cell r="T14">
            <v>171.62369999999828</v>
          </cell>
          <cell r="U14">
            <v>-189.86000000000058</v>
          </cell>
          <cell r="V14">
            <v>753.58196000000135</v>
          </cell>
          <cell r="W14">
            <v>-493.49149000000034</v>
          </cell>
          <cell r="X14">
            <v>565.53513000000021</v>
          </cell>
          <cell r="Y14">
            <v>-825.62559999999939</v>
          </cell>
          <cell r="Z14">
            <v>0</v>
          </cell>
          <cell r="AA14">
            <v>0</v>
          </cell>
          <cell r="AB14">
            <v>785.31762000000026</v>
          </cell>
          <cell r="AC14">
            <v>-3020.8816199999983</v>
          </cell>
          <cell r="AE14">
            <v>0</v>
          </cell>
          <cell r="AF14">
            <v>0</v>
          </cell>
          <cell r="AG14">
            <v>506.77811999999994</v>
          </cell>
          <cell r="AH14">
            <v>506.77811999999994</v>
          </cell>
          <cell r="AI14">
            <v>-9468.993899999994</v>
          </cell>
        </row>
        <row r="15">
          <cell r="C15" t="str">
            <v>1399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</row>
        <row r="16">
          <cell r="C16" t="str">
            <v>1435</v>
          </cell>
          <cell r="E16">
            <v>-89972.84924000001</v>
          </cell>
          <cell r="F16">
            <v>-33968.593860000023</v>
          </cell>
          <cell r="G16">
            <v>-31349.09600000002</v>
          </cell>
          <cell r="H16">
            <v>8368.2600000000093</v>
          </cell>
          <cell r="I16">
            <v>-372</v>
          </cell>
          <cell r="J16">
            <v>-24539.08176999999</v>
          </cell>
          <cell r="K16">
            <v>91977.452670000028</v>
          </cell>
          <cell r="L16">
            <v>-6658.8541299999924</v>
          </cell>
          <cell r="M16">
            <v>37892.161000000022</v>
          </cell>
          <cell r="N16">
            <v>61045.561329999997</v>
          </cell>
          <cell r="O16">
            <v>79796.042659999977</v>
          </cell>
          <cell r="P16">
            <v>-9643.3347000000067</v>
          </cell>
          <cell r="R16">
            <v>-105646.22514999995</v>
          </cell>
          <cell r="S16">
            <v>-5401.8759999999893</v>
          </cell>
          <cell r="T16">
            <v>105629.07397000003</v>
          </cell>
          <cell r="U16">
            <v>15745.748649999965</v>
          </cell>
          <cell r="V16">
            <v>-36323.707189999986</v>
          </cell>
          <cell r="W16">
            <v>-54360.316420000046</v>
          </cell>
          <cell r="X16">
            <v>-21582.511959999974</v>
          </cell>
          <cell r="Y16">
            <v>31771.820019999985</v>
          </cell>
          <cell r="Z16">
            <v>-16687.034069999994</v>
          </cell>
          <cell r="AA16">
            <v>197909.41458000004</v>
          </cell>
          <cell r="AB16">
            <v>70778.10149999999</v>
          </cell>
          <cell r="AC16">
            <v>33201.59249999997</v>
          </cell>
          <cell r="AE16">
            <v>-99689.800999999978</v>
          </cell>
          <cell r="AF16">
            <v>-72404.029610000027</v>
          </cell>
          <cell r="AG16">
            <v>-69307.738420000009</v>
          </cell>
          <cell r="AH16">
            <v>-241401.56903000001</v>
          </cell>
          <cell r="AI16">
            <v>56208.179360000009</v>
          </cell>
        </row>
        <row r="17">
          <cell r="C17" t="str">
            <v>1465</v>
          </cell>
          <cell r="H17">
            <v>0</v>
          </cell>
          <cell r="AI17">
            <v>0</v>
          </cell>
        </row>
        <row r="18">
          <cell r="C18" t="str">
            <v>1520</v>
          </cell>
          <cell r="E18">
            <v>4955.8739999999998</v>
          </cell>
          <cell r="F18">
            <v>100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1270.587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6326.4609999999993</v>
          </cell>
        </row>
        <row r="19">
          <cell r="C19" t="str">
            <v>1524</v>
          </cell>
          <cell r="E19">
            <v>3037.3</v>
          </cell>
          <cell r="F19">
            <v>9669.0419999999995</v>
          </cell>
          <cell r="G19">
            <v>0</v>
          </cell>
          <cell r="H19">
            <v>2850</v>
          </cell>
          <cell r="I19">
            <v>0</v>
          </cell>
          <cell r="J19">
            <v>412.9</v>
          </cell>
          <cell r="K19">
            <v>6800</v>
          </cell>
          <cell r="L19">
            <v>1520</v>
          </cell>
          <cell r="M19">
            <v>9609.0830000000005</v>
          </cell>
          <cell r="N19">
            <v>62274.42</v>
          </cell>
          <cell r="O19">
            <v>6501.2790000000005</v>
          </cell>
          <cell r="P19">
            <v>6164.2</v>
          </cell>
          <cell r="R19">
            <v>0</v>
          </cell>
          <cell r="S19">
            <v>505.74</v>
          </cell>
          <cell r="T19">
            <v>10800</v>
          </cell>
          <cell r="U19">
            <v>17715</v>
          </cell>
          <cell r="V19">
            <v>0</v>
          </cell>
          <cell r="W19">
            <v>0</v>
          </cell>
          <cell r="X19">
            <v>22925.898000000001</v>
          </cell>
          <cell r="Y19">
            <v>8235.9959999999992</v>
          </cell>
          <cell r="Z19">
            <v>4600</v>
          </cell>
          <cell r="AA19">
            <v>798.90099999999995</v>
          </cell>
          <cell r="AB19">
            <v>0</v>
          </cell>
          <cell r="AC19">
            <v>0</v>
          </cell>
          <cell r="AE19">
            <v>0</v>
          </cell>
          <cell r="AF19">
            <v>479.9</v>
          </cell>
          <cell r="AG19">
            <v>0</v>
          </cell>
          <cell r="AH19">
            <v>479.9</v>
          </cell>
          <cell r="AI19">
            <v>174899.65899999996</v>
          </cell>
        </row>
        <row r="20">
          <cell r="C20" t="str">
            <v>1528</v>
          </cell>
          <cell r="E20">
            <v>149</v>
          </cell>
          <cell r="F20">
            <v>3097.9</v>
          </cell>
          <cell r="G20">
            <v>0</v>
          </cell>
          <cell r="H20">
            <v>0</v>
          </cell>
          <cell r="I20">
            <v>0</v>
          </cell>
          <cell r="J20">
            <v>2618</v>
          </cell>
          <cell r="K20">
            <v>3773.4</v>
          </cell>
          <cell r="L20">
            <v>1399.8</v>
          </cell>
          <cell r="M20">
            <v>2148.9</v>
          </cell>
          <cell r="N20">
            <v>4627.8</v>
          </cell>
          <cell r="O20">
            <v>0</v>
          </cell>
          <cell r="P20">
            <v>0</v>
          </cell>
          <cell r="R20">
            <v>2199</v>
          </cell>
          <cell r="S20">
            <v>0</v>
          </cell>
          <cell r="T20">
            <v>0</v>
          </cell>
          <cell r="U20">
            <v>0</v>
          </cell>
          <cell r="V20">
            <v>1300</v>
          </cell>
          <cell r="W20">
            <v>4997.8999999999996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822.50199999999995</v>
          </cell>
          <cell r="AE20">
            <v>800</v>
          </cell>
          <cell r="AF20">
            <v>0</v>
          </cell>
          <cell r="AG20">
            <v>0</v>
          </cell>
          <cell r="AH20">
            <v>800</v>
          </cell>
          <cell r="AI20">
            <v>27934.201999999997</v>
          </cell>
        </row>
        <row r="21">
          <cell r="C21" t="str">
            <v>1532</v>
          </cell>
          <cell r="E21">
            <v>0</v>
          </cell>
          <cell r="F21">
            <v>649.26400000000001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81547</v>
          </cell>
          <cell r="N21">
            <v>0</v>
          </cell>
          <cell r="O21">
            <v>0</v>
          </cell>
          <cell r="P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82196.263999999996</v>
          </cell>
        </row>
        <row r="22">
          <cell r="C22" t="str">
            <v>1592</v>
          </cell>
          <cell r="E22">
            <v>-4580.4214400000001</v>
          </cell>
          <cell r="F22">
            <v>-4143.2452599999997</v>
          </cell>
          <cell r="G22">
            <v>-4476.9191499999997</v>
          </cell>
          <cell r="H22">
            <v>-4476.9191499999997</v>
          </cell>
          <cell r="I22">
            <v>-4486.4191499999997</v>
          </cell>
          <cell r="J22">
            <v>-4486.4191499999997</v>
          </cell>
          <cell r="K22">
            <v>-4471.4380100000008</v>
          </cell>
          <cell r="L22">
            <v>-4618.4423199999992</v>
          </cell>
          <cell r="M22">
            <v>-4646.8389800000004</v>
          </cell>
          <cell r="N22">
            <v>-4994.9454100000003</v>
          </cell>
          <cell r="O22">
            <v>-5187.733009999999</v>
          </cell>
          <cell r="P22">
            <v>-5209.4039400000001</v>
          </cell>
          <cell r="R22">
            <v>-4333.2990599999903</v>
          </cell>
          <cell r="S22">
            <v>-4380.3184199999996</v>
          </cell>
          <cell r="T22">
            <v>-4383.1280900000002</v>
          </cell>
          <cell r="U22">
            <v>-4443.1280900000002</v>
          </cell>
          <cell r="V22">
            <v>-4541.5447599999989</v>
          </cell>
          <cell r="W22">
            <v>-4563.2114199999996</v>
          </cell>
          <cell r="X22">
            <v>-4646.509759999999</v>
          </cell>
          <cell r="Y22">
            <v>-4773.8758600000001</v>
          </cell>
          <cell r="Z22">
            <v>-9868.5500000000029</v>
          </cell>
          <cell r="AA22">
            <v>-5318.0823600000003</v>
          </cell>
          <cell r="AB22">
            <v>-5318.0823600000003</v>
          </cell>
          <cell r="AC22">
            <v>-5323.4083600000004</v>
          </cell>
          <cell r="AE22">
            <v>-4517.6245999999992</v>
          </cell>
          <cell r="AF22">
            <v>-4530.9575999999997</v>
          </cell>
          <cell r="AG22">
            <v>0</v>
          </cell>
          <cell r="AH22">
            <v>-9048.5821999999989</v>
          </cell>
          <cell r="AI22">
            <v>-126720.86570999997</v>
          </cell>
        </row>
        <row r="23">
          <cell r="C23" t="str">
            <v>1705</v>
          </cell>
          <cell r="E23">
            <v>-554.91600000000005</v>
          </cell>
          <cell r="F23">
            <v>5901.3329999999996</v>
          </cell>
          <cell r="G23">
            <v>-1323.4939999999999</v>
          </cell>
          <cell r="H23">
            <v>-171.86899999999991</v>
          </cell>
          <cell r="I23">
            <v>-1553.8040000000001</v>
          </cell>
          <cell r="J23">
            <v>-2091.6039999999998</v>
          </cell>
          <cell r="K23">
            <v>5214.0280000000002</v>
          </cell>
          <cell r="L23">
            <v>11745.246000000001</v>
          </cell>
          <cell r="M23">
            <v>4156.7920000000004</v>
          </cell>
          <cell r="N23">
            <v>-6431.2</v>
          </cell>
          <cell r="O23">
            <v>2264.9250000000002</v>
          </cell>
          <cell r="P23">
            <v>-6495.174</v>
          </cell>
          <cell r="R23">
            <v>-3273</v>
          </cell>
          <cell r="S23">
            <v>3908.73</v>
          </cell>
          <cell r="T23">
            <v>-4129.1570000000002</v>
          </cell>
          <cell r="U23">
            <v>-4129.1610000000001</v>
          </cell>
          <cell r="V23">
            <v>-3510.5520000000001</v>
          </cell>
          <cell r="W23">
            <v>-4150.335</v>
          </cell>
          <cell r="X23">
            <v>3232.7559999999994</v>
          </cell>
          <cell r="Y23">
            <v>-4105.0339999999997</v>
          </cell>
          <cell r="Z23">
            <v>9477.1679999999997</v>
          </cell>
          <cell r="AA23">
            <v>-2202.6730000000002</v>
          </cell>
          <cell r="AB23">
            <v>4304.8690000000006</v>
          </cell>
          <cell r="AC23">
            <v>-4769.3190000000004</v>
          </cell>
          <cell r="AE23">
            <v>-1882.3840000000002</v>
          </cell>
          <cell r="AF23">
            <v>7611.723</v>
          </cell>
          <cell r="AG23">
            <v>-3381.0940000000001</v>
          </cell>
          <cell r="AH23">
            <v>2348.2449999999999</v>
          </cell>
          <cell r="AI23">
            <v>3662.8000000000011</v>
          </cell>
        </row>
        <row r="24">
          <cell r="C24" t="str">
            <v>1710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2.3999999999999998E-4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2.3999999999999998E-4</v>
          </cell>
        </row>
        <row r="25">
          <cell r="C25" t="str">
            <v>2105</v>
          </cell>
          <cell r="E25">
            <v>-218.67837000000009</v>
          </cell>
          <cell r="F25">
            <v>-3360.2069999999994</v>
          </cell>
          <cell r="G25">
            <v>6308.97</v>
          </cell>
          <cell r="H25">
            <v>334.64699999999993</v>
          </cell>
          <cell r="I25">
            <v>343.18299999999999</v>
          </cell>
          <cell r="J25">
            <v>-1488.5369999999998</v>
          </cell>
          <cell r="K25">
            <v>-3066.62</v>
          </cell>
          <cell r="L25">
            <v>1677.4799999999996</v>
          </cell>
          <cell r="M25">
            <v>-1493.2899999999995</v>
          </cell>
          <cell r="N25">
            <v>-2425.0170000000003</v>
          </cell>
          <cell r="O25">
            <v>3719.8660000000004</v>
          </cell>
          <cell r="P25">
            <v>-151.67100000000028</v>
          </cell>
          <cell r="R25">
            <v>-2117.2220000000002</v>
          </cell>
          <cell r="S25">
            <v>2356.2550000000001</v>
          </cell>
          <cell r="T25">
            <v>186.04600000000005</v>
          </cell>
          <cell r="U25">
            <v>69.413000000000011</v>
          </cell>
          <cell r="V25">
            <v>-939.1160000000001</v>
          </cell>
          <cell r="W25">
            <v>-1657.1710000000003</v>
          </cell>
          <cell r="X25">
            <v>4410.3580000000002</v>
          </cell>
          <cell r="Y25">
            <v>-2134.7460000000001</v>
          </cell>
          <cell r="Z25">
            <v>-1823.9201699999994</v>
          </cell>
          <cell r="AA25">
            <v>2980.9</v>
          </cell>
          <cell r="AB25">
            <v>-1202.71288</v>
          </cell>
          <cell r="AC25">
            <v>-758.01000000000022</v>
          </cell>
          <cell r="AE25">
            <v>-2316.8170000000005</v>
          </cell>
          <cell r="AF25">
            <v>788.37559999999985</v>
          </cell>
          <cell r="AG25">
            <v>-501.23200000000043</v>
          </cell>
          <cell r="AH25">
            <v>-2029.673400000001</v>
          </cell>
          <cell r="AI25">
            <v>-2479.4738200000002</v>
          </cell>
        </row>
        <row r="26">
          <cell r="C26" t="str">
            <v>2205</v>
          </cell>
          <cell r="E26">
            <v>130113.72099999996</v>
          </cell>
          <cell r="F26">
            <v>22321.973999999987</v>
          </cell>
          <cell r="G26">
            <v>66143.737999999983</v>
          </cell>
          <cell r="H26">
            <v>-138010.89099999997</v>
          </cell>
          <cell r="I26">
            <v>114834.005</v>
          </cell>
          <cell r="J26">
            <v>39027.632000000041</v>
          </cell>
          <cell r="K26">
            <v>-276712.98199999996</v>
          </cell>
          <cell r="L26">
            <v>-16645.499509999994</v>
          </cell>
          <cell r="M26">
            <v>-33273.755000000005</v>
          </cell>
          <cell r="N26">
            <v>3984.23199999996</v>
          </cell>
          <cell r="O26">
            <v>16285.266119999986</v>
          </cell>
          <cell r="P26">
            <v>33241.984999999986</v>
          </cell>
          <cell r="R26">
            <v>226185.777</v>
          </cell>
          <cell r="S26">
            <v>14254.178000000014</v>
          </cell>
          <cell r="T26">
            <v>-197205.81899999996</v>
          </cell>
          <cell r="U26">
            <v>-89665.242000000027</v>
          </cell>
          <cell r="V26">
            <v>255158.641</v>
          </cell>
          <cell r="W26">
            <v>50522.140390000015</v>
          </cell>
          <cell r="X26">
            <v>-61574.048999999999</v>
          </cell>
          <cell r="Y26">
            <v>-47409.385000000009</v>
          </cell>
          <cell r="Z26">
            <v>-42231.065000000002</v>
          </cell>
          <cell r="AA26">
            <v>-139673.05000000005</v>
          </cell>
          <cell r="AB26">
            <v>-141642.68900000001</v>
          </cell>
          <cell r="AC26">
            <v>142119.04800000007</v>
          </cell>
          <cell r="AE26">
            <v>149478.364</v>
          </cell>
          <cell r="AF26">
            <v>126716.76500000001</v>
          </cell>
          <cell r="AG26">
            <v>26213.669000000053</v>
          </cell>
          <cell r="AH26">
            <v>302408.79800000007</v>
          </cell>
          <cell r="AI26">
            <v>232556.70900000009</v>
          </cell>
        </row>
        <row r="27">
          <cell r="C27" t="str">
            <v>2335</v>
          </cell>
          <cell r="E27">
            <v>11994.400000000023</v>
          </cell>
          <cell r="F27">
            <v>2897.1270000000077</v>
          </cell>
          <cell r="G27">
            <v>-84442.708000000013</v>
          </cell>
          <cell r="H27">
            <v>6734.0620000000054</v>
          </cell>
          <cell r="I27">
            <v>34637.016999999993</v>
          </cell>
          <cell r="J27">
            <v>40583.14499999999</v>
          </cell>
          <cell r="K27">
            <v>1341.4109999999928</v>
          </cell>
          <cell r="L27">
            <v>9600.139360000001</v>
          </cell>
          <cell r="M27">
            <v>-11240.485999999975</v>
          </cell>
          <cell r="N27">
            <v>-21542.752000000008</v>
          </cell>
          <cell r="O27">
            <v>7681.3909999999742</v>
          </cell>
          <cell r="P27">
            <v>-132507.15000000002</v>
          </cell>
          <cell r="R27">
            <v>111878.11099999998</v>
          </cell>
          <cell r="S27">
            <v>14620.744000000006</v>
          </cell>
          <cell r="T27">
            <v>12074.676000000007</v>
          </cell>
          <cell r="U27">
            <v>-34541.568999999989</v>
          </cell>
          <cell r="V27">
            <v>25514.507000000012</v>
          </cell>
          <cell r="W27">
            <v>-12566.898999999976</v>
          </cell>
          <cell r="X27">
            <v>-20989.168000000005</v>
          </cell>
          <cell r="Y27">
            <v>13723.193999999959</v>
          </cell>
          <cell r="Z27">
            <v>-79190.759819999977</v>
          </cell>
          <cell r="AA27">
            <v>77331.071880000003</v>
          </cell>
          <cell r="AB27">
            <v>2047.9588300000178</v>
          </cell>
          <cell r="AC27">
            <v>-244804.03488999995</v>
          </cell>
          <cell r="AE27">
            <v>119252.42200000002</v>
          </cell>
          <cell r="AF27">
            <v>-2793.9219999999623</v>
          </cell>
          <cell r="AG27">
            <v>156729.48800000001</v>
          </cell>
          <cell r="AH27">
            <v>273187.98800000007</v>
          </cell>
          <cell r="AI27">
            <v>4021.4163600000902</v>
          </cell>
        </row>
        <row r="28">
          <cell r="C28" t="str">
            <v>2345</v>
          </cell>
          <cell r="E28">
            <v>15015</v>
          </cell>
          <cell r="F28">
            <v>-48820</v>
          </cell>
          <cell r="G28">
            <v>48963</v>
          </cell>
          <cell r="H28">
            <v>-27589</v>
          </cell>
          <cell r="I28">
            <v>25284</v>
          </cell>
          <cell r="J28">
            <v>-20737</v>
          </cell>
          <cell r="K28">
            <v>17093</v>
          </cell>
          <cell r="L28">
            <v>-19599</v>
          </cell>
          <cell r="M28">
            <v>17499</v>
          </cell>
          <cell r="N28">
            <v>-15906</v>
          </cell>
          <cell r="O28">
            <v>16973</v>
          </cell>
          <cell r="P28">
            <v>-27337.65094</v>
          </cell>
          <cell r="R28">
            <v>30786</v>
          </cell>
          <cell r="S28">
            <v>-62107</v>
          </cell>
          <cell r="T28">
            <v>58682</v>
          </cell>
          <cell r="U28">
            <v>-8388</v>
          </cell>
          <cell r="V28">
            <v>11295</v>
          </cell>
          <cell r="W28">
            <v>-62666</v>
          </cell>
          <cell r="X28">
            <v>41422</v>
          </cell>
          <cell r="Y28">
            <v>-25315</v>
          </cell>
          <cell r="Z28">
            <v>33987</v>
          </cell>
          <cell r="AA28">
            <v>-90767</v>
          </cell>
          <cell r="AB28">
            <v>65327</v>
          </cell>
          <cell r="AC28">
            <v>-40043.34906</v>
          </cell>
          <cell r="AE28">
            <v>67303</v>
          </cell>
          <cell r="AF28">
            <v>-86258</v>
          </cell>
          <cell r="AG28">
            <v>116981</v>
          </cell>
          <cell r="AH28">
            <v>98026</v>
          </cell>
          <cell r="AI28">
            <v>31077</v>
          </cell>
        </row>
        <row r="29">
          <cell r="C29" t="str">
            <v>2360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9488.4582000000082</v>
          </cell>
          <cell r="O29">
            <v>0</v>
          </cell>
          <cell r="P29">
            <v>5.0000000000000001E-4</v>
          </cell>
          <cell r="T29">
            <v>135642.12700000001</v>
          </cell>
          <cell r="U29">
            <v>0</v>
          </cell>
          <cell r="V29">
            <v>-5762.6870000000054</v>
          </cell>
          <cell r="W29">
            <v>0</v>
          </cell>
          <cell r="X29">
            <v>0</v>
          </cell>
          <cell r="Y29">
            <v>35700.550999999999</v>
          </cell>
          <cell r="Z29">
            <v>256551.652</v>
          </cell>
          <cell r="AA29">
            <v>-428894.45700000005</v>
          </cell>
          <cell r="AB29">
            <v>9.9999998928979039E-4</v>
          </cell>
          <cell r="AC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2725.6456999999355</v>
          </cell>
        </row>
        <row r="30">
          <cell r="C30" t="str">
            <v>2365</v>
          </cell>
          <cell r="E30">
            <v>0.32955000000220025</v>
          </cell>
          <cell r="F30">
            <v>-0.39999999999781721</v>
          </cell>
          <cell r="G30">
            <v>0.23899999999775901</v>
          </cell>
          <cell r="H30">
            <v>-4.3000000001484295E-2</v>
          </cell>
          <cell r="I30">
            <v>2.2000000000844011E-2</v>
          </cell>
          <cell r="J30">
            <v>-4.5999999998457497E-2</v>
          </cell>
          <cell r="K30">
            <v>-0.47299999999813735</v>
          </cell>
          <cell r="L30">
            <v>0.45300000000133878</v>
          </cell>
          <cell r="M30">
            <v>0.31000000000130967</v>
          </cell>
          <cell r="N30">
            <v>-0.36500000000160071</v>
          </cell>
          <cell r="O30">
            <v>-0.21700000000055297</v>
          </cell>
          <cell r="P30">
            <v>1.0744500000000698</v>
          </cell>
          <cell r="R30">
            <v>8.9999999981955625E-3</v>
          </cell>
          <cell r="S30">
            <v>-6.0000000012223609E-3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7.6699999990523793E-3</v>
          </cell>
          <cell r="AC30">
            <v>-1.0670000003301539E-2</v>
          </cell>
          <cell r="AE30">
            <v>0</v>
          </cell>
          <cell r="AF30">
            <v>0</v>
          </cell>
          <cell r="AG30">
            <v>-39401.877999999997</v>
          </cell>
          <cell r="AH30">
            <v>-39401.877999999997</v>
          </cell>
          <cell r="AI30">
            <v>-39400.993999999999</v>
          </cell>
        </row>
        <row r="31">
          <cell r="C31" t="str">
            <v>2367</v>
          </cell>
          <cell r="N31">
            <v>-64.644999999999996</v>
          </cell>
          <cell r="O31">
            <v>64.645380000000003</v>
          </cell>
          <cell r="P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-0.18900000000007822</v>
          </cell>
          <cell r="AA31">
            <v>0</v>
          </cell>
          <cell r="AB31">
            <v>0</v>
          </cell>
          <cell r="AC31">
            <v>0.18862000000001444</v>
          </cell>
          <cell r="AF31">
            <v>-4.9999999987448973E-5</v>
          </cell>
          <cell r="AG31">
            <v>-39.067</v>
          </cell>
          <cell r="AH31">
            <v>-39.067049999999988</v>
          </cell>
          <cell r="AI31">
            <v>-39.067050000000044</v>
          </cell>
        </row>
        <row r="32">
          <cell r="C32" t="str">
            <v>2368</v>
          </cell>
          <cell r="E32">
            <v>-953.47299999999996</v>
          </cell>
          <cell r="F32">
            <v>918.63200000000006</v>
          </cell>
          <cell r="G32">
            <v>-1004.3699999999999</v>
          </cell>
          <cell r="H32">
            <v>1069.2050000000002</v>
          </cell>
          <cell r="I32">
            <v>-1242.961</v>
          </cell>
          <cell r="J32">
            <v>1197.4410000000003</v>
          </cell>
          <cell r="K32">
            <v>-1051.502</v>
          </cell>
          <cell r="L32">
            <v>1023.8990000000001</v>
          </cell>
          <cell r="M32">
            <v>-1317.528</v>
          </cell>
          <cell r="N32">
            <v>1343.6719999999998</v>
          </cell>
          <cell r="O32">
            <v>-1469.7939999999999</v>
          </cell>
          <cell r="P32">
            <v>1536.1959999999999</v>
          </cell>
          <cell r="R32">
            <v>-1211.115</v>
          </cell>
          <cell r="S32">
            <v>1326.8590000000002</v>
          </cell>
          <cell r="T32">
            <v>-1344.635</v>
          </cell>
          <cell r="U32">
            <v>1159.567</v>
          </cell>
          <cell r="V32">
            <v>-3020.6170000000002</v>
          </cell>
          <cell r="W32">
            <v>3005.587</v>
          </cell>
          <cell r="X32">
            <v>-3679.7472000000002</v>
          </cell>
          <cell r="Y32">
            <v>3771.0631999999996</v>
          </cell>
          <cell r="Z32">
            <v>-4002.7979999999998</v>
          </cell>
          <cell r="AA32">
            <v>4026.9939999999997</v>
          </cell>
          <cell r="AB32">
            <v>-3371.6133300000001</v>
          </cell>
          <cell r="AC32">
            <v>3340.4553299999998</v>
          </cell>
          <cell r="AE32">
            <v>-3419.2017599999999</v>
          </cell>
          <cell r="AF32">
            <v>3419.2017600000004</v>
          </cell>
          <cell r="AG32">
            <v>-4233.7429999999995</v>
          </cell>
          <cell r="AH32">
            <v>-4233.7429999999995</v>
          </cell>
          <cell r="AI32">
            <v>-4184.3259999999991</v>
          </cell>
        </row>
        <row r="33">
          <cell r="C33" t="str">
            <v>2370</v>
          </cell>
          <cell r="E33">
            <v>73.899999999999636</v>
          </cell>
          <cell r="F33">
            <v>-951.60000000000036</v>
          </cell>
          <cell r="G33">
            <v>-455.20000000000073</v>
          </cell>
          <cell r="H33">
            <v>412.20000000000073</v>
          </cell>
          <cell r="I33">
            <v>-1054.5999999999985</v>
          </cell>
          <cell r="J33">
            <v>-536.70000000000073</v>
          </cell>
          <cell r="K33">
            <v>829.90000000000146</v>
          </cell>
          <cell r="L33">
            <v>-800.55400000000009</v>
          </cell>
          <cell r="M33">
            <v>154.72199999999975</v>
          </cell>
          <cell r="N33">
            <v>801.89999999999964</v>
          </cell>
          <cell r="O33">
            <v>-340</v>
          </cell>
          <cell r="P33">
            <v>121.90000000000146</v>
          </cell>
          <cell r="R33">
            <v>544.89999999999964</v>
          </cell>
          <cell r="S33">
            <v>-2105.7999999999993</v>
          </cell>
          <cell r="T33">
            <v>619.50000000000182</v>
          </cell>
          <cell r="U33">
            <v>389.79999999999927</v>
          </cell>
          <cell r="V33">
            <v>-226.39999999999964</v>
          </cell>
          <cell r="W33">
            <v>682.30000000000109</v>
          </cell>
          <cell r="X33">
            <v>947.79999999999927</v>
          </cell>
          <cell r="Y33">
            <v>-400.89999999999964</v>
          </cell>
          <cell r="Z33">
            <v>1045.6999999999989</v>
          </cell>
          <cell r="AA33">
            <v>294.10000000000036</v>
          </cell>
          <cell r="AB33">
            <v>-305.39999999999964</v>
          </cell>
          <cell r="AC33">
            <v>693.89999999999964</v>
          </cell>
          <cell r="AE33">
            <v>579.39999999999964</v>
          </cell>
          <cell r="AF33">
            <v>-923.70000000000073</v>
          </cell>
          <cell r="AG33">
            <v>-419.69999999999891</v>
          </cell>
          <cell r="AH33">
            <v>-764</v>
          </cell>
          <cell r="AI33">
            <v>-328.63199999999597</v>
          </cell>
        </row>
        <row r="34">
          <cell r="C34" t="str">
            <v>2380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0.1000000000003638</v>
          </cell>
          <cell r="AB34">
            <v>-9.9999999999454303E-2</v>
          </cell>
          <cell r="AC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9.0949470177292824E-13</v>
          </cell>
        </row>
        <row r="35">
          <cell r="C35" t="str">
            <v>2404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81359</v>
          </cell>
          <cell r="J35">
            <v>0</v>
          </cell>
          <cell r="K35">
            <v>81358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-192606.44099999999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96303</v>
          </cell>
          <cell r="W35">
            <v>0</v>
          </cell>
          <cell r="X35">
            <v>96303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-204599.70333000002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-41883.14433000001</v>
          </cell>
        </row>
        <row r="36">
          <cell r="C36" t="str">
            <v>2408</v>
          </cell>
          <cell r="E36">
            <v>-20968.093140000001</v>
          </cell>
          <cell r="F36">
            <v>35228.444539999997</v>
          </cell>
          <cell r="G36">
            <v>-3486.7367200000008</v>
          </cell>
          <cell r="H36">
            <v>-10773.811990000017</v>
          </cell>
          <cell r="I36">
            <v>2134.7687499999956</v>
          </cell>
          <cell r="J36">
            <v>-2134.7686899999972</v>
          </cell>
          <cell r="K36">
            <v>12481.289969999998</v>
          </cell>
          <cell r="L36">
            <v>-12481.27429999999</v>
          </cell>
          <cell r="M36">
            <v>7907.5050699999993</v>
          </cell>
          <cell r="N36">
            <v>-7907.4827200000145</v>
          </cell>
          <cell r="O36">
            <v>17734.47565</v>
          </cell>
          <cell r="P36">
            <v>-17732.310290000009</v>
          </cell>
          <cell r="R36">
            <v>-23936.540759999996</v>
          </cell>
          <cell r="S36">
            <v>23936.565490000008</v>
          </cell>
          <cell r="T36">
            <v>19022.546779999997</v>
          </cell>
          <cell r="U36">
            <v>-19032.525129999995</v>
          </cell>
          <cell r="V36">
            <v>-5683.4749299999967</v>
          </cell>
          <cell r="W36">
            <v>5683.4973499999905</v>
          </cell>
          <cell r="X36">
            <v>-8891.7613500000007</v>
          </cell>
          <cell r="Y36">
            <v>8891.7604399999836</v>
          </cell>
          <cell r="Z36">
            <v>894.49018000000069</v>
          </cell>
          <cell r="AA36">
            <v>-894.46528999999282</v>
          </cell>
          <cell r="AB36">
            <v>14958.579180000001</v>
          </cell>
          <cell r="AC36">
            <v>-14948.671959999978</v>
          </cell>
          <cell r="AE36">
            <v>-21098.035349999998</v>
          </cell>
          <cell r="AF36">
            <v>21098.055030000003</v>
          </cell>
          <cell r="AG36">
            <v>-14816.385370000011</v>
          </cell>
          <cell r="AH36">
            <v>-14816.365690000006</v>
          </cell>
          <cell r="AI36">
            <v>-14814.359560000023</v>
          </cell>
        </row>
        <row r="37">
          <cell r="C37" t="str">
            <v>2412</v>
          </cell>
          <cell r="E37">
            <v>12008</v>
          </cell>
          <cell r="F37">
            <v>-15943</v>
          </cell>
          <cell r="G37">
            <v>15944</v>
          </cell>
          <cell r="H37">
            <v>-15323</v>
          </cell>
          <cell r="I37">
            <v>15323</v>
          </cell>
          <cell r="J37">
            <v>-14545</v>
          </cell>
          <cell r="K37">
            <v>14545</v>
          </cell>
          <cell r="L37">
            <v>-19767</v>
          </cell>
          <cell r="M37">
            <v>19767</v>
          </cell>
          <cell r="N37">
            <v>-19770</v>
          </cell>
          <cell r="O37">
            <v>19769</v>
          </cell>
          <cell r="P37">
            <v>-23623.431</v>
          </cell>
          <cell r="R37">
            <v>21159.510999999999</v>
          </cell>
          <cell r="S37">
            <v>-15209.510999999999</v>
          </cell>
          <cell r="T37">
            <v>15866.627</v>
          </cell>
          <cell r="U37">
            <v>-16670.627</v>
          </cell>
          <cell r="V37">
            <v>17582</v>
          </cell>
          <cell r="W37">
            <v>-21402</v>
          </cell>
          <cell r="X37">
            <v>21013</v>
          </cell>
          <cell r="Y37">
            <v>-24323</v>
          </cell>
          <cell r="Z37">
            <v>21169</v>
          </cell>
          <cell r="AA37">
            <v>-18314</v>
          </cell>
          <cell r="AB37">
            <v>22833.431</v>
          </cell>
          <cell r="AC37">
            <v>580</v>
          </cell>
          <cell r="AE37">
            <v>2570.8119999999999</v>
          </cell>
          <cell r="AF37">
            <v>1404.1879999999983</v>
          </cell>
          <cell r="AG37">
            <v>0</v>
          </cell>
          <cell r="AH37">
            <v>3974.9999999999982</v>
          </cell>
          <cell r="AI37">
            <v>16644</v>
          </cell>
        </row>
        <row r="38">
          <cell r="C38" t="str">
            <v>2495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21.72597</v>
          </cell>
          <cell r="AA38">
            <v>0</v>
          </cell>
          <cell r="AB38">
            <v>0</v>
          </cell>
          <cell r="AC38">
            <v>-21.72597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</row>
        <row r="39">
          <cell r="C39" t="str">
            <v>2505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-7193.7109999999957</v>
          </cell>
          <cell r="Z39">
            <v>7193.7109999999957</v>
          </cell>
          <cell r="AA39">
            <v>0</v>
          </cell>
          <cell r="AB39">
            <v>0</v>
          </cell>
          <cell r="AC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</row>
        <row r="40">
          <cell r="C40" t="str">
            <v>2510</v>
          </cell>
          <cell r="E40">
            <v>31588.663999999997</v>
          </cell>
          <cell r="F40">
            <v>-3343.366</v>
          </cell>
          <cell r="G40">
            <v>-3359.6080000000002</v>
          </cell>
          <cell r="H40">
            <v>-3324.3449999999998</v>
          </cell>
          <cell r="I40">
            <v>-4109.8720000000003</v>
          </cell>
          <cell r="J40">
            <v>-4088.48</v>
          </cell>
          <cell r="K40">
            <v>-3694.7429999999999</v>
          </cell>
          <cell r="L40">
            <v>-3984.65</v>
          </cell>
          <cell r="M40">
            <v>-3811.4679999999998</v>
          </cell>
          <cell r="N40">
            <v>-3872.8020000000001</v>
          </cell>
          <cell r="O40">
            <v>-3887.1370000000002</v>
          </cell>
          <cell r="P40">
            <v>-34.906500000000051</v>
          </cell>
          <cell r="R40">
            <v>-4215.3389999999999</v>
          </cell>
          <cell r="S40">
            <v>35843.054499999998</v>
          </cell>
          <cell r="T40">
            <v>-4703.6260000000002</v>
          </cell>
          <cell r="U40">
            <v>-4347.4960000000001</v>
          </cell>
          <cell r="V40">
            <v>-4439.6589999999997</v>
          </cell>
          <cell r="W40">
            <v>-4372.0249999999996</v>
          </cell>
          <cell r="X40">
            <v>-2722.518</v>
          </cell>
          <cell r="Y40">
            <v>-2272.7849999999999</v>
          </cell>
          <cell r="Z40">
            <v>-2054.7200000000003</v>
          </cell>
          <cell r="AA40">
            <v>-3674.64</v>
          </cell>
          <cell r="AB40">
            <v>-31.786000000000058</v>
          </cell>
          <cell r="AC40">
            <v>1491.4349999999999</v>
          </cell>
          <cell r="AE40">
            <v>-1548.9989999999998</v>
          </cell>
          <cell r="AF40">
            <v>1837.0251900000007</v>
          </cell>
          <cell r="AG40">
            <v>-3333.2039999999997</v>
          </cell>
          <cell r="AH40">
            <v>-3045.1778099999988</v>
          </cell>
          <cell r="AI40">
            <v>-4467.995810000004</v>
          </cell>
        </row>
        <row r="41">
          <cell r="C41" t="str">
            <v>2515</v>
          </cell>
          <cell r="E41">
            <v>3639.49</v>
          </cell>
          <cell r="F41">
            <v>-388.54300000000001</v>
          </cell>
          <cell r="G41">
            <v>-403.154</v>
          </cell>
          <cell r="H41">
            <v>-398.923</v>
          </cell>
          <cell r="I41">
            <v>-493.18400000000003</v>
          </cell>
          <cell r="J41">
            <v>-490.61700000000002</v>
          </cell>
          <cell r="K41">
            <v>-443.36900000000003</v>
          </cell>
          <cell r="L41">
            <v>-361.73500000000001</v>
          </cell>
          <cell r="M41">
            <v>-238.13200000000001</v>
          </cell>
          <cell r="N41">
            <v>-464.733</v>
          </cell>
          <cell r="O41">
            <v>-466.45499999999998</v>
          </cell>
          <cell r="P41">
            <v>-284.84184000000005</v>
          </cell>
          <cell r="R41">
            <v>4774.4390000000003</v>
          </cell>
          <cell r="S41">
            <v>-52.978999999999999</v>
          </cell>
          <cell r="T41">
            <v>-52.978999999999999</v>
          </cell>
          <cell r="U41">
            <v>-52.246000000000002</v>
          </cell>
          <cell r="V41">
            <v>-14.369</v>
          </cell>
          <cell r="W41">
            <v>-52.978999999999999</v>
          </cell>
          <cell r="X41">
            <v>28.828000000000003</v>
          </cell>
          <cell r="Y41">
            <v>81.387999999999991</v>
          </cell>
          <cell r="Z41">
            <v>82.083999999999989</v>
          </cell>
          <cell r="AA41">
            <v>-55.841000000000001</v>
          </cell>
          <cell r="AB41">
            <v>320.40899999999999</v>
          </cell>
          <cell r="AC41">
            <v>-4478.9970499999999</v>
          </cell>
          <cell r="AE41">
            <v>4216.7929999999997</v>
          </cell>
          <cell r="AF41">
            <v>-411.24700000000001</v>
          </cell>
          <cell r="AG41">
            <v>-434.05099999999999</v>
          </cell>
          <cell r="AH41">
            <v>3371.4949999999999</v>
          </cell>
          <cell r="AI41">
            <v>3104.0561100000004</v>
          </cell>
        </row>
        <row r="42">
          <cell r="C42" t="str">
            <v>2520</v>
          </cell>
          <cell r="E42">
            <v>-3125.614</v>
          </cell>
          <cell r="F42">
            <v>-3343.366</v>
          </cell>
          <cell r="G42">
            <v>-3359.6080000000002</v>
          </cell>
          <cell r="H42">
            <v>-3324.3449999999998</v>
          </cell>
          <cell r="I42">
            <v>-4109.8719999999958</v>
          </cell>
          <cell r="J42">
            <v>17888.488000000001</v>
          </cell>
          <cell r="K42">
            <v>-3694.7429999999999</v>
          </cell>
          <cell r="L42">
            <v>-3760.9</v>
          </cell>
          <cell r="M42">
            <v>-3100.1229999999996</v>
          </cell>
          <cell r="N42">
            <v>-3872.8020000000001</v>
          </cell>
          <cell r="O42">
            <v>-3887.1370000000002</v>
          </cell>
          <cell r="P42">
            <v>17690.021999999997</v>
          </cell>
          <cell r="R42">
            <v>-3805.6439999999998</v>
          </cell>
          <cell r="S42">
            <v>-4416.8190000000004</v>
          </cell>
          <cell r="T42">
            <v>-4246.9679999999998</v>
          </cell>
          <cell r="U42">
            <v>-3928.3409999999999</v>
          </cell>
          <cell r="V42">
            <v>-3140.3849999999998</v>
          </cell>
          <cell r="W42">
            <v>19683.857</v>
          </cell>
          <cell r="X42">
            <v>-3346.5729999999999</v>
          </cell>
          <cell r="Y42">
            <v>-3174.5429999999997</v>
          </cell>
          <cell r="Z42">
            <v>-2870.3940000000002</v>
          </cell>
          <cell r="AA42">
            <v>-3330.7849999999999</v>
          </cell>
          <cell r="AB42">
            <v>-1657.171</v>
          </cell>
          <cell r="AC42">
            <v>14233.766000000001</v>
          </cell>
          <cell r="AE42">
            <v>-3176.9229999999998</v>
          </cell>
          <cell r="AF42">
            <v>-3427.0509999999999</v>
          </cell>
          <cell r="AG42">
            <v>-3333.2039999999997</v>
          </cell>
          <cell r="AH42">
            <v>-9937.1779999999999</v>
          </cell>
          <cell r="AI42">
            <v>-9937.1779999999999</v>
          </cell>
        </row>
        <row r="43">
          <cell r="C43" t="str">
            <v>2525</v>
          </cell>
          <cell r="E43">
            <v>-483.149</v>
          </cell>
          <cell r="F43">
            <v>-629.15</v>
          </cell>
          <cell r="G43">
            <v>688.61500000000024</v>
          </cell>
          <cell r="H43">
            <v>-1539.0610000000001</v>
          </cell>
          <cell r="I43">
            <v>-434.07599999999979</v>
          </cell>
          <cell r="J43">
            <v>1407.0450000000001</v>
          </cell>
          <cell r="K43">
            <v>-372.17499999999995</v>
          </cell>
          <cell r="L43">
            <v>-113.73299999999995</v>
          </cell>
          <cell r="M43">
            <v>64.115999999999985</v>
          </cell>
          <cell r="N43">
            <v>-199.36899999999991</v>
          </cell>
          <cell r="O43">
            <v>-393.02499999999986</v>
          </cell>
          <cell r="P43">
            <v>-8492.9783100000004</v>
          </cell>
          <cell r="R43">
            <v>302.37100000000032</v>
          </cell>
          <cell r="S43">
            <v>650.28499999999985</v>
          </cell>
          <cell r="T43">
            <v>511.78499999999985</v>
          </cell>
          <cell r="U43">
            <v>1721.261</v>
          </cell>
          <cell r="V43">
            <v>1050.1890000000001</v>
          </cell>
          <cell r="W43">
            <v>1439.8869999999999</v>
          </cell>
          <cell r="X43">
            <v>4100.3819999999996</v>
          </cell>
          <cell r="Y43">
            <v>-485.30299999999988</v>
          </cell>
          <cell r="Z43">
            <v>-391.46100000000001</v>
          </cell>
          <cell r="AA43">
            <v>-1531.21</v>
          </cell>
          <cell r="AB43">
            <v>3649.223</v>
          </cell>
          <cell r="AC43">
            <v>-9553.415939999999</v>
          </cell>
          <cell r="AE43">
            <v>1780.982</v>
          </cell>
          <cell r="AF43">
            <v>-380.57300000000009</v>
          </cell>
          <cell r="AG43">
            <v>2013.3589999999999</v>
          </cell>
          <cell r="AH43">
            <v>3413.768</v>
          </cell>
          <cell r="AI43">
            <v>-5619.1792499999974</v>
          </cell>
        </row>
        <row r="44">
          <cell r="C44" t="str">
            <v>2605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R44">
            <v>-670.88799999999992</v>
          </cell>
          <cell r="S44">
            <v>-21524.482000000004</v>
          </cell>
          <cell r="T44">
            <v>-17329.748000000003</v>
          </cell>
          <cell r="U44">
            <v>-1017.7610000000022</v>
          </cell>
          <cell r="V44">
            <v>-4600.7230000000018</v>
          </cell>
          <cell r="W44">
            <v>-7412.9719999999998</v>
          </cell>
          <cell r="X44">
            <v>-7821.3439999999973</v>
          </cell>
          <cell r="Y44">
            <v>-57958.783000000003</v>
          </cell>
          <cell r="Z44">
            <v>-34417.967000000004</v>
          </cell>
          <cell r="AA44">
            <v>-64688.213000000003</v>
          </cell>
          <cell r="AB44">
            <v>-55753.910999999993</v>
          </cell>
          <cell r="AC44">
            <v>273196.79200000002</v>
          </cell>
          <cell r="AE44">
            <v>-15951.922</v>
          </cell>
          <cell r="AF44">
            <v>-7608.648000000001</v>
          </cell>
          <cell r="AG44">
            <v>11619.042000000001</v>
          </cell>
          <cell r="AH44">
            <v>-11941.527999999998</v>
          </cell>
          <cell r="AI44">
            <v>-11941.527999999998</v>
          </cell>
        </row>
        <row r="45">
          <cell r="C45" t="str">
            <v>2610</v>
          </cell>
          <cell r="G45">
            <v>-156.196</v>
          </cell>
          <cell r="H45">
            <v>-388.798</v>
          </cell>
          <cell r="I45">
            <v>544.99400000000003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AI45">
            <v>0</v>
          </cell>
        </row>
        <row r="46">
          <cell r="C46" t="str">
            <v>2725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-19441.68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9872.8181800000002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-9568.8618200000001</v>
          </cell>
        </row>
        <row r="47">
          <cell r="C47" t="str">
            <v>2805</v>
          </cell>
          <cell r="E47">
            <v>-30445.936400000021</v>
          </cell>
          <cell r="F47">
            <v>-12187.604560000007</v>
          </cell>
          <cell r="G47">
            <v>16406.167530000006</v>
          </cell>
          <cell r="H47">
            <v>20802.865040000004</v>
          </cell>
          <cell r="I47">
            <v>-4694.5920999999798</v>
          </cell>
          <cell r="J47">
            <v>-4147.8527800000011</v>
          </cell>
          <cell r="K47">
            <v>-33804.581379999989</v>
          </cell>
          <cell r="L47">
            <v>5827.8392899999744</v>
          </cell>
          <cell r="M47">
            <v>15043.318120000011</v>
          </cell>
          <cell r="N47">
            <v>-19119.142729999992</v>
          </cell>
          <cell r="O47">
            <v>1905.7068000000145</v>
          </cell>
          <cell r="P47">
            <v>-5302.0134600000165</v>
          </cell>
          <cell r="R47">
            <v>-22271.924319999991</v>
          </cell>
          <cell r="S47">
            <v>-300.09809000001405</v>
          </cell>
          <cell r="T47">
            <v>-12292.584750000009</v>
          </cell>
          <cell r="U47">
            <v>723.40888000000268</v>
          </cell>
          <cell r="V47">
            <v>30220.583589999995</v>
          </cell>
          <cell r="W47">
            <v>1361.1817199999932</v>
          </cell>
          <cell r="X47">
            <v>-17716.487859999994</v>
          </cell>
          <cell r="Y47">
            <v>5740.3388399999822</v>
          </cell>
          <cell r="Z47">
            <v>10013.301420000003</v>
          </cell>
          <cell r="AA47">
            <v>-72890.27515999999</v>
          </cell>
          <cell r="AB47">
            <v>86671.164159999986</v>
          </cell>
          <cell r="AC47">
            <v>17384.99649000002</v>
          </cell>
          <cell r="AE47">
            <v>-3285.6520000000019</v>
          </cell>
          <cell r="AF47">
            <v>-23387.962009999988</v>
          </cell>
          <cell r="AG47">
            <v>-4843.9750000000058</v>
          </cell>
          <cell r="AH47">
            <v>-31517.589009999996</v>
          </cell>
          <cell r="AI47">
            <v>-54589.810720000009</v>
          </cell>
        </row>
        <row r="48">
          <cell r="C48" t="str">
            <v>3115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</row>
        <row r="49">
          <cell r="C49" t="str">
            <v>3305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</row>
        <row r="50">
          <cell r="C50" t="str">
            <v>3405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</row>
        <row r="51">
          <cell r="C51" t="str">
            <v>3605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1108181.9480699999</v>
          </cell>
          <cell r="AI51">
            <v>1108181.9480699999</v>
          </cell>
        </row>
        <row r="52">
          <cell r="C52" t="str">
            <v>3705</v>
          </cell>
          <cell r="E52">
            <v>0</v>
          </cell>
          <cell r="F52">
            <v>0</v>
          </cell>
          <cell r="G52">
            <v>0</v>
          </cell>
          <cell r="H52">
            <v>50000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80000</v>
          </cell>
          <cell r="O52">
            <v>0</v>
          </cell>
          <cell r="P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84600</v>
          </cell>
          <cell r="W52">
            <v>0</v>
          </cell>
          <cell r="X52">
            <v>140000</v>
          </cell>
          <cell r="Y52">
            <v>0</v>
          </cell>
          <cell r="Z52">
            <v>0</v>
          </cell>
          <cell r="AA52">
            <v>624581.71400000004</v>
          </cell>
          <cell r="AB52">
            <v>176470.73800000001</v>
          </cell>
          <cell r="AC52">
            <v>-1108181.9480699999</v>
          </cell>
          <cell r="AE52">
            <v>0</v>
          </cell>
          <cell r="AF52">
            <v>0</v>
          </cell>
          <cell r="AG52">
            <v>80000</v>
          </cell>
          <cell r="AH52">
            <v>80000</v>
          </cell>
          <cell r="AI52">
            <v>127470.50393000012</v>
          </cell>
        </row>
        <row r="53">
          <cell r="C53" t="str">
            <v>3715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</row>
        <row r="54">
          <cell r="C54" t="str">
            <v>4135</v>
          </cell>
          <cell r="E54">
            <v>-722457.97399999993</v>
          </cell>
          <cell r="F54">
            <v>-650315.04200000002</v>
          </cell>
          <cell r="G54">
            <v>-630033.80100000009</v>
          </cell>
          <cell r="H54">
            <v>-641743.76610000012</v>
          </cell>
          <cell r="I54">
            <v>-682649.36153999995</v>
          </cell>
          <cell r="J54">
            <v>-615542.71770000004</v>
          </cell>
          <cell r="K54">
            <v>-808047.50049000001</v>
          </cell>
          <cell r="L54">
            <v>-915608.86684999999</v>
          </cell>
          <cell r="M54">
            <v>-835221.13683000009</v>
          </cell>
          <cell r="N54">
            <v>-875098.18660000002</v>
          </cell>
          <cell r="O54">
            <v>-853052.43965999992</v>
          </cell>
          <cell r="P54">
            <v>-865472.96549999993</v>
          </cell>
          <cell r="R54">
            <v>-933689.50563000003</v>
          </cell>
          <cell r="S54">
            <v>-932836.41865999997</v>
          </cell>
          <cell r="T54">
            <v>-861031.96295000007</v>
          </cell>
          <cell r="U54">
            <v>-865981.33141999994</v>
          </cell>
          <cell r="V54">
            <v>-936386.60115</v>
          </cell>
          <cell r="W54">
            <v>-852576.12136999995</v>
          </cell>
          <cell r="X54">
            <v>-1031787.9863099999</v>
          </cell>
          <cell r="Y54">
            <v>-951273.07585000002</v>
          </cell>
          <cell r="Z54">
            <v>-935660.11744000006</v>
          </cell>
          <cell r="AA54">
            <v>-952932.35120999999</v>
          </cell>
          <cell r="AB54">
            <v>-911431.1749199999</v>
          </cell>
          <cell r="AC54">
            <v>-983753.16192999994</v>
          </cell>
          <cell r="AE54">
            <v>-978224.64124000003</v>
          </cell>
          <cell r="AF54">
            <v>-820453.54327000002</v>
          </cell>
          <cell r="AG54">
            <v>-1113710.5429000002</v>
          </cell>
          <cell r="AH54">
            <v>-2912388.7274100003</v>
          </cell>
          <cell r="AI54">
            <v>-23156972.294519998</v>
          </cell>
        </row>
        <row r="55">
          <cell r="C55" t="str">
            <v>4175</v>
          </cell>
          <cell r="E55">
            <v>8500.7691300000006</v>
          </cell>
          <cell r="F55">
            <v>6028.0814199999995</v>
          </cell>
          <cell r="G55">
            <v>8867.9937200000004</v>
          </cell>
          <cell r="H55">
            <v>4279.0803900000001</v>
          </cell>
          <cell r="I55">
            <v>11998.751960000001</v>
          </cell>
          <cell r="J55">
            <v>8943.7528399999992</v>
          </cell>
          <cell r="K55">
            <v>22510.11953</v>
          </cell>
          <cell r="L55">
            <v>14973.64847</v>
          </cell>
          <cell r="M55">
            <v>8144.4647599999998</v>
          </cell>
          <cell r="N55">
            <v>7120.5930900000003</v>
          </cell>
          <cell r="O55">
            <v>9622.7255100000002</v>
          </cell>
          <cell r="P55">
            <v>12250.482789999998</v>
          </cell>
          <cell r="R55">
            <v>8628.7823900000003</v>
          </cell>
          <cell r="S55">
            <v>5019.4034299999994</v>
          </cell>
          <cell r="T55">
            <v>9701.9846699999998</v>
          </cell>
          <cell r="U55">
            <v>7692.7176600000003</v>
          </cell>
          <cell r="V55">
            <v>17730.344010000001</v>
          </cell>
          <cell r="W55">
            <v>8024.0006399999993</v>
          </cell>
          <cell r="X55">
            <v>3567.9135000000001</v>
          </cell>
          <cell r="Y55">
            <v>3355.2989500000003</v>
          </cell>
          <cell r="Z55">
            <v>5181.0830199999991</v>
          </cell>
          <cell r="AA55">
            <v>23516.977269999999</v>
          </cell>
          <cell r="AB55">
            <v>8270.9611100000002</v>
          </cell>
          <cell r="AC55">
            <v>8880.0739400000002</v>
          </cell>
          <cell r="AE55">
            <v>7233.6974700000001</v>
          </cell>
          <cell r="AF55">
            <v>3936.0773100000001</v>
          </cell>
          <cell r="AG55">
            <v>4486.9050399999996</v>
          </cell>
          <cell r="AH55">
            <v>15656.679819999999</v>
          </cell>
          <cell r="AI55">
            <v>248466.68402000002</v>
          </cell>
        </row>
        <row r="56">
          <cell r="C56" t="str">
            <v>4210</v>
          </cell>
          <cell r="E56">
            <v>1.0000000000000001E-5</v>
          </cell>
          <cell r="F56">
            <v>0</v>
          </cell>
          <cell r="G56">
            <v>0.45700000000000002</v>
          </cell>
          <cell r="H56">
            <v>-1615.6610000000001</v>
          </cell>
          <cell r="I56">
            <v>-2297.8799999999997</v>
          </cell>
          <cell r="J56">
            <v>-3191.74523</v>
          </cell>
          <cell r="K56">
            <v>-1212.9770000000001</v>
          </cell>
          <cell r="L56">
            <v>-2170.0770000000002</v>
          </cell>
          <cell r="M56">
            <v>-1696.3320000000001</v>
          </cell>
          <cell r="N56">
            <v>-944.03599999999994</v>
          </cell>
          <cell r="O56">
            <v>-2335.44</v>
          </cell>
          <cell r="P56">
            <v>-4764.82</v>
          </cell>
          <cell r="R56">
            <v>-1006.832</v>
          </cell>
          <cell r="S56">
            <v>-803.01184000000001</v>
          </cell>
          <cell r="T56">
            <v>-1212.2560000000001</v>
          </cell>
          <cell r="U56">
            <v>-3404</v>
          </cell>
          <cell r="V56">
            <v>-1470.42</v>
          </cell>
          <cell r="W56">
            <v>-1548.2380000000001</v>
          </cell>
          <cell r="X56">
            <v>-5.049E-2</v>
          </cell>
          <cell r="Y56">
            <v>-1212.2460000000001</v>
          </cell>
          <cell r="Z56">
            <v>-1769.645</v>
          </cell>
          <cell r="AA56">
            <v>-768</v>
          </cell>
          <cell r="AB56">
            <v>0</v>
          </cell>
          <cell r="AC56">
            <v>0</v>
          </cell>
          <cell r="AE56">
            <v>-1913.6849999999999</v>
          </cell>
          <cell r="AF56">
            <v>0</v>
          </cell>
          <cell r="AG56">
            <v>0</v>
          </cell>
          <cell r="AH56">
            <v>-1913.6849999999999</v>
          </cell>
          <cell r="AI56">
            <v>-35336.895550000001</v>
          </cell>
        </row>
        <row r="57">
          <cell r="C57" t="str">
            <v>4250</v>
          </cell>
          <cell r="K57">
            <v>-1946.5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AI57">
            <v>-1946.5</v>
          </cell>
        </row>
        <row r="58">
          <cell r="C58" t="str">
            <v>4255</v>
          </cell>
          <cell r="E58">
            <v>-318.51299999999998</v>
          </cell>
          <cell r="F58">
            <v>0</v>
          </cell>
          <cell r="G58">
            <v>-9239.2219999999998</v>
          </cell>
          <cell r="H58">
            <v>0</v>
          </cell>
          <cell r="I58">
            <v>0</v>
          </cell>
          <cell r="J58">
            <v>-986.15300000000002</v>
          </cell>
          <cell r="K58">
            <v>-1563.751</v>
          </cell>
          <cell r="L58">
            <v>0</v>
          </cell>
          <cell r="M58">
            <v>-1660.8389999999999</v>
          </cell>
          <cell r="N58">
            <v>-43.332999999999998</v>
          </cell>
          <cell r="O58">
            <v>0</v>
          </cell>
          <cell r="P58">
            <v>-20962.37</v>
          </cell>
          <cell r="S58">
            <v>-1122.451</v>
          </cell>
          <cell r="T58">
            <v>-1186.25</v>
          </cell>
          <cell r="U58">
            <v>0</v>
          </cell>
          <cell r="V58">
            <v>-2172.7539999999999</v>
          </cell>
          <cell r="W58">
            <v>-1423.5</v>
          </cell>
          <cell r="X58">
            <v>-2478.5189999999998</v>
          </cell>
          <cell r="Y58">
            <v>-9240.2219999999998</v>
          </cell>
          <cell r="Z58">
            <v>-1423.5</v>
          </cell>
          <cell r="AA58">
            <v>0</v>
          </cell>
          <cell r="AB58">
            <v>0</v>
          </cell>
          <cell r="AC58">
            <v>-8218.2450000000008</v>
          </cell>
          <cell r="AE58">
            <v>0</v>
          </cell>
          <cell r="AF58">
            <v>-1108.9069999999999</v>
          </cell>
          <cell r="AG58">
            <v>0</v>
          </cell>
          <cell r="AH58">
            <v>-1108.9069999999999</v>
          </cell>
          <cell r="AI58">
            <v>-63148.529000000002</v>
          </cell>
        </row>
        <row r="59">
          <cell r="C59" t="str">
            <v>4295</v>
          </cell>
          <cell r="E59">
            <v>-0.30199999999999999</v>
          </cell>
          <cell r="F59">
            <v>-1.55</v>
          </cell>
          <cell r="G59">
            <v>-0.23</v>
          </cell>
          <cell r="H59">
            <v>-0.46700000000000003</v>
          </cell>
          <cell r="I59">
            <v>-5.1999999999999998E-2</v>
          </cell>
          <cell r="J59">
            <v>-1212.396</v>
          </cell>
          <cell r="K59">
            <v>-14.64</v>
          </cell>
          <cell r="L59">
            <v>-0.4</v>
          </cell>
          <cell r="M59">
            <v>-0.2</v>
          </cell>
          <cell r="N59">
            <v>-1510.7668600000002</v>
          </cell>
          <cell r="O59">
            <v>-8.2899999999999991</v>
          </cell>
          <cell r="P59">
            <v>-131.54933</v>
          </cell>
          <cell r="R59">
            <v>-12.615</v>
          </cell>
          <cell r="S59">
            <v>-11.02</v>
          </cell>
          <cell r="T59">
            <v>-2.6949999999999998</v>
          </cell>
          <cell r="U59">
            <v>-27.638000000000002</v>
          </cell>
          <cell r="V59">
            <v>-1273.146</v>
          </cell>
          <cell r="W59">
            <v>-1217.01</v>
          </cell>
          <cell r="X59">
            <v>-1452.96444</v>
          </cell>
          <cell r="Y59">
            <v>-149.00459000000001</v>
          </cell>
          <cell r="Z59">
            <v>-36.075429999999997</v>
          </cell>
          <cell r="AA59">
            <v>-196.58544000000001</v>
          </cell>
          <cell r="AB59">
            <v>-1913.7560000000001</v>
          </cell>
          <cell r="AC59">
            <v>-2522.6043100000002</v>
          </cell>
          <cell r="AE59">
            <v>-4401.4660000000003</v>
          </cell>
          <cell r="AF59">
            <v>-3.5270000000000001</v>
          </cell>
          <cell r="AG59">
            <v>-15.72</v>
          </cell>
          <cell r="AH59">
            <v>-4420.7130000000006</v>
          </cell>
          <cell r="AI59">
            <v>-16116.670399999999</v>
          </cell>
        </row>
        <row r="60">
          <cell r="C60" t="str">
            <v>5105</v>
          </cell>
          <cell r="E60">
            <v>50427.11</v>
          </cell>
          <cell r="F60">
            <v>55106.536</v>
          </cell>
          <cell r="G60">
            <v>57178.184000000001</v>
          </cell>
          <cell r="H60">
            <v>56799.368000000002</v>
          </cell>
          <cell r="I60">
            <v>62499.451000000001</v>
          </cell>
          <cell r="J60">
            <v>65767.611999999994</v>
          </cell>
          <cell r="K60">
            <v>59598.118000000002</v>
          </cell>
          <cell r="L60">
            <v>76355.569000000003</v>
          </cell>
          <cell r="M60">
            <v>68921.036000000007</v>
          </cell>
          <cell r="N60">
            <v>65078.486000000004</v>
          </cell>
          <cell r="O60">
            <v>64060.192999999992</v>
          </cell>
          <cell r="P60">
            <v>72643.560649999999</v>
          </cell>
          <cell r="R60">
            <v>6401.4839999999995</v>
          </cell>
          <cell r="S60">
            <v>7759.2359999999999</v>
          </cell>
          <cell r="T60">
            <v>7303.5050000000001</v>
          </cell>
          <cell r="U60">
            <v>6506.2760000000007</v>
          </cell>
          <cell r="V60">
            <v>7271.7830000000004</v>
          </cell>
          <cell r="W60">
            <v>7291.2510000000002</v>
          </cell>
          <cell r="X60">
            <v>7078.6949999999997</v>
          </cell>
          <cell r="Y60">
            <v>7349.7269999999999</v>
          </cell>
          <cell r="Z60">
            <v>10460.951010000001</v>
          </cell>
          <cell r="AA60">
            <v>8553.2729999999992</v>
          </cell>
          <cell r="AB60">
            <v>7528.7280000000001</v>
          </cell>
          <cell r="AC60">
            <v>12600.0036</v>
          </cell>
          <cell r="AE60">
            <v>6793.9709999999995</v>
          </cell>
          <cell r="AF60">
            <v>8426.9339999999993</v>
          </cell>
          <cell r="AG60">
            <v>8984.8359499999988</v>
          </cell>
          <cell r="AH60">
            <v>24205.740949999999</v>
          </cell>
          <cell r="AI60">
            <v>874745.87721000018</v>
          </cell>
        </row>
        <row r="61">
          <cell r="C61" t="str">
            <v>5110</v>
          </cell>
          <cell r="E61">
            <v>66040.09</v>
          </cell>
          <cell r="F61">
            <v>67249.8</v>
          </cell>
          <cell r="G61">
            <v>66010</v>
          </cell>
          <cell r="H61">
            <v>67071.460000000006</v>
          </cell>
          <cell r="I61">
            <v>66532.899999999994</v>
          </cell>
          <cell r="J61">
            <v>70037</v>
          </cell>
          <cell r="K61">
            <v>67152.800000000003</v>
          </cell>
          <cell r="L61">
            <v>66532.899999999994</v>
          </cell>
          <cell r="M61">
            <v>67014.866999999998</v>
          </cell>
          <cell r="N61">
            <v>67293.767000000007</v>
          </cell>
          <cell r="O61">
            <v>67152.800000000003</v>
          </cell>
          <cell r="P61">
            <v>190967.867</v>
          </cell>
          <cell r="R61">
            <v>67349.8</v>
          </cell>
          <cell r="S61">
            <v>66926.899999999994</v>
          </cell>
          <cell r="T61">
            <v>66726.899999999994</v>
          </cell>
          <cell r="U61">
            <v>66726.899999999994</v>
          </cell>
          <cell r="V61">
            <v>68046.899999999994</v>
          </cell>
          <cell r="W61">
            <v>130650.9</v>
          </cell>
          <cell r="X61">
            <v>136787.23699999999</v>
          </cell>
          <cell r="Y61">
            <v>134446.90000000002</v>
          </cell>
          <cell r="Z61">
            <v>134966.90000000002</v>
          </cell>
          <cell r="AA61">
            <v>134446.90000000002</v>
          </cell>
          <cell r="AB61">
            <v>138646.9</v>
          </cell>
          <cell r="AC61">
            <v>135321.90000000002</v>
          </cell>
          <cell r="AE61">
            <v>85146.9</v>
          </cell>
          <cell r="AF61">
            <v>110536.13445</v>
          </cell>
          <cell r="AG61">
            <v>109700</v>
          </cell>
          <cell r="AH61">
            <v>305383.03444999998</v>
          </cell>
          <cell r="AI61">
            <v>2515484.3224499989</v>
          </cell>
        </row>
        <row r="62">
          <cell r="C62" t="str">
            <v>5120</v>
          </cell>
          <cell r="E62">
            <v>51114.466999999997</v>
          </cell>
          <cell r="F62">
            <v>63570.561000000002</v>
          </cell>
          <cell r="G62">
            <v>54314.786999999997</v>
          </cell>
          <cell r="H62">
            <v>54314.786999999997</v>
          </cell>
          <cell r="I62">
            <v>54314.786999999997</v>
          </cell>
          <cell r="J62">
            <v>54314.786999999997</v>
          </cell>
          <cell r="K62">
            <v>54314.786999999997</v>
          </cell>
          <cell r="L62">
            <v>55495.133999999998</v>
          </cell>
          <cell r="M62">
            <v>56335.775999999998</v>
          </cell>
          <cell r="N62">
            <v>56335.775999999998</v>
          </cell>
          <cell r="O62">
            <v>58896.406999999999</v>
          </cell>
          <cell r="P62">
            <v>58896.406999999999</v>
          </cell>
          <cell r="AF62">
            <v>0</v>
          </cell>
          <cell r="AG62">
            <v>0</v>
          </cell>
          <cell r="AH62">
            <v>0</v>
          </cell>
          <cell r="AI62">
            <v>672218.46300000011</v>
          </cell>
        </row>
        <row r="63">
          <cell r="C63" t="str">
            <v>5130</v>
          </cell>
          <cell r="E63">
            <v>554.91600000000005</v>
          </cell>
          <cell r="F63">
            <v>554.91600000000005</v>
          </cell>
          <cell r="G63">
            <v>554.91600000000005</v>
          </cell>
          <cell r="H63">
            <v>554.91600000000005</v>
          </cell>
          <cell r="I63">
            <v>554.91600000000005</v>
          </cell>
          <cell r="J63">
            <v>1092.7159999999999</v>
          </cell>
          <cell r="K63">
            <v>554.91600000000005</v>
          </cell>
          <cell r="L63">
            <v>3629.4639999999999</v>
          </cell>
          <cell r="M63">
            <v>554.91600000000005</v>
          </cell>
          <cell r="N63">
            <v>616.58199999999999</v>
          </cell>
          <cell r="O63">
            <v>3209.9929999999999</v>
          </cell>
          <cell r="P63">
            <v>1079.836</v>
          </cell>
          <cell r="R63">
            <v>298.697</v>
          </cell>
          <cell r="S63">
            <v>73.203000000000003</v>
          </cell>
          <cell r="T63">
            <v>28.236999999999998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-400.137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13513.002999999999</v>
          </cell>
        </row>
        <row r="64">
          <cell r="C64" t="str">
            <v>5135</v>
          </cell>
          <cell r="E64">
            <v>39703.561000000002</v>
          </cell>
          <cell r="F64">
            <v>48506.726999999999</v>
          </cell>
          <cell r="G64">
            <v>48396.483999999997</v>
          </cell>
          <cell r="H64">
            <v>45782.339</v>
          </cell>
          <cell r="I64">
            <v>43323.152000000002</v>
          </cell>
          <cell r="J64">
            <v>38321.006999999998</v>
          </cell>
          <cell r="K64">
            <v>47014.834999999999</v>
          </cell>
          <cell r="L64">
            <v>48978.665000000001</v>
          </cell>
          <cell r="M64">
            <v>51694.04</v>
          </cell>
          <cell r="N64">
            <v>63723.262999999999</v>
          </cell>
          <cell r="O64">
            <v>67049.210999999996</v>
          </cell>
          <cell r="P64">
            <v>69982.808000000005</v>
          </cell>
          <cell r="R64">
            <v>26484.190999999999</v>
          </cell>
          <cell r="S64">
            <v>30332.502</v>
          </cell>
          <cell r="T64">
            <v>28989.524000000001</v>
          </cell>
          <cell r="U64">
            <v>28254.69</v>
          </cell>
          <cell r="V64">
            <v>28177.269</v>
          </cell>
          <cell r="W64">
            <v>28158.269</v>
          </cell>
          <cell r="X64">
            <v>28200.868999999999</v>
          </cell>
          <cell r="Y64">
            <v>28254.368999999999</v>
          </cell>
          <cell r="Z64">
            <v>30786.766</v>
          </cell>
          <cell r="AA64">
            <v>28436.969000000001</v>
          </cell>
          <cell r="AB64">
            <v>28520.868999999999</v>
          </cell>
          <cell r="AC64">
            <v>26619.841</v>
          </cell>
          <cell r="AE64">
            <v>27553.041000000001</v>
          </cell>
          <cell r="AF64">
            <v>33650.894999999997</v>
          </cell>
          <cell r="AG64">
            <v>31557.622000000003</v>
          </cell>
          <cell r="AH64">
            <v>92761.558000000005</v>
          </cell>
          <cell r="AI64">
            <v>1046453.7779999996</v>
          </cell>
        </row>
        <row r="65">
          <cell r="C65" t="str">
            <v>5140</v>
          </cell>
          <cell r="E65">
            <v>15.8</v>
          </cell>
          <cell r="F65">
            <v>3.7</v>
          </cell>
          <cell r="G65">
            <v>3471.4</v>
          </cell>
          <cell r="H65">
            <v>0</v>
          </cell>
          <cell r="I65">
            <v>7.9</v>
          </cell>
          <cell r="J65">
            <v>0</v>
          </cell>
          <cell r="K65">
            <v>403.3</v>
          </cell>
          <cell r="L65">
            <v>7.9</v>
          </cell>
          <cell r="M65">
            <v>7.9</v>
          </cell>
          <cell r="N65">
            <v>0</v>
          </cell>
          <cell r="O65">
            <v>7.9</v>
          </cell>
          <cell r="P65">
            <v>0</v>
          </cell>
          <cell r="R65">
            <v>11.6</v>
          </cell>
          <cell r="S65">
            <v>0</v>
          </cell>
          <cell r="T65">
            <v>7714.9</v>
          </cell>
          <cell r="U65">
            <v>527.70000000000005</v>
          </cell>
          <cell r="V65">
            <v>11.6</v>
          </cell>
          <cell r="W65">
            <v>1038.375</v>
          </cell>
          <cell r="X65">
            <v>11.6</v>
          </cell>
          <cell r="Y65">
            <v>11.6</v>
          </cell>
          <cell r="Z65">
            <v>11.6</v>
          </cell>
          <cell r="AA65">
            <v>11.6</v>
          </cell>
          <cell r="AB65">
            <v>0</v>
          </cell>
          <cell r="AC65">
            <v>0</v>
          </cell>
          <cell r="AE65">
            <v>14.8</v>
          </cell>
          <cell r="AF65">
            <v>0</v>
          </cell>
          <cell r="AG65">
            <v>8604.7999999999993</v>
          </cell>
          <cell r="AH65">
            <v>8619.5999999999985</v>
          </cell>
          <cell r="AI65">
            <v>21895.974999999999</v>
          </cell>
        </row>
        <row r="66">
          <cell r="C66" t="str">
            <v>5145</v>
          </cell>
          <cell r="J66">
            <v>700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40.167999999999999</v>
          </cell>
          <cell r="U66">
            <v>80</v>
          </cell>
          <cell r="V66">
            <v>0</v>
          </cell>
          <cell r="W66">
            <v>789.78800000000001</v>
          </cell>
          <cell r="X66">
            <v>0</v>
          </cell>
          <cell r="Y66">
            <v>549.10599999999999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E66">
            <v>46.890999999999998</v>
          </cell>
          <cell r="AF66">
            <v>0</v>
          </cell>
          <cell r="AG66">
            <v>0</v>
          </cell>
          <cell r="AH66">
            <v>46.890999999999998</v>
          </cell>
          <cell r="AI66">
            <v>2205.953</v>
          </cell>
        </row>
        <row r="67">
          <cell r="C67" t="str">
            <v>5150</v>
          </cell>
          <cell r="E67">
            <v>4010.3</v>
          </cell>
          <cell r="F67">
            <v>1470</v>
          </cell>
          <cell r="G67">
            <v>988</v>
          </cell>
          <cell r="H67">
            <v>0</v>
          </cell>
          <cell r="I67">
            <v>2440.0039999999999</v>
          </cell>
          <cell r="J67">
            <v>0</v>
          </cell>
          <cell r="K67">
            <v>8700</v>
          </cell>
          <cell r="L67">
            <v>240</v>
          </cell>
          <cell r="M67">
            <v>350</v>
          </cell>
          <cell r="N67">
            <v>0</v>
          </cell>
          <cell r="O67">
            <v>4105.43</v>
          </cell>
          <cell r="P67">
            <v>0</v>
          </cell>
          <cell r="U67">
            <v>950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23253.734</v>
          </cell>
        </row>
        <row r="68">
          <cell r="C68" t="str">
            <v>5155</v>
          </cell>
          <cell r="F68">
            <v>141.19999999999999</v>
          </cell>
          <cell r="G68">
            <v>465.5</v>
          </cell>
          <cell r="H68">
            <v>907.56299999999999</v>
          </cell>
          <cell r="I68">
            <v>0</v>
          </cell>
          <cell r="J68">
            <v>71.2</v>
          </cell>
          <cell r="K68">
            <v>425.69400000000002</v>
          </cell>
          <cell r="L68">
            <v>436.93099999999998</v>
          </cell>
          <cell r="M68">
            <v>566.94799999999998</v>
          </cell>
          <cell r="N68">
            <v>1767.2850000000001</v>
          </cell>
          <cell r="O68">
            <v>476.17399999999998</v>
          </cell>
          <cell r="P68">
            <v>120</v>
          </cell>
          <cell r="S68">
            <v>252.101</v>
          </cell>
          <cell r="T68">
            <v>240</v>
          </cell>
          <cell r="U68">
            <v>0</v>
          </cell>
          <cell r="V68">
            <v>0</v>
          </cell>
          <cell r="W68">
            <v>81.599999999999994</v>
          </cell>
          <cell r="X68">
            <v>87.8</v>
          </cell>
          <cell r="Y68">
            <v>426.2</v>
          </cell>
          <cell r="Z68">
            <v>3357.8387799999996</v>
          </cell>
          <cell r="AA68">
            <v>2053.64237</v>
          </cell>
          <cell r="AB68">
            <v>2934.1094800000001</v>
          </cell>
          <cell r="AC68">
            <v>466.60507000000001</v>
          </cell>
          <cell r="AE68">
            <v>1814.7</v>
          </cell>
          <cell r="AF68">
            <v>2933.54279</v>
          </cell>
          <cell r="AG68">
            <v>1515.6037900000001</v>
          </cell>
          <cell r="AH68">
            <v>6263.8465800000004</v>
          </cell>
          <cell r="AI68">
            <v>21542.238279999998</v>
          </cell>
        </row>
        <row r="69">
          <cell r="C69" t="str">
            <v>5160</v>
          </cell>
          <cell r="E69">
            <v>4580.421440000001</v>
          </cell>
          <cell r="F69">
            <v>4143.2452600000006</v>
          </cell>
          <cell r="G69">
            <v>4476.9191500000006</v>
          </cell>
          <cell r="H69">
            <v>4476.9191500000006</v>
          </cell>
          <cell r="I69">
            <v>4486.4191500000006</v>
          </cell>
          <cell r="J69">
            <v>4486.4191500000006</v>
          </cell>
          <cell r="K69">
            <v>4471.4380099999998</v>
          </cell>
          <cell r="L69">
            <v>4618.4423200000001</v>
          </cell>
          <cell r="M69">
            <v>4646.8389800000004</v>
          </cell>
          <cell r="N69">
            <v>4994.9454100000012</v>
          </cell>
          <cell r="O69">
            <v>5187.7330099999999</v>
          </cell>
          <cell r="P69">
            <v>5209.4039400000011</v>
          </cell>
          <cell r="R69">
            <v>4333.2990599999994</v>
          </cell>
          <cell r="S69">
            <v>4380.3184199999996</v>
          </cell>
          <cell r="T69">
            <v>4383.1280900000002</v>
          </cell>
          <cell r="U69">
            <v>4443.1280900000002</v>
          </cell>
          <cell r="V69">
            <v>4541.5447599999989</v>
          </cell>
          <cell r="W69">
            <v>4563.2114199999996</v>
          </cell>
          <cell r="X69">
            <v>4646.509759999999</v>
          </cell>
          <cell r="Y69">
            <v>4773.8758600000001</v>
          </cell>
          <cell r="Z69">
            <v>9868.5500000000029</v>
          </cell>
          <cell r="AA69">
            <v>5318.0823600000003</v>
          </cell>
          <cell r="AB69">
            <v>5318.0823600000003</v>
          </cell>
          <cell r="AC69">
            <v>5323.4083600000004</v>
          </cell>
          <cell r="AE69">
            <v>4517.6245999999992</v>
          </cell>
          <cell r="AF69">
            <v>4530.9575999999997</v>
          </cell>
          <cell r="AG69">
            <v>0</v>
          </cell>
          <cell r="AH69">
            <v>9048.5821999999989</v>
          </cell>
          <cell r="AI69">
            <v>126720.86571</v>
          </cell>
        </row>
        <row r="70">
          <cell r="C70" t="str">
            <v>5195</v>
          </cell>
          <cell r="E70">
            <v>4809.9350000000004</v>
          </cell>
          <cell r="F70">
            <v>7497.0360000000001</v>
          </cell>
          <cell r="G70">
            <v>6431.6580000000004</v>
          </cell>
          <cell r="H70">
            <v>3847.9540000000002</v>
          </cell>
          <cell r="I70">
            <v>5909.8380000000006</v>
          </cell>
          <cell r="J70">
            <v>3895.0810000000001</v>
          </cell>
          <cell r="K70">
            <v>5792.4859999999999</v>
          </cell>
          <cell r="L70">
            <v>14700.789000000001</v>
          </cell>
          <cell r="M70">
            <v>12269.906000000001</v>
          </cell>
          <cell r="N70">
            <v>9902.9230000000007</v>
          </cell>
          <cell r="O70">
            <v>8993.3209999999999</v>
          </cell>
          <cell r="P70">
            <v>21713.565999999999</v>
          </cell>
          <cell r="R70">
            <v>3591.694</v>
          </cell>
          <cell r="S70">
            <v>1297.701</v>
          </cell>
          <cell r="T70">
            <v>2533.5329999999999</v>
          </cell>
          <cell r="U70">
            <v>4414.6390000000001</v>
          </cell>
          <cell r="V70">
            <v>183.19200000000001</v>
          </cell>
          <cell r="W70">
            <v>265.59399999999999</v>
          </cell>
          <cell r="X70">
            <v>685.62900000000002</v>
          </cell>
          <cell r="Y70">
            <v>2161.3220000000001</v>
          </cell>
          <cell r="Z70">
            <v>1617.8215299999999</v>
          </cell>
          <cell r="AA70">
            <v>1173.17318</v>
          </cell>
          <cell r="AB70">
            <v>622.59004000000004</v>
          </cell>
          <cell r="AC70">
            <v>601.03300000000002</v>
          </cell>
          <cell r="AE70">
            <v>867.51985999999999</v>
          </cell>
          <cell r="AF70">
            <v>385</v>
          </cell>
          <cell r="AG70">
            <v>993.80671999999993</v>
          </cell>
          <cell r="AH70">
            <v>2246.3265799999999</v>
          </cell>
          <cell r="AI70">
            <v>127158.74132999996</v>
          </cell>
        </row>
        <row r="71">
          <cell r="C71" t="str">
            <v>5205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R71">
            <v>55819.017</v>
          </cell>
          <cell r="S71">
            <v>62741.692000000003</v>
          </cell>
          <cell r="T71">
            <v>61212.332000000002</v>
          </cell>
          <cell r="U71">
            <v>60836.947</v>
          </cell>
          <cell r="V71">
            <v>67938.726999999999</v>
          </cell>
          <cell r="W71">
            <v>55478.501999999993</v>
          </cell>
          <cell r="X71">
            <v>53802.330999999998</v>
          </cell>
          <cell r="Y71">
            <v>55569.985999999997</v>
          </cell>
          <cell r="Z71">
            <v>52288.375999999997</v>
          </cell>
          <cell r="AA71">
            <v>49120.527000000002</v>
          </cell>
          <cell r="AB71">
            <v>45201.810340000004</v>
          </cell>
          <cell r="AC71">
            <v>53143.985389999994</v>
          </cell>
          <cell r="AE71">
            <v>48012.459000000003</v>
          </cell>
          <cell r="AF71">
            <v>46861.476000000002</v>
          </cell>
          <cell r="AG71">
            <v>50030.375</v>
          </cell>
          <cell r="AH71">
            <v>144904.31</v>
          </cell>
          <cell r="AI71">
            <v>818058.5427300001</v>
          </cell>
        </row>
        <row r="72">
          <cell r="C72" t="str">
            <v>5215</v>
          </cell>
          <cell r="F72">
            <v>28137.38522</v>
          </cell>
          <cell r="G72">
            <v>0</v>
          </cell>
          <cell r="H72">
            <v>56780.442009999999</v>
          </cell>
          <cell r="I72">
            <v>0</v>
          </cell>
          <cell r="J72">
            <v>43616.310789999996</v>
          </cell>
          <cell r="K72">
            <v>0</v>
          </cell>
          <cell r="L72">
            <v>50128.875479999995</v>
          </cell>
          <cell r="M72">
            <v>0</v>
          </cell>
          <cell r="N72">
            <v>50669.822759999995</v>
          </cell>
          <cell r="O72">
            <v>0</v>
          </cell>
          <cell r="P72">
            <v>58901.134989999999</v>
          </cell>
          <cell r="R72">
            <v>1066.489</v>
          </cell>
          <cell r="S72">
            <v>52465.039750000004</v>
          </cell>
          <cell r="T72">
            <v>1109.373</v>
          </cell>
          <cell r="U72">
            <v>52455.989299999994</v>
          </cell>
          <cell r="V72">
            <v>1187.91121</v>
          </cell>
          <cell r="W72">
            <v>55893.866700000006</v>
          </cell>
          <cell r="X72">
            <v>1463.5989199999999</v>
          </cell>
          <cell r="Y72">
            <v>54315.877</v>
          </cell>
          <cell r="Z72">
            <v>1382.9929999999999</v>
          </cell>
          <cell r="AA72">
            <v>58032.474620000001</v>
          </cell>
          <cell r="AB72">
            <v>1203.77865</v>
          </cell>
          <cell r="AC72">
            <v>56430.159369999994</v>
          </cell>
          <cell r="AE72">
            <v>1761.88</v>
          </cell>
          <cell r="AF72">
            <v>54582.756979999998</v>
          </cell>
          <cell r="AG72">
            <v>0</v>
          </cell>
          <cell r="AH72">
            <v>56344.636979999996</v>
          </cell>
          <cell r="AI72">
            <v>681586.15874999994</v>
          </cell>
        </row>
        <row r="73">
          <cell r="C73" t="str">
            <v>5220</v>
          </cell>
          <cell r="R73">
            <v>58896.406999999999</v>
          </cell>
          <cell r="S73">
            <v>58896.406999999999</v>
          </cell>
          <cell r="T73">
            <v>58896.406999999999</v>
          </cell>
          <cell r="U73">
            <v>58896.406999999999</v>
          </cell>
          <cell r="V73">
            <v>58896.406999999999</v>
          </cell>
          <cell r="W73">
            <v>58896.406999999999</v>
          </cell>
          <cell r="X73">
            <v>58896.406999999999</v>
          </cell>
          <cell r="Y73">
            <v>58896.406999999999</v>
          </cell>
          <cell r="Z73">
            <v>60979.159</v>
          </cell>
          <cell r="AA73">
            <v>60979.159</v>
          </cell>
          <cell r="AB73">
            <v>60979.159</v>
          </cell>
          <cell r="AC73">
            <v>60979.159</v>
          </cell>
          <cell r="AE73">
            <v>60979.159</v>
          </cell>
          <cell r="AF73">
            <v>60979.159</v>
          </cell>
          <cell r="AG73">
            <v>60979.159</v>
          </cell>
          <cell r="AH73">
            <v>182937.47700000001</v>
          </cell>
          <cell r="AI73">
            <v>898025.36899999995</v>
          </cell>
        </row>
        <row r="74">
          <cell r="C74" t="str">
            <v>5235</v>
          </cell>
          <cell r="O74">
            <v>360</v>
          </cell>
          <cell r="P74">
            <v>18000</v>
          </cell>
          <cell r="R74">
            <v>50184.228840000003</v>
          </cell>
          <cell r="S74">
            <v>49947.177840000004</v>
          </cell>
          <cell r="T74">
            <v>55891.107000000004</v>
          </cell>
          <cell r="U74">
            <v>59297.578999999998</v>
          </cell>
          <cell r="V74">
            <v>64952.860999999997</v>
          </cell>
          <cell r="W74">
            <v>64197.421999999999</v>
          </cell>
          <cell r="X74">
            <v>56852.050999999999</v>
          </cell>
          <cell r="Y74">
            <v>69191.259000000005</v>
          </cell>
          <cell r="Z74">
            <v>60369.214999999997</v>
          </cell>
          <cell r="AA74">
            <v>65897.581139999995</v>
          </cell>
          <cell r="AB74">
            <v>71519.745110000003</v>
          </cell>
          <cell r="AC74">
            <v>66827.178060000006</v>
          </cell>
          <cell r="AE74">
            <v>73565.16459</v>
          </cell>
          <cell r="AF74">
            <v>77349.294590000005</v>
          </cell>
          <cell r="AG74">
            <v>53934.438009999998</v>
          </cell>
          <cell r="AH74">
            <v>204848.89718999999</v>
          </cell>
          <cell r="AI74">
            <v>958336.30218</v>
          </cell>
        </row>
        <row r="75">
          <cell r="C75" t="str">
            <v>5245</v>
          </cell>
          <cell r="R75">
            <v>3291.0230000000001</v>
          </cell>
          <cell r="S75">
            <v>367.53500000000003</v>
          </cell>
          <cell r="T75">
            <v>3683.0239999999999</v>
          </cell>
          <cell r="U75">
            <v>318.53500000000003</v>
          </cell>
          <cell r="V75">
            <v>3510.319</v>
          </cell>
          <cell r="W75">
            <v>3322.9760000000001</v>
          </cell>
          <cell r="X75">
            <v>1819.828</v>
          </cell>
          <cell r="Y75">
            <v>2279.7620000000002</v>
          </cell>
          <cell r="Z75">
            <v>2023.5017800000001</v>
          </cell>
          <cell r="AA75">
            <v>2148.6638599999997</v>
          </cell>
          <cell r="AB75">
            <v>2133.587</v>
          </cell>
          <cell r="AC75">
            <v>2202.7550000000001</v>
          </cell>
          <cell r="AE75">
            <v>2074.4639999999999</v>
          </cell>
          <cell r="AF75">
            <v>3997.1148900000003</v>
          </cell>
          <cell r="AG75">
            <v>3354.9276600000003</v>
          </cell>
          <cell r="AH75">
            <v>9426.5065500000019</v>
          </cell>
          <cell r="AI75">
            <v>36528.016190000002</v>
          </cell>
        </row>
        <row r="76">
          <cell r="C76" t="str">
            <v>5255</v>
          </cell>
          <cell r="T76">
            <v>246.2</v>
          </cell>
          <cell r="U76">
            <v>0</v>
          </cell>
          <cell r="V76">
            <v>1673</v>
          </cell>
          <cell r="W76">
            <v>339.90100000000001</v>
          </cell>
          <cell r="X76">
            <v>0</v>
          </cell>
          <cell r="Y76">
            <v>0</v>
          </cell>
          <cell r="Z76">
            <v>2593.8821400000002</v>
          </cell>
          <cell r="AA76">
            <v>2509.5798399999999</v>
          </cell>
          <cell r="AB76">
            <v>0</v>
          </cell>
          <cell r="AC76">
            <v>-158.19999999999999</v>
          </cell>
          <cell r="AE76">
            <v>0</v>
          </cell>
          <cell r="AF76">
            <v>0</v>
          </cell>
          <cell r="AG76">
            <v>572.94111999999996</v>
          </cell>
          <cell r="AH76">
            <v>572.94111999999996</v>
          </cell>
          <cell r="AI76">
            <v>7777.3041000000012</v>
          </cell>
        </row>
        <row r="77">
          <cell r="C77" t="str">
            <v>5295</v>
          </cell>
          <cell r="E77">
            <v>6128.1109999999999</v>
          </cell>
          <cell r="F77">
            <v>13914.566999999999</v>
          </cell>
          <cell r="G77">
            <v>16127.295</v>
          </cell>
          <cell r="H77">
            <v>4591.2430000000004</v>
          </cell>
          <cell r="I77">
            <v>10877.855</v>
          </cell>
          <cell r="J77">
            <v>15401.184999999999</v>
          </cell>
          <cell r="K77">
            <v>5959.1679999999997</v>
          </cell>
          <cell r="L77">
            <v>13134.554</v>
          </cell>
          <cell r="M77">
            <v>21600.272000000001</v>
          </cell>
          <cell r="N77">
            <v>10765.259</v>
          </cell>
          <cell r="O77">
            <v>17291.759999999998</v>
          </cell>
          <cell r="P77">
            <v>11426.574000000001</v>
          </cell>
          <cell r="R77">
            <v>16349.406000000001</v>
          </cell>
          <cell r="S77">
            <v>10025.156999999999</v>
          </cell>
          <cell r="T77">
            <v>21578.663</v>
          </cell>
          <cell r="U77">
            <v>19849.786</v>
          </cell>
          <cell r="V77">
            <v>13993.259</v>
          </cell>
          <cell r="W77">
            <v>19660.011999999999</v>
          </cell>
          <cell r="X77">
            <v>13611.699000000001</v>
          </cell>
          <cell r="Y77">
            <v>22135.276000000002</v>
          </cell>
          <cell r="Z77">
            <v>14658.86022</v>
          </cell>
          <cell r="AA77">
            <v>31412.414899999996</v>
          </cell>
          <cell r="AB77">
            <v>19436.51629</v>
          </cell>
          <cell r="AC77">
            <v>14822.458289999999</v>
          </cell>
          <cell r="AE77">
            <v>22261.825550000001</v>
          </cell>
          <cell r="AF77">
            <v>16283.804330000001</v>
          </cell>
          <cell r="AG77">
            <v>22501.251789999998</v>
          </cell>
          <cell r="AH77">
            <v>61046.881670000002</v>
          </cell>
          <cell r="AI77">
            <v>425798.23236999993</v>
          </cell>
        </row>
        <row r="78">
          <cell r="C78" t="str">
            <v>5305</v>
          </cell>
          <cell r="E78">
            <v>9158.4809000000005</v>
          </cell>
          <cell r="F78">
            <v>6197.5127200000006</v>
          </cell>
          <cell r="G78">
            <v>5743.1826900000005</v>
          </cell>
          <cell r="H78">
            <v>7624.96994</v>
          </cell>
          <cell r="I78">
            <v>9070.8592400000016</v>
          </cell>
          <cell r="J78">
            <v>16676.770390000001</v>
          </cell>
          <cell r="K78">
            <v>8263.3312100000003</v>
          </cell>
          <cell r="L78">
            <v>9322.1772099999998</v>
          </cell>
          <cell r="M78">
            <v>8933.8871399999989</v>
          </cell>
          <cell r="N78">
            <v>10318.4704</v>
          </cell>
          <cell r="O78">
            <v>10023.292960000001</v>
          </cell>
          <cell r="P78">
            <v>10106.74605</v>
          </cell>
          <cell r="R78">
            <v>10418.25747</v>
          </cell>
          <cell r="S78">
            <v>10087.505510000001</v>
          </cell>
          <cell r="T78">
            <v>10774.947459999999</v>
          </cell>
          <cell r="U78">
            <v>7016.3751899999997</v>
          </cell>
          <cell r="V78">
            <v>14421.022000000001</v>
          </cell>
          <cell r="W78">
            <v>8938.8632799999978</v>
          </cell>
          <cell r="X78">
            <v>13865.244140000001</v>
          </cell>
          <cell r="Y78">
            <v>11103.52182</v>
          </cell>
          <cell r="Z78">
            <v>11766.740590000001</v>
          </cell>
          <cell r="AA78">
            <v>11988.99706</v>
          </cell>
          <cell r="AB78">
            <v>12229.183169999998</v>
          </cell>
          <cell r="AC78">
            <v>13906.519539999999</v>
          </cell>
          <cell r="AE78">
            <v>12608.882610000001</v>
          </cell>
          <cell r="AF78">
            <v>11999.64861</v>
          </cell>
          <cell r="AG78">
            <v>7564.6799700000001</v>
          </cell>
          <cell r="AH78">
            <v>32173.211190000002</v>
          </cell>
          <cell r="AI78">
            <v>280130.06926999998</v>
          </cell>
        </row>
        <row r="79">
          <cell r="C79" t="str">
            <v>5310</v>
          </cell>
          <cell r="M79">
            <v>745.85299999999995</v>
          </cell>
          <cell r="N79">
            <v>365.00900000000001</v>
          </cell>
          <cell r="O79">
            <v>0</v>
          </cell>
          <cell r="P79">
            <v>0</v>
          </cell>
          <cell r="Y79">
            <v>10</v>
          </cell>
          <cell r="Z79">
            <v>50</v>
          </cell>
          <cell r="AA79">
            <v>0</v>
          </cell>
          <cell r="AB79">
            <v>0</v>
          </cell>
          <cell r="AC79">
            <v>3531.4</v>
          </cell>
          <cell r="AE79">
            <v>0</v>
          </cell>
          <cell r="AF79">
            <v>0</v>
          </cell>
          <cell r="AG79">
            <v>100</v>
          </cell>
          <cell r="AH79">
            <v>100</v>
          </cell>
          <cell r="AI79">
            <v>4802.2620000000006</v>
          </cell>
        </row>
        <row r="80">
          <cell r="C80" t="str">
            <v>5315</v>
          </cell>
          <cell r="E80">
            <v>1E-3</v>
          </cell>
          <cell r="F80">
            <v>-1.98763</v>
          </cell>
          <cell r="G80">
            <v>5.7000000000000002E-2</v>
          </cell>
          <cell r="H80">
            <v>0.22599000000000002</v>
          </cell>
          <cell r="I80">
            <v>-0.249</v>
          </cell>
          <cell r="J80">
            <v>1.0391700000000001</v>
          </cell>
          <cell r="K80">
            <v>500.56599999999997</v>
          </cell>
          <cell r="L80">
            <v>897.26754000000005</v>
          </cell>
          <cell r="M80">
            <v>320.19</v>
          </cell>
          <cell r="N80">
            <v>1.8026000000000002</v>
          </cell>
          <cell r="O80">
            <v>589.00599999999997</v>
          </cell>
          <cell r="P80">
            <v>-30.638369999999998</v>
          </cell>
          <cell r="R80">
            <v>-5.0999999999999997E-2</v>
          </cell>
          <cell r="S80">
            <v>5.9597499999999997</v>
          </cell>
          <cell r="T80">
            <v>0.46100000000000002</v>
          </cell>
          <cell r="U80">
            <v>0.99166999999999983</v>
          </cell>
          <cell r="V80">
            <v>10.55879</v>
          </cell>
          <cell r="W80">
            <v>433.74191999999994</v>
          </cell>
          <cell r="X80">
            <v>2.2770800000000002</v>
          </cell>
          <cell r="Y80">
            <v>980.48080000000004</v>
          </cell>
          <cell r="Z80">
            <v>48.963000000000001</v>
          </cell>
          <cell r="AA80">
            <v>9.2061900000000012</v>
          </cell>
          <cell r="AB80">
            <v>79.399059999999992</v>
          </cell>
          <cell r="AC80">
            <v>1489.5430499999998</v>
          </cell>
          <cell r="AE80">
            <v>56.933</v>
          </cell>
          <cell r="AF80">
            <v>1742.88249</v>
          </cell>
          <cell r="AG80">
            <v>1606.308</v>
          </cell>
          <cell r="AH80">
            <v>3406.1234899999999</v>
          </cell>
          <cell r="AI80">
            <v>8744.9350999999988</v>
          </cell>
        </row>
        <row r="81">
          <cell r="C81" t="str">
            <v>5405</v>
          </cell>
          <cell r="P81">
            <v>352362.68</v>
          </cell>
          <cell r="AC81">
            <v>447853.18157999997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800215.86158000003</v>
          </cell>
        </row>
        <row r="82">
          <cell r="C82" t="str">
            <v>6135</v>
          </cell>
          <cell r="E82">
            <v>359826.66200000001</v>
          </cell>
          <cell r="F82">
            <v>319366.16800000001</v>
          </cell>
          <cell r="G82">
            <v>280596.82500000001</v>
          </cell>
          <cell r="H82">
            <v>336068.30799999996</v>
          </cell>
          <cell r="I82">
            <v>326383.32399999996</v>
          </cell>
          <cell r="J82">
            <v>288176.91599999997</v>
          </cell>
          <cell r="K82">
            <v>397459.52833</v>
          </cell>
          <cell r="L82">
            <v>410492.353</v>
          </cell>
          <cell r="M82">
            <v>384694.79499999998</v>
          </cell>
          <cell r="N82">
            <v>412347.81367</v>
          </cell>
          <cell r="O82">
            <v>402691.11233999999</v>
          </cell>
          <cell r="P82">
            <v>381621.47169999999</v>
          </cell>
          <cell r="R82">
            <v>420538.44315000001</v>
          </cell>
          <cell r="S82">
            <v>415932.924</v>
          </cell>
          <cell r="T82">
            <v>404770.83703</v>
          </cell>
          <cell r="U82">
            <v>410195.02635</v>
          </cell>
          <cell r="V82">
            <v>398166.46218999999</v>
          </cell>
          <cell r="W82">
            <v>386868.65841999999</v>
          </cell>
          <cell r="X82">
            <v>499563.99296</v>
          </cell>
          <cell r="Y82">
            <v>418709.18197999999</v>
          </cell>
          <cell r="Z82">
            <v>457058.48106999998</v>
          </cell>
          <cell r="AA82">
            <v>435270.79742000002</v>
          </cell>
          <cell r="AB82">
            <v>441603.44550000003</v>
          </cell>
          <cell r="AC82">
            <v>443269.37849999999</v>
          </cell>
          <cell r="AE82">
            <v>427550.739</v>
          </cell>
          <cell r="AF82">
            <v>393181.56261000002</v>
          </cell>
          <cell r="AG82">
            <v>498374.79842000001</v>
          </cell>
          <cell r="AH82">
            <v>1319107.1000299999</v>
          </cell>
          <cell r="AI82">
            <v>10750780.00564</v>
          </cell>
        </row>
        <row r="83">
          <cell r="C83" t="str">
            <v>5210</v>
          </cell>
          <cell r="X83">
            <v>500</v>
          </cell>
          <cell r="Y83">
            <v>0</v>
          </cell>
          <cell r="Z83">
            <v>300</v>
          </cell>
          <cell r="AA83">
            <v>400</v>
          </cell>
          <cell r="AB83">
            <v>240</v>
          </cell>
          <cell r="AC83">
            <v>300</v>
          </cell>
          <cell r="AE83">
            <v>0</v>
          </cell>
          <cell r="AF83">
            <v>200</v>
          </cell>
          <cell r="AG83">
            <v>100</v>
          </cell>
          <cell r="AH83">
            <v>300</v>
          </cell>
          <cell r="AI83">
            <v>2040</v>
          </cell>
        </row>
        <row r="84">
          <cell r="C84" t="str">
            <v>5250</v>
          </cell>
          <cell r="X84">
            <v>16346</v>
          </cell>
          <cell r="Y84">
            <v>0</v>
          </cell>
          <cell r="Z84">
            <v>0</v>
          </cell>
          <cell r="AA84">
            <v>45.966389999999997</v>
          </cell>
          <cell r="AB84">
            <v>290</v>
          </cell>
          <cell r="AC84">
            <v>0</v>
          </cell>
          <cell r="AE84">
            <v>0</v>
          </cell>
          <cell r="AF84">
            <v>0</v>
          </cell>
          <cell r="AG84">
            <v>202.56</v>
          </cell>
          <cell r="AH84">
            <v>202.56</v>
          </cell>
          <cell r="AI84">
            <v>16884.526390000003</v>
          </cell>
        </row>
        <row r="85">
          <cell r="C85" t="str">
            <v>5230</v>
          </cell>
          <cell r="R85">
            <v>1757.7619999999999</v>
          </cell>
          <cell r="S85">
            <v>562.91999999999996</v>
          </cell>
          <cell r="T85">
            <v>562.91999999999996</v>
          </cell>
          <cell r="U85">
            <v>562.91999999999996</v>
          </cell>
          <cell r="V85">
            <v>562.91999999999996</v>
          </cell>
          <cell r="W85">
            <v>562.91999999999996</v>
          </cell>
          <cell r="X85">
            <v>562.91999999999996</v>
          </cell>
          <cell r="Y85">
            <v>646.61400000000003</v>
          </cell>
          <cell r="Z85">
            <v>577.798</v>
          </cell>
          <cell r="AA85">
            <v>562.94899999999996</v>
          </cell>
          <cell r="AB85">
            <v>1588.1479999999999</v>
          </cell>
          <cell r="AC85">
            <v>1262.67534</v>
          </cell>
          <cell r="AE85">
            <v>619.88300000000004</v>
          </cell>
          <cell r="AF85">
            <v>619.88300000000004</v>
          </cell>
          <cell r="AG85">
            <v>619.88300000000004</v>
          </cell>
          <cell r="AH85">
            <v>1859.6490000000001</v>
          </cell>
          <cell r="AI85">
            <v>11633.115339999998</v>
          </cell>
        </row>
        <row r="86"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R86">
            <v>1.2050804798491299E-11</v>
          </cell>
          <cell r="S86">
            <v>1.3267253962112591E-10</v>
          </cell>
          <cell r="T86">
            <v>3.6550318327499554E-10</v>
          </cell>
          <cell r="U86">
            <v>-4.1950443119276315E-11</v>
          </cell>
          <cell r="V86">
            <v>2.4908786144806072E-10</v>
          </cell>
          <cell r="W86">
            <v>-1.0015810403274372E-10</v>
          </cell>
          <cell r="X86">
            <v>7.4464878707658499E-11</v>
          </cell>
          <cell r="Y86">
            <v>-1.7598722479306161E-10</v>
          </cell>
          <cell r="Z86">
            <v>-1.2619238987099379E-10</v>
          </cell>
          <cell r="AA86">
            <v>-3.8312464312184602E-11</v>
          </cell>
          <cell r="AB86">
            <v>1.2983036867808551E-10</v>
          </cell>
          <cell r="AC86">
            <v>1.5847945178393275E-10</v>
          </cell>
          <cell r="AE86">
            <v>-3.0695446184836328E-11</v>
          </cell>
          <cell r="AF86">
            <v>-3.0695446184836328E-11</v>
          </cell>
          <cell r="AG86">
            <v>-3.1946001399774104E-10</v>
          </cell>
          <cell r="AH86">
            <v>-3.1604940886609256E-11</v>
          </cell>
          <cell r="AI86">
            <v>-4.9203663365915418E-9</v>
          </cell>
        </row>
        <row r="91">
          <cell r="AA91">
            <v>31412414</v>
          </cell>
          <cell r="AB91">
            <v>19436516</v>
          </cell>
        </row>
      </sheetData>
      <sheetData sheetId="5"/>
      <sheetData sheetId="6" refreshError="1"/>
      <sheetData sheetId="7" refreshError="1"/>
      <sheetData sheetId="8" refreshError="1"/>
      <sheetData sheetId="9">
        <row r="6">
          <cell r="A6" t="str">
            <v>PAN</v>
          </cell>
          <cell r="B6">
            <v>2.3783286451362073E-10</v>
          </cell>
          <cell r="C6">
            <v>1.036880803439999E-9</v>
          </cell>
          <cell r="D6">
            <v>-1.7698766896501184E-9</v>
          </cell>
          <cell r="E6">
            <v>-6.6529537434689701E-10</v>
          </cell>
          <cell r="F6">
            <v>-5.5786131269996986E-10</v>
          </cell>
          <cell r="G6">
            <v>-2.0679635781561956E-10</v>
          </cell>
          <cell r="H6">
            <v>-3.1519675758318044E-9</v>
          </cell>
          <cell r="I6">
            <v>-1.293301465921104E-9</v>
          </cell>
          <cell r="J6">
            <v>9.822542779147625E-11</v>
          </cell>
          <cell r="K6">
            <v>1.7395223039784469E-9</v>
          </cell>
          <cell r="L6">
            <v>-1.432454155292362E-11</v>
          </cell>
          <cell r="M6">
            <v>-8.0103745858650655E-10</v>
          </cell>
          <cell r="N6">
            <v>-5.3479993766814005E-9</v>
          </cell>
          <cell r="O6">
            <v>1.2397549653542228E-10</v>
          </cell>
          <cell r="P6">
            <v>5.7116267271339893E-10</v>
          </cell>
          <cell r="Q6">
            <v>3.8289726944640279E-10</v>
          </cell>
          <cell r="R6">
            <v>1.0350049706175923E-9</v>
          </cell>
          <cell r="S6">
            <v>-1.064108801074326E-10</v>
          </cell>
          <cell r="T6">
            <v>3.0488536140182987E-9</v>
          </cell>
          <cell r="U6">
            <v>-1.0277290130034089E-9</v>
          </cell>
          <cell r="V6">
            <v>1.7407728591933846E-9</v>
          </cell>
          <cell r="W6">
            <v>-2.7976057026535273E-9</v>
          </cell>
          <cell r="X6">
            <v>-1.5825207810848951E-10</v>
          </cell>
          <cell r="Y6">
            <v>-1.5261321095749736E-9</v>
          </cell>
          <cell r="Z6">
            <v>-2.1900632418692112E-9</v>
          </cell>
          <cell r="AA6">
            <v>-9.035261427925434E-10</v>
          </cell>
          <cell r="AB6">
            <v>1.9954313756898046E-9</v>
          </cell>
          <cell r="AC6">
            <v>7.9126039054244757E-10</v>
          </cell>
          <cell r="AD6">
            <v>-1.9790604710578918E-9</v>
          </cell>
          <cell r="AE6">
            <v>8.0763129517436028E-10</v>
          </cell>
          <cell r="AF6">
            <v>-5.4438942242995836E-9</v>
          </cell>
        </row>
        <row r="7">
          <cell r="A7" t="str">
            <v>PAN1105</v>
          </cell>
          <cell r="B7">
            <v>-11499.130000000005</v>
          </cell>
          <cell r="C7">
            <v>3117.2939999999944</v>
          </cell>
          <cell r="D7">
            <v>18538.54800000001</v>
          </cell>
          <cell r="E7">
            <v>-20099.108000000007</v>
          </cell>
          <cell r="F7">
            <v>1374.3080000000191</v>
          </cell>
          <cell r="G7">
            <v>20855.299999999988</v>
          </cell>
          <cell r="H7">
            <v>-10203.184999999998</v>
          </cell>
          <cell r="I7">
            <v>14238.449000000022</v>
          </cell>
          <cell r="J7">
            <v>-5408.3690000000061</v>
          </cell>
          <cell r="K7">
            <v>-8132.216999999946</v>
          </cell>
          <cell r="L7">
            <v>14676.739999999991</v>
          </cell>
          <cell r="M7">
            <v>-4048.4040000000969</v>
          </cell>
          <cell r="N7">
            <v>13410.225999999966</v>
          </cell>
          <cell r="O7">
            <v>-6742.26800000004</v>
          </cell>
          <cell r="P7">
            <v>14213.720000000088</v>
          </cell>
          <cell r="Q7">
            <v>10626.960000000079</v>
          </cell>
          <cell r="R7">
            <v>-4598.8850000000093</v>
          </cell>
          <cell r="S7">
            <v>14901.949000000022</v>
          </cell>
          <cell r="T7">
            <v>-24757.127999999968</v>
          </cell>
          <cell r="U7">
            <v>-15732.912999999942</v>
          </cell>
          <cell r="V7">
            <v>13145.059999999939</v>
          </cell>
          <cell r="W7">
            <v>-1184.49099999998</v>
          </cell>
          <cell r="X7">
            <v>-89.950000000186265</v>
          </cell>
          <cell r="Y7">
            <v>6736.2419999999693</v>
          </cell>
          <cell r="Z7">
            <v>-38151.92200000002</v>
          </cell>
          <cell r="AA7">
            <v>-31633.626000000047</v>
          </cell>
          <cell r="AB7">
            <v>9087.9100000000326</v>
          </cell>
          <cell r="AC7">
            <v>34519.464600000007</v>
          </cell>
          <cell r="AD7">
            <v>-6283.140000000014</v>
          </cell>
          <cell r="AE7">
            <v>37324.234600000025</v>
          </cell>
          <cell r="AF7">
            <v>19100.834599999944</v>
          </cell>
        </row>
        <row r="8">
          <cell r="A8" t="str">
            <v>PAN1110</v>
          </cell>
          <cell r="B8">
            <v>36741.317920000001</v>
          </cell>
          <cell r="C8">
            <v>22518.363229999988</v>
          </cell>
          <cell r="D8">
            <v>-14707.970230000006</v>
          </cell>
          <cell r="E8">
            <v>29905.046509999986</v>
          </cell>
          <cell r="F8">
            <v>-61268.905889999965</v>
          </cell>
          <cell r="G8">
            <v>-927.60193999999319</v>
          </cell>
          <cell r="H8">
            <v>54125.128380000009</v>
          </cell>
          <cell r="I8">
            <v>-5533.8750999999902</v>
          </cell>
          <cell r="J8">
            <v>14465.268930000006</v>
          </cell>
          <cell r="K8">
            <v>29488.581690000021</v>
          </cell>
          <cell r="L8">
            <v>14570.840670000005</v>
          </cell>
          <cell r="M8">
            <v>-88227.416090000013</v>
          </cell>
          <cell r="N8">
            <v>31148.778080000047</v>
          </cell>
          <cell r="O8">
            <v>42706.180289999989</v>
          </cell>
          <cell r="P8">
            <v>4340.6428500000038</v>
          </cell>
          <cell r="Q8">
            <v>-10987.389779999998</v>
          </cell>
          <cell r="R8">
            <v>112359.86963000006</v>
          </cell>
          <cell r="S8">
            <v>-36955.37638999999</v>
          </cell>
          <cell r="T8">
            <v>107636.19425</v>
          </cell>
          <cell r="U8">
            <v>-127711.91136000003</v>
          </cell>
          <cell r="V8">
            <v>12504.409679999982</v>
          </cell>
          <cell r="W8">
            <v>85195.309340000036</v>
          </cell>
          <cell r="X8">
            <v>69898.962200000009</v>
          </cell>
          <cell r="Y8">
            <v>-32174.334050000005</v>
          </cell>
          <cell r="Z8">
            <v>-234189.76306</v>
          </cell>
          <cell r="AA8">
            <v>-7377.2063999999373</v>
          </cell>
          <cell r="AB8">
            <v>15534.115749999997</v>
          </cell>
          <cell r="AC8">
            <v>64309.32779000001</v>
          </cell>
          <cell r="AD8">
            <v>25318.064499999979</v>
          </cell>
          <cell r="AE8">
            <v>105161.50803999999</v>
          </cell>
          <cell r="AF8">
            <v>128933.07972000013</v>
          </cell>
        </row>
        <row r="9">
          <cell r="A9" t="str">
            <v>PAN1120</v>
          </cell>
          <cell r="B9">
            <v>34508.902029999881</v>
          </cell>
          <cell r="C9">
            <v>36761.011160000053</v>
          </cell>
          <cell r="D9">
            <v>21393.678470000043</v>
          </cell>
          <cell r="E9">
            <v>134010.83260000002</v>
          </cell>
          <cell r="F9">
            <v>-162560.81874999998</v>
          </cell>
          <cell r="G9">
            <v>-26800.426539999957</v>
          </cell>
          <cell r="H9">
            <v>99439.411090000067</v>
          </cell>
          <cell r="I9">
            <v>81694.79515999998</v>
          </cell>
          <cell r="J9">
            <v>-78284.147239999962</v>
          </cell>
          <cell r="K9">
            <v>-71895.860430000001</v>
          </cell>
          <cell r="L9">
            <v>-34117.484449999989</v>
          </cell>
          <cell r="M9">
            <v>37235.37421999994</v>
          </cell>
          <cell r="N9">
            <v>71385.267320000101</v>
          </cell>
          <cell r="O9">
            <v>-50478.288079999969</v>
          </cell>
          <cell r="P9">
            <v>125601.58627000003</v>
          </cell>
          <cell r="Q9">
            <v>-48042.600259999977</v>
          </cell>
          <cell r="R9">
            <v>135224.38181999995</v>
          </cell>
          <cell r="S9">
            <v>-152413.55626999994</v>
          </cell>
          <cell r="T9">
            <v>-46625.743710000068</v>
          </cell>
          <cell r="U9">
            <v>86144.125250000041</v>
          </cell>
          <cell r="V9">
            <v>150311.88328000001</v>
          </cell>
          <cell r="W9">
            <v>-238699.03509000002</v>
          </cell>
          <cell r="X9">
            <v>49567.601370000048</v>
          </cell>
          <cell r="Y9">
            <v>-56749.613260000013</v>
          </cell>
          <cell r="Z9">
            <v>13667.849379999912</v>
          </cell>
          <cell r="AA9">
            <v>-32491.409299999999</v>
          </cell>
          <cell r="AB9">
            <v>-35375.513580000028</v>
          </cell>
          <cell r="AC9">
            <v>6922.9170800000429</v>
          </cell>
          <cell r="AD9">
            <v>-15107.361539999954</v>
          </cell>
          <cell r="AE9">
            <v>-43559.95803999994</v>
          </cell>
          <cell r="AF9">
            <v>-4666.100019999838</v>
          </cell>
        </row>
        <row r="10">
          <cell r="A10" t="str">
            <v>PAN1305</v>
          </cell>
          <cell r="B10">
            <v>-21414.986990000005</v>
          </cell>
          <cell r="C10">
            <v>8309.852040000027</v>
          </cell>
          <cell r="D10">
            <v>26468.716000000015</v>
          </cell>
          <cell r="E10">
            <v>-34916.998009999981</v>
          </cell>
          <cell r="F10">
            <v>25589.561510000029</v>
          </cell>
          <cell r="G10">
            <v>-24597.695599999977</v>
          </cell>
          <cell r="H10">
            <v>58277.570589999901</v>
          </cell>
          <cell r="I10">
            <v>114668.75352999987</v>
          </cell>
          <cell r="J10">
            <v>78802.526399999973</v>
          </cell>
          <cell r="K10">
            <v>60022.279080000008</v>
          </cell>
          <cell r="L10">
            <v>-35547.55700000003</v>
          </cell>
          <cell r="M10">
            <v>192530.04648999998</v>
          </cell>
          <cell r="N10">
            <v>448192.06803999981</v>
          </cell>
          <cell r="O10">
            <v>-24846.89049000002</v>
          </cell>
          <cell r="P10">
            <v>15975.474999999977</v>
          </cell>
          <cell r="Q10">
            <v>35220.560500000021</v>
          </cell>
          <cell r="R10">
            <v>-28185.652000000002</v>
          </cell>
          <cell r="S10">
            <v>-99229.96192999999</v>
          </cell>
          <cell r="T10">
            <v>42719.484270000015</v>
          </cell>
          <cell r="U10">
            <v>3214.025159999961</v>
          </cell>
          <cell r="V10">
            <v>-44888.947999999858</v>
          </cell>
          <cell r="W10">
            <v>4314.1139999999432</v>
          </cell>
          <cell r="X10">
            <v>-126343.76699999999</v>
          </cell>
          <cell r="Y10">
            <v>-120295.93450999993</v>
          </cell>
          <cell r="Z10">
            <v>176387.29850999999</v>
          </cell>
          <cell r="AA10">
            <v>-165960.19648999989</v>
          </cell>
          <cell r="AB10">
            <v>-5793.5839999999152</v>
          </cell>
          <cell r="AC10">
            <v>-96561.287929999991</v>
          </cell>
          <cell r="AD10">
            <v>-35300.65000000014</v>
          </cell>
          <cell r="AE10">
            <v>-137655.52193000005</v>
          </cell>
          <cell r="AF10">
            <v>144576.34961999988</v>
          </cell>
        </row>
        <row r="11">
          <cell r="A11" t="str">
            <v>PAN1310</v>
          </cell>
          <cell r="D11">
            <v>0</v>
          </cell>
          <cell r="I11">
            <v>4972.3500000000004</v>
          </cell>
          <cell r="J11">
            <v>-4972.3500000000004</v>
          </cell>
          <cell r="K11">
            <v>-0.37</v>
          </cell>
          <cell r="L11">
            <v>0</v>
          </cell>
          <cell r="M11">
            <v>0</v>
          </cell>
          <cell r="N11">
            <v>-0.37</v>
          </cell>
          <cell r="O11">
            <v>-18</v>
          </cell>
          <cell r="P11">
            <v>0</v>
          </cell>
          <cell r="Q11">
            <v>-516.1</v>
          </cell>
          <cell r="R11">
            <v>516.1</v>
          </cell>
          <cell r="S11">
            <v>-1650.0999999999985</v>
          </cell>
          <cell r="T11">
            <v>880.1</v>
          </cell>
          <cell r="U11">
            <v>653</v>
          </cell>
          <cell r="V11">
            <v>0</v>
          </cell>
          <cell r="W11">
            <v>55689.91</v>
          </cell>
          <cell r="X11">
            <v>-55689.91</v>
          </cell>
          <cell r="Y11">
            <v>166.208</v>
          </cell>
          <cell r="Z11">
            <v>-30.837999999999965</v>
          </cell>
          <cell r="AA11">
            <v>0.37000000000003297</v>
          </cell>
          <cell r="AB11">
            <v>380</v>
          </cell>
          <cell r="AC11">
            <v>1196.46</v>
          </cell>
          <cell r="AD11">
            <v>-1196.46</v>
          </cell>
          <cell r="AE11">
            <v>380</v>
          </cell>
          <cell r="AF11">
            <v>380.00000000000455</v>
          </cell>
        </row>
        <row r="12">
          <cell r="A12" t="str">
            <v>PAN1330</v>
          </cell>
          <cell r="B12">
            <v>1868.0999999999995</v>
          </cell>
          <cell r="C12">
            <v>-3118.8599999999997</v>
          </cell>
          <cell r="D12">
            <v>67.228000000000009</v>
          </cell>
          <cell r="E12">
            <v>303.37699999999995</v>
          </cell>
          <cell r="F12">
            <v>19251.39</v>
          </cell>
          <cell r="G12">
            <v>8399.9900000000016</v>
          </cell>
          <cell r="H12">
            <v>3533.473</v>
          </cell>
          <cell r="I12">
            <v>-15693.180999999999</v>
          </cell>
          <cell r="J12">
            <v>1335.7230000000004</v>
          </cell>
          <cell r="K12">
            <v>-20431.635999999999</v>
          </cell>
          <cell r="L12">
            <v>-145.18399999999929</v>
          </cell>
          <cell r="M12">
            <v>1534.0329999999999</v>
          </cell>
          <cell r="N12">
            <v>-3095.5469999999927</v>
          </cell>
          <cell r="O12">
            <v>518.67200000000003</v>
          </cell>
          <cell r="P12">
            <v>5954.24</v>
          </cell>
          <cell r="Q12">
            <v>676.54299999999967</v>
          </cell>
          <cell r="R12">
            <v>2163.9160000000011</v>
          </cell>
          <cell r="S12">
            <v>-7891.1919999999991</v>
          </cell>
          <cell r="T12">
            <v>11089.49134</v>
          </cell>
          <cell r="U12">
            <v>-16564.337</v>
          </cell>
          <cell r="V12">
            <v>8260.4110000000001</v>
          </cell>
          <cell r="W12">
            <v>-2190.1589999999997</v>
          </cell>
          <cell r="X12">
            <v>-5946.9250700000011</v>
          </cell>
          <cell r="Y12">
            <v>223.90093000000024</v>
          </cell>
          <cell r="Z12">
            <v>668.48080000000004</v>
          </cell>
          <cell r="AA12">
            <v>-3036.9579999999978</v>
          </cell>
          <cell r="AB12">
            <v>7.9839999999999236</v>
          </cell>
          <cell r="AC12">
            <v>845.54631000000018</v>
          </cell>
          <cell r="AD12">
            <v>-819.04631999999992</v>
          </cell>
          <cell r="AE12">
            <v>34.483990000000176</v>
          </cell>
          <cell r="AF12">
            <v>-6098.0210099999913</v>
          </cell>
        </row>
        <row r="13">
          <cell r="A13" t="str">
            <v>PAN1355</v>
          </cell>
          <cell r="B13">
            <v>15908.103929999999</v>
          </cell>
          <cell r="C13">
            <v>8277.8305900000014</v>
          </cell>
          <cell r="D13">
            <v>13627.140539999999</v>
          </cell>
          <cell r="E13">
            <v>6686.9996199999996</v>
          </cell>
          <cell r="F13">
            <v>13496.838389999997</v>
          </cell>
          <cell r="G13">
            <v>8027.4191299999993</v>
          </cell>
          <cell r="H13">
            <v>14689.810460000001</v>
          </cell>
          <cell r="I13">
            <v>10809.12789</v>
          </cell>
          <cell r="J13">
            <v>15516.638429999999</v>
          </cell>
          <cell r="K13">
            <v>10284.270239999998</v>
          </cell>
          <cell r="L13">
            <v>18310.102179999998</v>
          </cell>
          <cell r="M13">
            <v>-133477.72554000001</v>
          </cell>
          <cell r="N13">
            <v>2156.5558599999931</v>
          </cell>
          <cell r="O13">
            <v>22529.538140000001</v>
          </cell>
          <cell r="P13">
            <v>11034.935200000002</v>
          </cell>
          <cell r="Q13">
            <v>16370.939630000001</v>
          </cell>
          <cell r="R13">
            <v>11904.360400000001</v>
          </cell>
          <cell r="S13">
            <v>21119.97811</v>
          </cell>
          <cell r="T13">
            <v>14431.035709999998</v>
          </cell>
          <cell r="U13">
            <v>26534.49583</v>
          </cell>
          <cell r="V13">
            <v>19062.134030000001</v>
          </cell>
          <cell r="W13">
            <v>24785.466969999998</v>
          </cell>
          <cell r="X13">
            <v>25748.375899999999</v>
          </cell>
          <cell r="Y13">
            <v>28700.98431</v>
          </cell>
          <cell r="Z13">
            <v>-244426.25899</v>
          </cell>
          <cell r="AA13">
            <v>-22204.01476000002</v>
          </cell>
          <cell r="AB13">
            <v>27331.7111</v>
          </cell>
          <cell r="AC13">
            <v>16952.214460000003</v>
          </cell>
          <cell r="AD13">
            <v>31487.431460000003</v>
          </cell>
          <cell r="AE13">
            <v>75771.35702000001</v>
          </cell>
          <cell r="AF13">
            <v>55723.898120000013</v>
          </cell>
        </row>
        <row r="14">
          <cell r="A14" t="str">
            <v>PAN1365</v>
          </cell>
          <cell r="B14">
            <v>-150.78000000000009</v>
          </cell>
          <cell r="C14">
            <v>-354.22</v>
          </cell>
          <cell r="D14">
            <v>-375.38600000000008</v>
          </cell>
          <cell r="E14">
            <v>-880.06400000000008</v>
          </cell>
          <cell r="F14">
            <v>-1243.55</v>
          </cell>
          <cell r="G14">
            <v>-753.33399999999995</v>
          </cell>
          <cell r="H14">
            <v>5366.933</v>
          </cell>
          <cell r="I14">
            <v>-1271.5659999999998</v>
          </cell>
          <cell r="J14">
            <v>-1059.366</v>
          </cell>
          <cell r="K14">
            <v>-259.375</v>
          </cell>
          <cell r="L14">
            <v>-609.36599999999999</v>
          </cell>
          <cell r="M14">
            <v>483.529</v>
          </cell>
          <cell r="N14">
            <v>-1106.5449999999996</v>
          </cell>
          <cell r="O14">
            <v>540.86800000000005</v>
          </cell>
          <cell r="P14">
            <v>-794.65499999999997</v>
          </cell>
          <cell r="Q14">
            <v>218.90699999999993</v>
          </cell>
          <cell r="R14">
            <v>-115.97099999999989</v>
          </cell>
          <cell r="S14">
            <v>570.83300000000008</v>
          </cell>
          <cell r="T14">
            <v>2256.2259999999997</v>
          </cell>
          <cell r="U14">
            <v>-1148.454</v>
          </cell>
          <cell r="V14">
            <v>-501.173</v>
          </cell>
          <cell r="W14">
            <v>-868.23199999999997</v>
          </cell>
          <cell r="X14">
            <v>-824.88800000000003</v>
          </cell>
          <cell r="Y14">
            <v>-472.86900000000003</v>
          </cell>
          <cell r="Z14">
            <v>680.27700000000004</v>
          </cell>
          <cell r="AA14">
            <v>-459.13100000000031</v>
          </cell>
          <cell r="AB14">
            <v>792.221</v>
          </cell>
          <cell r="AC14">
            <v>-44.932000000000016</v>
          </cell>
          <cell r="AD14">
            <v>-175.53499999999997</v>
          </cell>
          <cell r="AE14">
            <v>571.75400000000002</v>
          </cell>
          <cell r="AF14">
            <v>-993.92199999999946</v>
          </cell>
        </row>
        <row r="15">
          <cell r="A15" t="str">
            <v>PAN1380</v>
          </cell>
          <cell r="B15">
            <v>672.0896700000003</v>
          </cell>
          <cell r="C15">
            <v>-784.76786999999877</v>
          </cell>
          <cell r="D15">
            <v>0</v>
          </cell>
          <cell r="E15">
            <v>0</v>
          </cell>
          <cell r="F15">
            <v>-4.7570000000632717E-2</v>
          </cell>
          <cell r="G15">
            <v>1379.0199299999995</v>
          </cell>
          <cell r="H15">
            <v>-3665.7153600000001</v>
          </cell>
          <cell r="I15">
            <v>-53.394039999999222</v>
          </cell>
          <cell r="J15">
            <v>-5287.3927800000001</v>
          </cell>
          <cell r="K15">
            <v>224.06428000000051</v>
          </cell>
          <cell r="L15">
            <v>1476.9198399999996</v>
          </cell>
          <cell r="M15">
            <v>10117.809030000004</v>
          </cell>
          <cell r="N15">
            <v>4078.5851300000049</v>
          </cell>
          <cell r="O15">
            <v>-11270.309850000001</v>
          </cell>
          <cell r="P15">
            <v>-530.24699999999939</v>
          </cell>
          <cell r="Q15">
            <v>171.62369999999828</v>
          </cell>
          <cell r="R15">
            <v>-189.86000000000058</v>
          </cell>
          <cell r="S15">
            <v>753.58196000000135</v>
          </cell>
          <cell r="T15">
            <v>-493.49149000000034</v>
          </cell>
          <cell r="U15">
            <v>565.53513000000021</v>
          </cell>
          <cell r="V15">
            <v>-825.62559999999939</v>
          </cell>
          <cell r="W15">
            <v>0</v>
          </cell>
          <cell r="X15">
            <v>0</v>
          </cell>
          <cell r="Y15">
            <v>785.31762000000026</v>
          </cell>
          <cell r="Z15">
            <v>-3020.8816199999983</v>
          </cell>
          <cell r="AA15">
            <v>-14054.35715</v>
          </cell>
          <cell r="AB15">
            <v>0</v>
          </cell>
          <cell r="AC15">
            <v>0</v>
          </cell>
          <cell r="AD15">
            <v>506.77811999999994</v>
          </cell>
          <cell r="AE15">
            <v>506.77811999999994</v>
          </cell>
          <cell r="AF15">
            <v>-9468.993899999994</v>
          </cell>
        </row>
        <row r="16">
          <cell r="A16" t="str">
            <v>PAN1399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</row>
        <row r="17">
          <cell r="A17" t="str">
            <v>PAN1435</v>
          </cell>
          <cell r="B17">
            <v>-89972.84924000001</v>
          </cell>
          <cell r="C17">
            <v>-33968.593860000023</v>
          </cell>
          <cell r="D17">
            <v>-31349.09600000002</v>
          </cell>
          <cell r="E17">
            <v>8368.2600000000093</v>
          </cell>
          <cell r="F17">
            <v>-372</v>
          </cell>
          <cell r="G17">
            <v>-24539.08176999999</v>
          </cell>
          <cell r="H17">
            <v>91977.452670000028</v>
          </cell>
          <cell r="I17">
            <v>-6658.8541299999924</v>
          </cell>
          <cell r="J17">
            <v>37892.161000000022</v>
          </cell>
          <cell r="K17">
            <v>61045.561329999997</v>
          </cell>
          <cell r="L17">
            <v>79796.042659999977</v>
          </cell>
          <cell r="M17">
            <v>-9643.3347000000067</v>
          </cell>
          <cell r="N17">
            <v>82575.667959999992</v>
          </cell>
          <cell r="O17">
            <v>-105646.22514999995</v>
          </cell>
          <cell r="P17">
            <v>-5401.8759999999893</v>
          </cell>
          <cell r="Q17">
            <v>105629.07397000003</v>
          </cell>
          <cell r="R17">
            <v>15745.748649999965</v>
          </cell>
          <cell r="S17">
            <v>-36323.707189999986</v>
          </cell>
          <cell r="T17">
            <v>-54360.316420000046</v>
          </cell>
          <cell r="U17">
            <v>-21582.511959999974</v>
          </cell>
          <cell r="V17">
            <v>31771.820019999985</v>
          </cell>
          <cell r="W17">
            <v>-16687.034069999994</v>
          </cell>
          <cell r="X17">
            <v>197909.41458000004</v>
          </cell>
          <cell r="Y17">
            <v>70778.10149999999</v>
          </cell>
          <cell r="Z17">
            <v>33201.59249999997</v>
          </cell>
          <cell r="AA17">
            <v>215034.08043000003</v>
          </cell>
          <cell r="AB17">
            <v>-99689.800999999978</v>
          </cell>
          <cell r="AC17">
            <v>-72404.029610000027</v>
          </cell>
          <cell r="AD17">
            <v>-69307.738420000009</v>
          </cell>
          <cell r="AE17">
            <v>-241401.56903000001</v>
          </cell>
          <cell r="AF17">
            <v>56208.179360000009</v>
          </cell>
        </row>
        <row r="18">
          <cell r="A18" t="str">
            <v>PAN1465</v>
          </cell>
          <cell r="E18">
            <v>0</v>
          </cell>
          <cell r="N18">
            <v>0</v>
          </cell>
          <cell r="AF18">
            <v>0</v>
          </cell>
        </row>
        <row r="19">
          <cell r="A19" t="str">
            <v>PAN1520</v>
          </cell>
          <cell r="B19">
            <v>4955.8739999999998</v>
          </cell>
          <cell r="C19">
            <v>100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5055.8739999999998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1270.587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1270.587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6326.4609999999993</v>
          </cell>
        </row>
        <row r="20">
          <cell r="A20" t="str">
            <v>PAN1524</v>
          </cell>
          <cell r="B20">
            <v>3037.3</v>
          </cell>
          <cell r="C20">
            <v>9669.0419999999995</v>
          </cell>
          <cell r="D20">
            <v>0</v>
          </cell>
          <cell r="E20">
            <v>2850</v>
          </cell>
          <cell r="F20">
            <v>0</v>
          </cell>
          <cell r="G20">
            <v>412.9</v>
          </cell>
          <cell r="H20">
            <v>6800</v>
          </cell>
          <cell r="I20">
            <v>1520</v>
          </cell>
          <cell r="J20">
            <v>9609.0830000000005</v>
          </cell>
          <cell r="K20">
            <v>62274.42</v>
          </cell>
          <cell r="L20">
            <v>6501.2790000000005</v>
          </cell>
          <cell r="M20">
            <v>6164.2</v>
          </cell>
          <cell r="N20">
            <v>108838.22399999999</v>
          </cell>
          <cell r="O20">
            <v>0</v>
          </cell>
          <cell r="P20">
            <v>505.74</v>
          </cell>
          <cell r="Q20">
            <v>10800</v>
          </cell>
          <cell r="R20">
            <v>17715</v>
          </cell>
          <cell r="S20">
            <v>0</v>
          </cell>
          <cell r="T20">
            <v>0</v>
          </cell>
          <cell r="U20">
            <v>22925.898000000001</v>
          </cell>
          <cell r="V20">
            <v>8235.9959999999992</v>
          </cell>
          <cell r="W20">
            <v>4600</v>
          </cell>
          <cell r="X20">
            <v>798.90099999999995</v>
          </cell>
          <cell r="Y20">
            <v>0</v>
          </cell>
          <cell r="Z20">
            <v>0</v>
          </cell>
          <cell r="AA20">
            <v>65581.535000000003</v>
          </cell>
          <cell r="AB20">
            <v>0</v>
          </cell>
          <cell r="AC20">
            <v>479.9</v>
          </cell>
          <cell r="AD20">
            <v>0</v>
          </cell>
          <cell r="AE20">
            <v>479.9</v>
          </cell>
          <cell r="AF20">
            <v>174899.65899999996</v>
          </cell>
        </row>
        <row r="21">
          <cell r="A21" t="str">
            <v>PAN1528</v>
          </cell>
          <cell r="B21">
            <v>149</v>
          </cell>
          <cell r="C21">
            <v>3097.9</v>
          </cell>
          <cell r="D21">
            <v>0</v>
          </cell>
          <cell r="E21">
            <v>0</v>
          </cell>
          <cell r="F21">
            <v>0</v>
          </cell>
          <cell r="G21">
            <v>2618</v>
          </cell>
          <cell r="H21">
            <v>3773.4</v>
          </cell>
          <cell r="I21">
            <v>1399.8</v>
          </cell>
          <cell r="J21">
            <v>2148.9</v>
          </cell>
          <cell r="K21">
            <v>4627.8</v>
          </cell>
          <cell r="L21">
            <v>0</v>
          </cell>
          <cell r="M21">
            <v>0</v>
          </cell>
          <cell r="N21">
            <v>17814.8</v>
          </cell>
          <cell r="O21">
            <v>2199</v>
          </cell>
          <cell r="P21">
            <v>0</v>
          </cell>
          <cell r="Q21">
            <v>0</v>
          </cell>
          <cell r="R21">
            <v>0</v>
          </cell>
          <cell r="S21">
            <v>1300</v>
          </cell>
          <cell r="T21">
            <v>4997.8999999999996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822.50199999999995</v>
          </cell>
          <cell r="AA21">
            <v>9319.402</v>
          </cell>
          <cell r="AB21">
            <v>800</v>
          </cell>
          <cell r="AC21">
            <v>0</v>
          </cell>
          <cell r="AD21">
            <v>0</v>
          </cell>
          <cell r="AE21">
            <v>800</v>
          </cell>
          <cell r="AF21">
            <v>27934.201999999997</v>
          </cell>
        </row>
        <row r="22">
          <cell r="A22" t="str">
            <v>PAN1532</v>
          </cell>
          <cell r="B22">
            <v>0</v>
          </cell>
          <cell r="C22">
            <v>649.26400000000001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81547</v>
          </cell>
          <cell r="K22">
            <v>0</v>
          </cell>
          <cell r="L22">
            <v>0</v>
          </cell>
          <cell r="M22">
            <v>0</v>
          </cell>
          <cell r="N22">
            <v>82196.263999999996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82196.263999999996</v>
          </cell>
        </row>
        <row r="23">
          <cell r="A23" t="str">
            <v>PAN1592</v>
          </cell>
          <cell r="B23">
            <v>-4580.4214400000001</v>
          </cell>
          <cell r="C23">
            <v>-4143.2452599999997</v>
          </cell>
          <cell r="D23">
            <v>-4476.9191499999997</v>
          </cell>
          <cell r="E23">
            <v>-4476.9191499999997</v>
          </cell>
          <cell r="F23">
            <v>-4486.4191499999997</v>
          </cell>
          <cell r="G23">
            <v>-4486.4191499999997</v>
          </cell>
          <cell r="H23">
            <v>-4471.4380100000008</v>
          </cell>
          <cell r="I23">
            <v>-4618.4423199999992</v>
          </cell>
          <cell r="J23">
            <v>-4646.8389800000004</v>
          </cell>
          <cell r="K23">
            <v>-4994.9454100000003</v>
          </cell>
          <cell r="L23">
            <v>-5187.733009999999</v>
          </cell>
          <cell r="M23">
            <v>-5209.4039400000001</v>
          </cell>
          <cell r="N23">
            <v>-55779.144969999994</v>
          </cell>
          <cell r="O23">
            <v>-4333.2990599999903</v>
          </cell>
          <cell r="P23">
            <v>-4380.3184199999996</v>
          </cell>
          <cell r="Q23">
            <v>-4383.1280900000002</v>
          </cell>
          <cell r="R23">
            <v>-4443.1280900000002</v>
          </cell>
          <cell r="S23">
            <v>-4541.5447599999989</v>
          </cell>
          <cell r="T23">
            <v>-4563.2114199999996</v>
          </cell>
          <cell r="U23">
            <v>-4646.509759999999</v>
          </cell>
          <cell r="V23">
            <v>-4773.8758600000001</v>
          </cell>
          <cell r="W23">
            <v>-9868.5500000000029</v>
          </cell>
          <cell r="X23">
            <v>-5318.0823600000003</v>
          </cell>
          <cell r="Y23">
            <v>-5318.0823600000003</v>
          </cell>
          <cell r="Z23">
            <v>-5323.4083600000004</v>
          </cell>
          <cell r="AA23">
            <v>-61893.138539999993</v>
          </cell>
          <cell r="AB23">
            <v>-4517.6245999999992</v>
          </cell>
          <cell r="AC23">
            <v>-4530.9575999999997</v>
          </cell>
          <cell r="AD23">
            <v>0</v>
          </cell>
          <cell r="AE23">
            <v>-9048.5821999999989</v>
          </cell>
          <cell r="AF23">
            <v>-126720.86570999997</v>
          </cell>
        </row>
        <row r="24">
          <cell r="A24" t="str">
            <v>PAN1705</v>
          </cell>
          <cell r="B24">
            <v>-554.91600000000005</v>
          </cell>
          <cell r="C24">
            <v>5901.3329999999996</v>
          </cell>
          <cell r="D24">
            <v>-1323.4939999999999</v>
          </cell>
          <cell r="E24">
            <v>-171.86899999999991</v>
          </cell>
          <cell r="F24">
            <v>-1553.8040000000001</v>
          </cell>
          <cell r="G24">
            <v>-2091.6039999999998</v>
          </cell>
          <cell r="H24">
            <v>5214.0280000000002</v>
          </cell>
          <cell r="I24">
            <v>11745.246000000001</v>
          </cell>
          <cell r="J24">
            <v>4156.7920000000004</v>
          </cell>
          <cell r="K24">
            <v>-6431.2</v>
          </cell>
          <cell r="L24">
            <v>2264.9250000000002</v>
          </cell>
          <cell r="M24">
            <v>-6495.174</v>
          </cell>
          <cell r="N24">
            <v>10660.263000000003</v>
          </cell>
          <cell r="O24">
            <v>-3273</v>
          </cell>
          <cell r="P24">
            <v>3908.73</v>
          </cell>
          <cell r="Q24">
            <v>-4129.1570000000002</v>
          </cell>
          <cell r="R24">
            <v>-4129.1610000000001</v>
          </cell>
          <cell r="S24">
            <v>-3510.5520000000001</v>
          </cell>
          <cell r="T24">
            <v>-4150.335</v>
          </cell>
          <cell r="U24">
            <v>3232.7559999999994</v>
          </cell>
          <cell r="V24">
            <v>-4105.0339999999997</v>
          </cell>
          <cell r="W24">
            <v>9477.1679999999997</v>
          </cell>
          <cell r="X24">
            <v>-2202.6730000000002</v>
          </cell>
          <cell r="Y24">
            <v>4304.8690000000006</v>
          </cell>
          <cell r="Z24">
            <v>-4769.3190000000004</v>
          </cell>
          <cell r="AA24">
            <v>-9345.7079999999987</v>
          </cell>
          <cell r="AB24">
            <v>-1882.3840000000002</v>
          </cell>
          <cell r="AC24">
            <v>7611.723</v>
          </cell>
          <cell r="AD24">
            <v>-3381.0940000000001</v>
          </cell>
          <cell r="AE24">
            <v>2348.2449999999999</v>
          </cell>
          <cell r="AF24">
            <v>3662.8000000000011</v>
          </cell>
        </row>
        <row r="25">
          <cell r="A25" t="str">
            <v>PAN1710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2.3999999999999998E-4</v>
          </cell>
          <cell r="AA25">
            <v>2.3999999999999998E-4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2.3999999999999998E-4</v>
          </cell>
        </row>
        <row r="26">
          <cell r="A26" t="str">
            <v>PAN2105</v>
          </cell>
          <cell r="B26">
            <v>-218.67837000000009</v>
          </cell>
          <cell r="C26">
            <v>-3360.2069999999994</v>
          </cell>
          <cell r="D26">
            <v>6308.97</v>
          </cell>
          <cell r="E26">
            <v>334.64699999999993</v>
          </cell>
          <cell r="F26">
            <v>343.18299999999999</v>
          </cell>
          <cell r="G26">
            <v>-1488.5369999999998</v>
          </cell>
          <cell r="H26">
            <v>-3066.62</v>
          </cell>
          <cell r="I26">
            <v>1677.4799999999996</v>
          </cell>
          <cell r="J26">
            <v>-1493.2899999999995</v>
          </cell>
          <cell r="K26">
            <v>-2425.0170000000003</v>
          </cell>
          <cell r="L26">
            <v>3719.8660000000004</v>
          </cell>
          <cell r="M26">
            <v>-151.67100000000028</v>
          </cell>
          <cell r="N26">
            <v>180.12563000000091</v>
          </cell>
          <cell r="O26">
            <v>-2117.2220000000002</v>
          </cell>
          <cell r="P26">
            <v>2356.2550000000001</v>
          </cell>
          <cell r="Q26">
            <v>186.04600000000005</v>
          </cell>
          <cell r="R26">
            <v>69.413000000000011</v>
          </cell>
          <cell r="S26">
            <v>-939.1160000000001</v>
          </cell>
          <cell r="T26">
            <v>-1657.1710000000003</v>
          </cell>
          <cell r="U26">
            <v>4410.3580000000002</v>
          </cell>
          <cell r="V26">
            <v>-2134.7460000000001</v>
          </cell>
          <cell r="W26">
            <v>-1823.9201699999994</v>
          </cell>
          <cell r="X26">
            <v>2980.9</v>
          </cell>
          <cell r="Y26">
            <v>-1202.71288</v>
          </cell>
          <cell r="Z26">
            <v>-758.01000000000022</v>
          </cell>
          <cell r="AA26">
            <v>-629.92605000000003</v>
          </cell>
          <cell r="AB26">
            <v>-2316.8170000000005</v>
          </cell>
          <cell r="AC26">
            <v>788.37559999999985</v>
          </cell>
          <cell r="AD26">
            <v>-501.23200000000043</v>
          </cell>
          <cell r="AE26">
            <v>-2029.673400000001</v>
          </cell>
          <cell r="AF26">
            <v>-2479.4738200000002</v>
          </cell>
        </row>
        <row r="27">
          <cell r="A27" t="str">
            <v>PAN2205</v>
          </cell>
          <cell r="B27">
            <v>130113.72099999996</v>
          </cell>
          <cell r="C27">
            <v>22321.973999999987</v>
          </cell>
          <cell r="D27">
            <v>66143.737999999983</v>
          </cell>
          <cell r="E27">
            <v>-138010.89099999997</v>
          </cell>
          <cell r="F27">
            <v>114834.005</v>
          </cell>
          <cell r="G27">
            <v>39027.632000000041</v>
          </cell>
          <cell r="H27">
            <v>-276712.98199999996</v>
          </cell>
          <cell r="I27">
            <v>-16645.499509999994</v>
          </cell>
          <cell r="J27">
            <v>-33273.755000000005</v>
          </cell>
          <cell r="K27">
            <v>3984.23199999996</v>
          </cell>
          <cell r="L27">
            <v>16285.266119999986</v>
          </cell>
          <cell r="M27">
            <v>33241.984999999986</v>
          </cell>
          <cell r="N27">
            <v>-38690.574390000023</v>
          </cell>
          <cell r="O27">
            <v>226185.777</v>
          </cell>
          <cell r="P27">
            <v>14254.178000000014</v>
          </cell>
          <cell r="Q27">
            <v>-197205.81899999996</v>
          </cell>
          <cell r="R27">
            <v>-89665.242000000027</v>
          </cell>
          <cell r="S27">
            <v>255158.641</v>
          </cell>
          <cell r="T27">
            <v>50522.140390000015</v>
          </cell>
          <cell r="U27">
            <v>-61574.048999999999</v>
          </cell>
          <cell r="V27">
            <v>-47409.385000000009</v>
          </cell>
          <cell r="W27">
            <v>-42231.065000000002</v>
          </cell>
          <cell r="X27">
            <v>-139673.05000000005</v>
          </cell>
          <cell r="Y27">
            <v>-141642.68900000001</v>
          </cell>
          <cell r="Z27">
            <v>142119.04800000007</v>
          </cell>
          <cell r="AA27">
            <v>-31161.514609999955</v>
          </cell>
          <cell r="AB27">
            <v>149478.364</v>
          </cell>
          <cell r="AC27">
            <v>126716.76500000001</v>
          </cell>
          <cell r="AD27">
            <v>26213.669000000053</v>
          </cell>
          <cell r="AE27">
            <v>302408.79800000007</v>
          </cell>
          <cell r="AF27">
            <v>232556.70900000009</v>
          </cell>
        </row>
        <row r="28">
          <cell r="A28" t="str">
            <v>PAN2299</v>
          </cell>
          <cell r="Y28">
            <v>0</v>
          </cell>
          <cell r="AA28">
            <v>0</v>
          </cell>
          <cell r="AF28">
            <v>0</v>
          </cell>
        </row>
        <row r="29">
          <cell r="A29" t="str">
            <v>PAN2335</v>
          </cell>
          <cell r="B29">
            <v>11994.400000000023</v>
          </cell>
          <cell r="C29">
            <v>2897.1270000000077</v>
          </cell>
          <cell r="D29">
            <v>-84442.708000000013</v>
          </cell>
          <cell r="E29">
            <v>6734.0620000000054</v>
          </cell>
          <cell r="F29">
            <v>34637.016999999993</v>
          </cell>
          <cell r="G29">
            <v>40583.14499999999</v>
          </cell>
          <cell r="H29">
            <v>1341.4109999999928</v>
          </cell>
          <cell r="I29">
            <v>9600.139360000001</v>
          </cell>
          <cell r="J29">
            <v>-11240.485999999975</v>
          </cell>
          <cell r="K29">
            <v>-21542.752000000008</v>
          </cell>
          <cell r="L29">
            <v>7681.3909999999742</v>
          </cell>
          <cell r="M29">
            <v>-132507.15000000002</v>
          </cell>
          <cell r="N29">
            <v>-134264.40364000003</v>
          </cell>
          <cell r="O29">
            <v>111878.11099999998</v>
          </cell>
          <cell r="P29">
            <v>14620.744000000006</v>
          </cell>
          <cell r="Q29">
            <v>12074.676000000007</v>
          </cell>
          <cell r="R29">
            <v>-34541.568999999989</v>
          </cell>
          <cell r="S29">
            <v>25514.507000000012</v>
          </cell>
          <cell r="T29">
            <v>-12566.898999999976</v>
          </cell>
          <cell r="U29">
            <v>-20989.168000000005</v>
          </cell>
          <cell r="V29">
            <v>13723.193999999959</v>
          </cell>
          <cell r="W29">
            <v>-79190.759819999977</v>
          </cell>
          <cell r="X29">
            <v>77331.071880000003</v>
          </cell>
          <cell r="Y29">
            <v>2047.9588300000178</v>
          </cell>
          <cell r="Z29">
            <v>-244804.03488999995</v>
          </cell>
          <cell r="AA29">
            <v>-134902.16799999992</v>
          </cell>
          <cell r="AB29">
            <v>119252.42200000002</v>
          </cell>
          <cell r="AC29">
            <v>-2793.9219999999623</v>
          </cell>
          <cell r="AD29">
            <v>156729.48800000001</v>
          </cell>
          <cell r="AE29">
            <v>273187.98800000007</v>
          </cell>
          <cell r="AF29">
            <v>4021.4163600000902</v>
          </cell>
        </row>
        <row r="30">
          <cell r="A30" t="str">
            <v>PAN2345</v>
          </cell>
          <cell r="B30">
            <v>15015</v>
          </cell>
          <cell r="C30">
            <v>-48820</v>
          </cell>
          <cell r="D30">
            <v>48963</v>
          </cell>
          <cell r="E30">
            <v>-27589</v>
          </cell>
          <cell r="F30">
            <v>25284</v>
          </cell>
          <cell r="G30">
            <v>-20737</v>
          </cell>
          <cell r="H30">
            <v>17093</v>
          </cell>
          <cell r="I30">
            <v>-19599</v>
          </cell>
          <cell r="J30">
            <v>17499</v>
          </cell>
          <cell r="K30">
            <v>-15906</v>
          </cell>
          <cell r="L30">
            <v>16973</v>
          </cell>
          <cell r="M30">
            <v>-27337.65094</v>
          </cell>
          <cell r="N30">
            <v>-19161.65094</v>
          </cell>
          <cell r="O30">
            <v>30786</v>
          </cell>
          <cell r="P30">
            <v>-62107</v>
          </cell>
          <cell r="Q30">
            <v>58682</v>
          </cell>
          <cell r="R30">
            <v>-8388</v>
          </cell>
          <cell r="S30">
            <v>11295</v>
          </cell>
          <cell r="T30">
            <v>-62666</v>
          </cell>
          <cell r="U30">
            <v>41422</v>
          </cell>
          <cell r="V30">
            <v>-25315</v>
          </cell>
          <cell r="W30">
            <v>33987</v>
          </cell>
          <cell r="X30">
            <v>-90767</v>
          </cell>
          <cell r="Y30">
            <v>65327</v>
          </cell>
          <cell r="Z30">
            <v>-40043.34906</v>
          </cell>
          <cell r="AA30">
            <v>-47787.34906</v>
          </cell>
          <cell r="AB30">
            <v>67303</v>
          </cell>
          <cell r="AC30">
            <v>-86258</v>
          </cell>
          <cell r="AD30">
            <v>116981</v>
          </cell>
          <cell r="AE30">
            <v>98026</v>
          </cell>
          <cell r="AF30">
            <v>31077</v>
          </cell>
        </row>
        <row r="31">
          <cell r="A31" t="str">
            <v>PAN2360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9488.4582000000082</v>
          </cell>
          <cell r="L31">
            <v>0</v>
          </cell>
          <cell r="M31">
            <v>5.0000000000000001E-4</v>
          </cell>
          <cell r="N31">
            <v>9488.4587000000083</v>
          </cell>
          <cell r="Q31">
            <v>135642.12700000001</v>
          </cell>
          <cell r="R31">
            <v>0</v>
          </cell>
          <cell r="S31">
            <v>-5762.6870000000054</v>
          </cell>
          <cell r="T31">
            <v>0</v>
          </cell>
          <cell r="U31">
            <v>0</v>
          </cell>
          <cell r="V31">
            <v>35700.550999999999</v>
          </cell>
          <cell r="W31">
            <v>256551.652</v>
          </cell>
          <cell r="X31">
            <v>-428894.45700000005</v>
          </cell>
          <cell r="Y31">
            <v>9.9999998928979039E-4</v>
          </cell>
          <cell r="Z31">
            <v>0</v>
          </cell>
          <cell r="AA31">
            <v>-6762.8130000000237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2725.6456999999355</v>
          </cell>
        </row>
        <row r="32">
          <cell r="A32" t="str">
            <v>PAN2365</v>
          </cell>
          <cell r="B32">
            <v>0.32955000000220025</v>
          </cell>
          <cell r="C32">
            <v>-0.39999999999781721</v>
          </cell>
          <cell r="D32">
            <v>0.23899999999775901</v>
          </cell>
          <cell r="E32">
            <v>-4.3000000001484295E-2</v>
          </cell>
          <cell r="F32">
            <v>2.2000000000844011E-2</v>
          </cell>
          <cell r="G32">
            <v>-4.5999999998457497E-2</v>
          </cell>
          <cell r="H32">
            <v>-0.47299999999813735</v>
          </cell>
          <cell r="I32">
            <v>0.45300000000133878</v>
          </cell>
          <cell r="J32">
            <v>0.31000000000130967</v>
          </cell>
          <cell r="K32">
            <v>-0.36500000000160071</v>
          </cell>
          <cell r="L32">
            <v>-0.21700000000055297</v>
          </cell>
          <cell r="M32">
            <v>1.0744500000000698</v>
          </cell>
          <cell r="N32">
            <v>0.88400000000547152</v>
          </cell>
          <cell r="O32">
            <v>8.9999999981955625E-3</v>
          </cell>
          <cell r="P32">
            <v>-6.0000000012223609E-3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7.6699999990523793E-3</v>
          </cell>
          <cell r="Z32">
            <v>-1.0670000003301539E-2</v>
          </cell>
          <cell r="AA32">
            <v>-7.2759576141834259E-12</v>
          </cell>
          <cell r="AB32">
            <v>0</v>
          </cell>
          <cell r="AC32">
            <v>0</v>
          </cell>
          <cell r="AD32">
            <v>-39401.877999999997</v>
          </cell>
          <cell r="AE32">
            <v>-39401.877999999997</v>
          </cell>
          <cell r="AF32">
            <v>-39400.993999999999</v>
          </cell>
        </row>
        <row r="33">
          <cell r="A33" t="str">
            <v>PAN2367</v>
          </cell>
          <cell r="K33">
            <v>-64.644999999999996</v>
          </cell>
          <cell r="L33">
            <v>64.645380000000003</v>
          </cell>
          <cell r="M33">
            <v>0</v>
          </cell>
          <cell r="N33">
            <v>3.8000000000693035E-4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-0.18900000000007822</v>
          </cell>
          <cell r="X33">
            <v>0</v>
          </cell>
          <cell r="Y33">
            <v>0</v>
          </cell>
          <cell r="Z33">
            <v>0.18862000000001444</v>
          </cell>
          <cell r="AA33">
            <v>-3.8000000006377377E-4</v>
          </cell>
          <cell r="AC33">
            <v>-4.9999999987448973E-5</v>
          </cell>
          <cell r="AD33">
            <v>-39.067</v>
          </cell>
          <cell r="AE33">
            <v>-39.067049999999988</v>
          </cell>
          <cell r="AF33">
            <v>-39.067050000000044</v>
          </cell>
        </row>
        <row r="34">
          <cell r="A34" t="str">
            <v>PAN2368</v>
          </cell>
          <cell r="B34">
            <v>-953.47299999999996</v>
          </cell>
          <cell r="C34">
            <v>918.63200000000006</v>
          </cell>
          <cell r="D34">
            <v>-1004.3699999999999</v>
          </cell>
          <cell r="E34">
            <v>1069.2050000000002</v>
          </cell>
          <cell r="F34">
            <v>-1242.961</v>
          </cell>
          <cell r="G34">
            <v>1197.4410000000003</v>
          </cell>
          <cell r="H34">
            <v>-1051.502</v>
          </cell>
          <cell r="I34">
            <v>1023.8990000000001</v>
          </cell>
          <cell r="J34">
            <v>-1317.528</v>
          </cell>
          <cell r="K34">
            <v>1343.6719999999998</v>
          </cell>
          <cell r="L34">
            <v>-1469.7939999999999</v>
          </cell>
          <cell r="M34">
            <v>1536.1959999999999</v>
          </cell>
          <cell r="N34">
            <v>49.417000000000598</v>
          </cell>
          <cell r="O34">
            <v>-1211.115</v>
          </cell>
          <cell r="P34">
            <v>1326.8590000000002</v>
          </cell>
          <cell r="Q34">
            <v>-1344.635</v>
          </cell>
          <cell r="R34">
            <v>1159.567</v>
          </cell>
          <cell r="S34">
            <v>-3020.6170000000002</v>
          </cell>
          <cell r="T34">
            <v>3005.587</v>
          </cell>
          <cell r="U34">
            <v>-3679.7472000000002</v>
          </cell>
          <cell r="V34">
            <v>3771.0631999999996</v>
          </cell>
          <cell r="W34">
            <v>-4002.7979999999998</v>
          </cell>
          <cell r="X34">
            <v>4026.9939999999997</v>
          </cell>
          <cell r="Y34">
            <v>-3371.6133300000001</v>
          </cell>
          <cell r="Z34">
            <v>3340.4553299999998</v>
          </cell>
          <cell r="AA34">
            <v>0</v>
          </cell>
          <cell r="AB34">
            <v>-3419.2017599999999</v>
          </cell>
          <cell r="AC34">
            <v>3419.2017600000004</v>
          </cell>
          <cell r="AD34">
            <v>-4233.7429999999995</v>
          </cell>
          <cell r="AE34">
            <v>-4233.7429999999995</v>
          </cell>
          <cell r="AF34">
            <v>-4184.3259999999991</v>
          </cell>
        </row>
        <row r="35">
          <cell r="A35" t="str">
            <v>PAN2370</v>
          </cell>
          <cell r="B35">
            <v>73.899999999999636</v>
          </cell>
          <cell r="C35">
            <v>-951.60000000000036</v>
          </cell>
          <cell r="D35">
            <v>-455.20000000000073</v>
          </cell>
          <cell r="E35">
            <v>412.20000000000073</v>
          </cell>
          <cell r="F35">
            <v>-1054.5999999999985</v>
          </cell>
          <cell r="G35">
            <v>-536.70000000000073</v>
          </cell>
          <cell r="H35">
            <v>829.90000000000146</v>
          </cell>
          <cell r="I35">
            <v>-800.55400000000009</v>
          </cell>
          <cell r="J35">
            <v>154.72199999999975</v>
          </cell>
          <cell r="K35">
            <v>801.89999999999964</v>
          </cell>
          <cell r="L35">
            <v>-340</v>
          </cell>
          <cell r="M35">
            <v>121.90000000000146</v>
          </cell>
          <cell r="N35">
            <v>-1744.1319999999978</v>
          </cell>
          <cell r="O35">
            <v>544.89999999999964</v>
          </cell>
          <cell r="P35">
            <v>-2105.7999999999993</v>
          </cell>
          <cell r="Q35">
            <v>619.50000000000182</v>
          </cell>
          <cell r="R35">
            <v>389.79999999999927</v>
          </cell>
          <cell r="S35">
            <v>-226.39999999999964</v>
          </cell>
          <cell r="T35">
            <v>682.30000000000109</v>
          </cell>
          <cell r="U35">
            <v>947.79999999999927</v>
          </cell>
          <cell r="V35">
            <v>-400.89999999999964</v>
          </cell>
          <cell r="W35">
            <v>1045.6999999999989</v>
          </cell>
          <cell r="X35">
            <v>294.10000000000036</v>
          </cell>
          <cell r="Y35">
            <v>-305.39999999999964</v>
          </cell>
          <cell r="Z35">
            <v>693.89999999999964</v>
          </cell>
          <cell r="AA35">
            <v>2179.5000000000018</v>
          </cell>
          <cell r="AB35">
            <v>579.39999999999964</v>
          </cell>
          <cell r="AC35">
            <v>-923.70000000000073</v>
          </cell>
          <cell r="AD35">
            <v>-419.69999999999891</v>
          </cell>
          <cell r="AE35">
            <v>-764</v>
          </cell>
          <cell r="AF35">
            <v>-328.63199999999597</v>
          </cell>
        </row>
        <row r="36">
          <cell r="A36" t="str">
            <v>PAN2380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0.1000000000003638</v>
          </cell>
          <cell r="Y36">
            <v>-9.9999999999454303E-2</v>
          </cell>
          <cell r="Z36">
            <v>0</v>
          </cell>
          <cell r="AA36">
            <v>9.0949470177292824E-13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9.0949470177292824E-13</v>
          </cell>
        </row>
        <row r="37">
          <cell r="A37" t="str">
            <v>PAN2404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81359</v>
          </cell>
          <cell r="G37">
            <v>0</v>
          </cell>
          <cell r="H37">
            <v>81358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-192606.44099999999</v>
          </cell>
          <cell r="N37">
            <v>-29889.440999999992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96303</v>
          </cell>
          <cell r="T37">
            <v>0</v>
          </cell>
          <cell r="U37">
            <v>96303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-204599.70333000002</v>
          </cell>
          <cell r="AA37">
            <v>-11993.703330000018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-41883.14433000001</v>
          </cell>
        </row>
        <row r="38">
          <cell r="A38" t="str">
            <v>PAN2408</v>
          </cell>
          <cell r="B38">
            <v>-20968.093140000001</v>
          </cell>
          <cell r="C38">
            <v>35228.444539999997</v>
          </cell>
          <cell r="D38">
            <v>-3486.7367200000008</v>
          </cell>
          <cell r="E38">
            <v>-10773.811990000017</v>
          </cell>
          <cell r="F38">
            <v>2134.7687499999956</v>
          </cell>
          <cell r="G38">
            <v>-2134.7686899999972</v>
          </cell>
          <cell r="H38">
            <v>12481.289969999998</v>
          </cell>
          <cell r="I38">
            <v>-12481.27429999999</v>
          </cell>
          <cell r="J38">
            <v>7907.5050699999993</v>
          </cell>
          <cell r="K38">
            <v>-7907.4827200000145</v>
          </cell>
          <cell r="L38">
            <v>17734.47565</v>
          </cell>
          <cell r="M38">
            <v>-17732.310290000009</v>
          </cell>
          <cell r="N38">
            <v>2.0061299999615585</v>
          </cell>
          <cell r="O38">
            <v>-23936.540759999996</v>
          </cell>
          <cell r="P38">
            <v>23936.565490000008</v>
          </cell>
          <cell r="Q38">
            <v>19022.546779999997</v>
          </cell>
          <cell r="R38">
            <v>-19032.525129999995</v>
          </cell>
          <cell r="S38">
            <v>-5683.4749299999967</v>
          </cell>
          <cell r="T38">
            <v>5683.4973499999905</v>
          </cell>
          <cell r="U38">
            <v>-8891.7613500000007</v>
          </cell>
          <cell r="V38">
            <v>8891.7604399999836</v>
          </cell>
          <cell r="W38">
            <v>894.49018000000069</v>
          </cell>
          <cell r="X38">
            <v>-894.46528999999282</v>
          </cell>
          <cell r="Y38">
            <v>14958.579180000001</v>
          </cell>
          <cell r="Z38">
            <v>-14948.671959999978</v>
          </cell>
          <cell r="AA38">
            <v>2.1827872842550278E-11</v>
          </cell>
          <cell r="AB38">
            <v>-21098.035349999998</v>
          </cell>
          <cell r="AC38">
            <v>21098.055030000003</v>
          </cell>
          <cell r="AD38">
            <v>-14816.385370000011</v>
          </cell>
          <cell r="AE38">
            <v>-14816.365690000006</v>
          </cell>
          <cell r="AF38">
            <v>-14814.359560000023</v>
          </cell>
        </row>
        <row r="39">
          <cell r="A39" t="str">
            <v>PAN2412</v>
          </cell>
          <cell r="B39">
            <v>12008</v>
          </cell>
          <cell r="C39">
            <v>-15943</v>
          </cell>
          <cell r="D39">
            <v>15944</v>
          </cell>
          <cell r="E39">
            <v>-15323</v>
          </cell>
          <cell r="F39">
            <v>15323</v>
          </cell>
          <cell r="G39">
            <v>-14545</v>
          </cell>
          <cell r="H39">
            <v>14545</v>
          </cell>
          <cell r="I39">
            <v>-19767</v>
          </cell>
          <cell r="J39">
            <v>19767</v>
          </cell>
          <cell r="K39">
            <v>-19770</v>
          </cell>
          <cell r="L39">
            <v>19769</v>
          </cell>
          <cell r="M39">
            <v>-23623.431</v>
          </cell>
          <cell r="N39">
            <v>-11615.431</v>
          </cell>
          <cell r="O39">
            <v>21159.510999999999</v>
          </cell>
          <cell r="P39">
            <v>-15209.510999999999</v>
          </cell>
          <cell r="Q39">
            <v>15866.627</v>
          </cell>
          <cell r="R39">
            <v>-16670.627</v>
          </cell>
          <cell r="S39">
            <v>17582</v>
          </cell>
          <cell r="T39">
            <v>-21402</v>
          </cell>
          <cell r="U39">
            <v>21013</v>
          </cell>
          <cell r="V39">
            <v>-24323</v>
          </cell>
          <cell r="W39">
            <v>21169</v>
          </cell>
          <cell r="X39">
            <v>-18314</v>
          </cell>
          <cell r="Y39">
            <v>22833.431</v>
          </cell>
          <cell r="Z39">
            <v>580</v>
          </cell>
          <cell r="AA39">
            <v>24284.431</v>
          </cell>
          <cell r="AB39">
            <v>2570.8119999999999</v>
          </cell>
          <cell r="AC39">
            <v>1404.1879999999983</v>
          </cell>
          <cell r="AD39">
            <v>0</v>
          </cell>
          <cell r="AE39">
            <v>3974.9999999999982</v>
          </cell>
          <cell r="AF39">
            <v>16644</v>
          </cell>
        </row>
        <row r="40">
          <cell r="A40" t="str">
            <v>PAN2495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21.72597</v>
          </cell>
          <cell r="X40">
            <v>0</v>
          </cell>
          <cell r="Y40">
            <v>0</v>
          </cell>
          <cell r="Z40">
            <v>-21.72597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A41" t="str">
            <v>PAN2505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-7193.7109999999957</v>
          </cell>
          <cell r="W41">
            <v>7193.7109999999957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</row>
        <row r="42">
          <cell r="A42" t="str">
            <v>PAN2510</v>
          </cell>
          <cell r="B42">
            <v>31588.663999999997</v>
          </cell>
          <cell r="C42">
            <v>-3343.366</v>
          </cell>
          <cell r="D42">
            <v>-3359.6080000000002</v>
          </cell>
          <cell r="E42">
            <v>-3324.3449999999998</v>
          </cell>
          <cell r="F42">
            <v>-4109.8720000000003</v>
          </cell>
          <cell r="G42">
            <v>-4088.48</v>
          </cell>
          <cell r="H42">
            <v>-3694.7429999999999</v>
          </cell>
          <cell r="I42">
            <v>-3984.65</v>
          </cell>
          <cell r="J42">
            <v>-3811.4679999999998</v>
          </cell>
          <cell r="K42">
            <v>-3872.8020000000001</v>
          </cell>
          <cell r="L42">
            <v>-3887.1370000000002</v>
          </cell>
          <cell r="M42">
            <v>-34.906500000000051</v>
          </cell>
          <cell r="N42">
            <v>-5922.7135000000053</v>
          </cell>
          <cell r="O42">
            <v>-4215.3389999999999</v>
          </cell>
          <cell r="P42">
            <v>35843.054499999998</v>
          </cell>
          <cell r="Q42">
            <v>-4703.6260000000002</v>
          </cell>
          <cell r="R42">
            <v>-4347.4960000000001</v>
          </cell>
          <cell r="S42">
            <v>-4439.6589999999997</v>
          </cell>
          <cell r="T42">
            <v>-4372.0249999999996</v>
          </cell>
          <cell r="U42">
            <v>-2722.518</v>
          </cell>
          <cell r="V42">
            <v>-2272.7849999999999</v>
          </cell>
          <cell r="W42">
            <v>-2054.7200000000003</v>
          </cell>
          <cell r="X42">
            <v>-3674.64</v>
          </cell>
          <cell r="Y42">
            <v>-31.786000000000058</v>
          </cell>
          <cell r="Z42">
            <v>1491.4349999999999</v>
          </cell>
          <cell r="AA42">
            <v>4499.8954999999996</v>
          </cell>
          <cell r="AB42">
            <v>-1548.9989999999998</v>
          </cell>
          <cell r="AC42">
            <v>1837.0251900000007</v>
          </cell>
          <cell r="AD42">
            <v>-3333.2039999999997</v>
          </cell>
          <cell r="AE42">
            <v>-3045.1778099999988</v>
          </cell>
          <cell r="AF42">
            <v>-4467.995810000004</v>
          </cell>
        </row>
        <row r="43">
          <cell r="A43" t="str">
            <v>PAN2515</v>
          </cell>
          <cell r="B43">
            <v>3639.49</v>
          </cell>
          <cell r="C43">
            <v>-388.54300000000001</v>
          </cell>
          <cell r="D43">
            <v>-403.154</v>
          </cell>
          <cell r="E43">
            <v>-398.923</v>
          </cell>
          <cell r="F43">
            <v>-493.18400000000003</v>
          </cell>
          <cell r="G43">
            <v>-490.61700000000002</v>
          </cell>
          <cell r="H43">
            <v>-443.36900000000003</v>
          </cell>
          <cell r="I43">
            <v>-361.73500000000001</v>
          </cell>
          <cell r="J43">
            <v>-238.13200000000001</v>
          </cell>
          <cell r="K43">
            <v>-464.733</v>
          </cell>
          <cell r="L43">
            <v>-466.45499999999998</v>
          </cell>
          <cell r="M43">
            <v>-284.84184000000005</v>
          </cell>
          <cell r="N43">
            <v>-794.19684000000007</v>
          </cell>
          <cell r="O43">
            <v>4774.4390000000003</v>
          </cell>
          <cell r="P43">
            <v>-52.978999999999999</v>
          </cell>
          <cell r="Q43">
            <v>-52.978999999999999</v>
          </cell>
          <cell r="R43">
            <v>-52.246000000000002</v>
          </cell>
          <cell r="S43">
            <v>-14.369</v>
          </cell>
          <cell r="T43">
            <v>-52.978999999999999</v>
          </cell>
          <cell r="U43">
            <v>28.828000000000003</v>
          </cell>
          <cell r="V43">
            <v>81.387999999999991</v>
          </cell>
          <cell r="W43">
            <v>82.083999999999989</v>
          </cell>
          <cell r="X43">
            <v>-55.841000000000001</v>
          </cell>
          <cell r="Y43">
            <v>320.40899999999999</v>
          </cell>
          <cell r="Z43">
            <v>-4478.9970499999999</v>
          </cell>
          <cell r="AA43">
            <v>526.75794999999925</v>
          </cell>
          <cell r="AB43">
            <v>4216.7929999999997</v>
          </cell>
          <cell r="AC43">
            <v>-411.24700000000001</v>
          </cell>
          <cell r="AD43">
            <v>-434.05099999999999</v>
          </cell>
          <cell r="AE43">
            <v>3371.4949999999999</v>
          </cell>
          <cell r="AF43">
            <v>3104.0561100000004</v>
          </cell>
        </row>
        <row r="44">
          <cell r="A44" t="str">
            <v>PAN2520</v>
          </cell>
          <cell r="B44">
            <v>-3125.614</v>
          </cell>
          <cell r="C44">
            <v>-3343.366</v>
          </cell>
          <cell r="D44">
            <v>-3359.6080000000002</v>
          </cell>
          <cell r="E44">
            <v>-3324.3449999999998</v>
          </cell>
          <cell r="F44">
            <v>-4109.8719999999958</v>
          </cell>
          <cell r="G44">
            <v>17888.488000000001</v>
          </cell>
          <cell r="H44">
            <v>-3694.7429999999999</v>
          </cell>
          <cell r="I44">
            <v>-3760.9</v>
          </cell>
          <cell r="J44">
            <v>-3100.1229999999996</v>
          </cell>
          <cell r="K44">
            <v>-3872.8020000000001</v>
          </cell>
          <cell r="L44">
            <v>-3887.1370000000002</v>
          </cell>
          <cell r="M44">
            <v>17690.021999999997</v>
          </cell>
          <cell r="N44">
            <v>0</v>
          </cell>
          <cell r="O44">
            <v>-3805.6439999999998</v>
          </cell>
          <cell r="P44">
            <v>-4416.8190000000004</v>
          </cell>
          <cell r="Q44">
            <v>-4246.9679999999998</v>
          </cell>
          <cell r="R44">
            <v>-3928.3409999999999</v>
          </cell>
          <cell r="S44">
            <v>-3140.3849999999998</v>
          </cell>
          <cell r="T44">
            <v>19683.857</v>
          </cell>
          <cell r="U44">
            <v>-3346.5729999999999</v>
          </cell>
          <cell r="V44">
            <v>-3174.5429999999997</v>
          </cell>
          <cell r="W44">
            <v>-2870.3940000000002</v>
          </cell>
          <cell r="X44">
            <v>-3330.7849999999999</v>
          </cell>
          <cell r="Y44">
            <v>-1657.171</v>
          </cell>
          <cell r="Z44">
            <v>14233.766000000001</v>
          </cell>
          <cell r="AA44">
            <v>0</v>
          </cell>
          <cell r="AB44">
            <v>-3176.9229999999998</v>
          </cell>
          <cell r="AC44">
            <v>-3427.0509999999999</v>
          </cell>
          <cell r="AD44">
            <v>-3333.2039999999997</v>
          </cell>
          <cell r="AE44">
            <v>-9937.1779999999999</v>
          </cell>
          <cell r="AF44">
            <v>-9937.1779999999999</v>
          </cell>
        </row>
        <row r="45">
          <cell r="A45" t="str">
            <v>PAN2525</v>
          </cell>
          <cell r="B45">
            <v>-483.149</v>
          </cell>
          <cell r="C45">
            <v>-629.15</v>
          </cell>
          <cell r="D45">
            <v>688.61500000000024</v>
          </cell>
          <cell r="E45">
            <v>-1539.0610000000001</v>
          </cell>
          <cell r="F45">
            <v>-434.07599999999979</v>
          </cell>
          <cell r="G45">
            <v>1407.0450000000001</v>
          </cell>
          <cell r="H45">
            <v>-372.17499999999995</v>
          </cell>
          <cell r="I45">
            <v>-113.73299999999995</v>
          </cell>
          <cell r="J45">
            <v>64.115999999999985</v>
          </cell>
          <cell r="K45">
            <v>-199.36899999999991</v>
          </cell>
          <cell r="L45">
            <v>-393.02499999999986</v>
          </cell>
          <cell r="M45">
            <v>-8492.9783100000004</v>
          </cell>
          <cell r="N45">
            <v>-10496.94031</v>
          </cell>
          <cell r="O45">
            <v>302.37100000000032</v>
          </cell>
          <cell r="P45">
            <v>650.28499999999985</v>
          </cell>
          <cell r="Q45">
            <v>511.78499999999985</v>
          </cell>
          <cell r="R45">
            <v>1721.261</v>
          </cell>
          <cell r="S45">
            <v>1050.1890000000001</v>
          </cell>
          <cell r="T45">
            <v>1439.8869999999999</v>
          </cell>
          <cell r="U45">
            <v>4100.3819999999996</v>
          </cell>
          <cell r="V45">
            <v>-485.30299999999988</v>
          </cell>
          <cell r="W45">
            <v>-391.46100000000001</v>
          </cell>
          <cell r="X45">
            <v>-1531.21</v>
          </cell>
          <cell r="Y45">
            <v>3649.223</v>
          </cell>
          <cell r="Z45">
            <v>-9553.415939999999</v>
          </cell>
          <cell r="AA45">
            <v>1463.9930600000007</v>
          </cell>
          <cell r="AB45">
            <v>1780.982</v>
          </cell>
          <cell r="AC45">
            <v>-380.57300000000009</v>
          </cell>
          <cell r="AD45">
            <v>2013.3589999999999</v>
          </cell>
          <cell r="AE45">
            <v>3413.768</v>
          </cell>
          <cell r="AF45">
            <v>-5619.1792499999974</v>
          </cell>
        </row>
        <row r="46">
          <cell r="A46" t="str">
            <v>PAN2605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-670.88799999999992</v>
          </cell>
          <cell r="P46">
            <v>-21524.482000000004</v>
          </cell>
          <cell r="Q46">
            <v>-17329.748000000003</v>
          </cell>
          <cell r="R46">
            <v>-1017.7610000000022</v>
          </cell>
          <cell r="S46">
            <v>-4600.7230000000018</v>
          </cell>
          <cell r="T46">
            <v>-7412.9719999999998</v>
          </cell>
          <cell r="U46">
            <v>-7821.3439999999973</v>
          </cell>
          <cell r="V46">
            <v>-57958.783000000003</v>
          </cell>
          <cell r="W46">
            <v>-34417.967000000004</v>
          </cell>
          <cell r="X46">
            <v>-64688.213000000003</v>
          </cell>
          <cell r="Y46">
            <v>-55753.910999999993</v>
          </cell>
          <cell r="Z46">
            <v>273196.79200000002</v>
          </cell>
          <cell r="AA46">
            <v>0</v>
          </cell>
          <cell r="AB46">
            <v>-15951.922</v>
          </cell>
          <cell r="AC46">
            <v>-7608.648000000001</v>
          </cell>
          <cell r="AD46">
            <v>11619.042000000001</v>
          </cell>
          <cell r="AE46">
            <v>-11941.527999999998</v>
          </cell>
          <cell r="AF46">
            <v>-11941.527999999998</v>
          </cell>
        </row>
        <row r="47">
          <cell r="A47" t="str">
            <v>PAN2610</v>
          </cell>
          <cell r="D47">
            <v>-156.196</v>
          </cell>
          <cell r="E47">
            <v>-388.798</v>
          </cell>
          <cell r="F47">
            <v>544.99400000000003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AF47">
            <v>0</v>
          </cell>
        </row>
        <row r="48">
          <cell r="A48" t="str">
            <v>PAN2725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-19441.68</v>
          </cell>
          <cell r="N48">
            <v>-19441.68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9872.8181800000002</v>
          </cell>
          <cell r="AA48">
            <v>9872.8181800000002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-9568.8618200000001</v>
          </cell>
        </row>
        <row r="49">
          <cell r="A49" t="str">
            <v>PAN2805</v>
          </cell>
          <cell r="B49">
            <v>-30445.936400000021</v>
          </cell>
          <cell r="C49">
            <v>-12187.604560000007</v>
          </cell>
          <cell r="D49">
            <v>16406.167530000006</v>
          </cell>
          <cell r="E49">
            <v>20802.865040000004</v>
          </cell>
          <cell r="F49">
            <v>-4694.5920999999798</v>
          </cell>
          <cell r="G49">
            <v>-4147.8527800000011</v>
          </cell>
          <cell r="H49">
            <v>-33804.581379999989</v>
          </cell>
          <cell r="I49">
            <v>5827.8392899999744</v>
          </cell>
          <cell r="J49">
            <v>15043.318120000011</v>
          </cell>
          <cell r="K49">
            <v>-19119.142729999992</v>
          </cell>
          <cell r="L49">
            <v>1905.7068000000145</v>
          </cell>
          <cell r="M49">
            <v>-5302.0134600000165</v>
          </cell>
          <cell r="N49">
            <v>-49715.826629999996</v>
          </cell>
          <cell r="O49">
            <v>-22271.924319999991</v>
          </cell>
          <cell r="P49">
            <v>-300.09809000001405</v>
          </cell>
          <cell r="Q49">
            <v>-12292.584750000009</v>
          </cell>
          <cell r="R49">
            <v>723.40888000000268</v>
          </cell>
          <cell r="S49">
            <v>30220.583589999995</v>
          </cell>
          <cell r="T49">
            <v>1361.1817199999932</v>
          </cell>
          <cell r="U49">
            <v>-17716.487859999994</v>
          </cell>
          <cell r="V49">
            <v>5740.3388399999822</v>
          </cell>
          <cell r="W49">
            <v>10013.301420000003</v>
          </cell>
          <cell r="X49">
            <v>-72890.27515999999</v>
          </cell>
          <cell r="Y49">
            <v>86671.164159999986</v>
          </cell>
          <cell r="Z49">
            <v>17384.99649000002</v>
          </cell>
          <cell r="AA49">
            <v>26643.604919999983</v>
          </cell>
          <cell r="AB49">
            <v>-3285.6520000000019</v>
          </cell>
          <cell r="AC49">
            <v>-23387.962009999988</v>
          </cell>
          <cell r="AD49">
            <v>-4843.9750000000058</v>
          </cell>
          <cell r="AE49">
            <v>-31517.589009999996</v>
          </cell>
          <cell r="AF49">
            <v>-54589.810720000009</v>
          </cell>
        </row>
        <row r="50">
          <cell r="A50" t="str">
            <v>PAN3115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A51" t="str">
            <v>PAN3305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</row>
        <row r="52">
          <cell r="A52" t="str">
            <v>PAN3405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</row>
        <row r="53">
          <cell r="A53" t="str">
            <v>PAN3605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1108181.9480699999</v>
          </cell>
          <cell r="AA53">
            <v>1108181.9480699999</v>
          </cell>
          <cell r="AF53">
            <v>1108181.9480699999</v>
          </cell>
        </row>
        <row r="54">
          <cell r="A54" t="str">
            <v>PAN3705</v>
          </cell>
          <cell r="B54">
            <v>0</v>
          </cell>
          <cell r="C54">
            <v>0</v>
          </cell>
          <cell r="D54">
            <v>0</v>
          </cell>
          <cell r="E54">
            <v>50000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80000</v>
          </cell>
          <cell r="L54">
            <v>0</v>
          </cell>
          <cell r="M54">
            <v>0</v>
          </cell>
          <cell r="N54">
            <v>130000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84600</v>
          </cell>
          <cell r="T54">
            <v>0</v>
          </cell>
          <cell r="U54">
            <v>140000</v>
          </cell>
          <cell r="V54">
            <v>0</v>
          </cell>
          <cell r="W54">
            <v>0</v>
          </cell>
          <cell r="X54">
            <v>624581.71400000004</v>
          </cell>
          <cell r="Y54">
            <v>176470.73800000001</v>
          </cell>
          <cell r="Z54">
            <v>-1108181.9480699999</v>
          </cell>
          <cell r="AA54">
            <v>-82529.496069999877</v>
          </cell>
          <cell r="AB54">
            <v>0</v>
          </cell>
          <cell r="AC54">
            <v>0</v>
          </cell>
          <cell r="AD54">
            <v>80000</v>
          </cell>
          <cell r="AE54">
            <v>80000</v>
          </cell>
          <cell r="AF54">
            <v>127470.50393000012</v>
          </cell>
        </row>
        <row r="55">
          <cell r="A55" t="str">
            <v>PAN3715</v>
          </cell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</row>
        <row r="56">
          <cell r="A56" t="str">
            <v>PAN4135</v>
          </cell>
          <cell r="B56">
            <v>-722457.97399999993</v>
          </cell>
          <cell r="C56">
            <v>-650315.04200000002</v>
          </cell>
          <cell r="D56">
            <v>-630033.80100000009</v>
          </cell>
          <cell r="E56">
            <v>-641743.76610000012</v>
          </cell>
          <cell r="F56">
            <v>-682649.36153999995</v>
          </cell>
          <cell r="G56">
            <v>-615542.71770000004</v>
          </cell>
          <cell r="H56">
            <v>-808047.50049000001</v>
          </cell>
          <cell r="I56">
            <v>-915608.86684999999</v>
          </cell>
          <cell r="J56">
            <v>-835221.13683000009</v>
          </cell>
          <cell r="K56">
            <v>-875098.18660000002</v>
          </cell>
          <cell r="L56">
            <v>-853052.43965999992</v>
          </cell>
          <cell r="M56">
            <v>-865472.96549999993</v>
          </cell>
          <cell r="N56">
            <v>-9095243.7582699992</v>
          </cell>
          <cell r="O56">
            <v>-933689.50563000003</v>
          </cell>
          <cell r="P56">
            <v>-932836.41865999997</v>
          </cell>
          <cell r="Q56">
            <v>-861031.96295000007</v>
          </cell>
          <cell r="R56">
            <v>-865981.33141999994</v>
          </cell>
          <cell r="S56">
            <v>-936386.60115</v>
          </cell>
          <cell r="T56">
            <v>-852576.12136999995</v>
          </cell>
          <cell r="U56">
            <v>-1031787.9863099999</v>
          </cell>
          <cell r="V56">
            <v>-951273.07585000002</v>
          </cell>
          <cell r="W56">
            <v>-935660.11744000006</v>
          </cell>
          <cell r="X56">
            <v>-952932.35120999999</v>
          </cell>
          <cell r="Y56">
            <v>-911431.1749199999</v>
          </cell>
          <cell r="Z56">
            <v>-983753.16192999994</v>
          </cell>
          <cell r="AA56">
            <v>-11149339.808839999</v>
          </cell>
          <cell r="AB56">
            <v>-978224.64124000003</v>
          </cell>
          <cell r="AC56">
            <v>-820453.54327000002</v>
          </cell>
          <cell r="AD56">
            <v>-1113710.5429000002</v>
          </cell>
          <cell r="AE56">
            <v>-2912388.7274100003</v>
          </cell>
          <cell r="AF56">
            <v>-23156972.294519998</v>
          </cell>
        </row>
        <row r="57">
          <cell r="A57" t="str">
            <v>PAN4175</v>
          </cell>
          <cell r="B57">
            <v>8500.7691300000006</v>
          </cell>
          <cell r="C57">
            <v>6028.0814199999995</v>
          </cell>
          <cell r="D57">
            <v>8867.9937200000004</v>
          </cell>
          <cell r="E57">
            <v>4279.0803900000001</v>
          </cell>
          <cell r="F57">
            <v>11998.751960000001</v>
          </cell>
          <cell r="G57">
            <v>8943.7528399999992</v>
          </cell>
          <cell r="H57">
            <v>22510.11953</v>
          </cell>
          <cell r="I57">
            <v>14973.64847</v>
          </cell>
          <cell r="J57">
            <v>8144.4647599999998</v>
          </cell>
          <cell r="K57">
            <v>7120.5930900000003</v>
          </cell>
          <cell r="L57">
            <v>9622.7255100000002</v>
          </cell>
          <cell r="M57">
            <v>12250.482789999998</v>
          </cell>
          <cell r="N57">
            <v>123240.46360999999</v>
          </cell>
          <cell r="O57">
            <v>8628.7823900000003</v>
          </cell>
          <cell r="P57">
            <v>5019.4034299999994</v>
          </cell>
          <cell r="Q57">
            <v>9701.9846699999998</v>
          </cell>
          <cell r="R57">
            <v>7692.7176600000003</v>
          </cell>
          <cell r="S57">
            <v>17730.344010000001</v>
          </cell>
          <cell r="T57">
            <v>8024.0006399999993</v>
          </cell>
          <cell r="U57">
            <v>3567.9135000000001</v>
          </cell>
          <cell r="V57">
            <v>3355.2989500000003</v>
          </cell>
          <cell r="W57">
            <v>5181.0830199999991</v>
          </cell>
          <cell r="X57">
            <v>23516.977269999999</v>
          </cell>
          <cell r="Y57">
            <v>8270.9611100000002</v>
          </cell>
          <cell r="Z57">
            <v>8880.0739400000002</v>
          </cell>
          <cell r="AA57">
            <v>109569.54059000002</v>
          </cell>
          <cell r="AB57">
            <v>7233.6974700000001</v>
          </cell>
          <cell r="AC57">
            <v>3936.0773100000001</v>
          </cell>
          <cell r="AD57">
            <v>4486.9050399999996</v>
          </cell>
          <cell r="AE57">
            <v>15656.679819999999</v>
          </cell>
          <cell r="AF57">
            <v>248466.68402000002</v>
          </cell>
        </row>
        <row r="58">
          <cell r="A58" t="str">
            <v>PAN4210</v>
          </cell>
          <cell r="B58">
            <v>1.0000000000000001E-5</v>
          </cell>
          <cell r="C58">
            <v>0</v>
          </cell>
          <cell r="D58">
            <v>0.45700000000000002</v>
          </cell>
          <cell r="E58">
            <v>-1615.6610000000001</v>
          </cell>
          <cell r="F58">
            <v>-2297.8799999999997</v>
          </cell>
          <cell r="G58">
            <v>-3191.74523</v>
          </cell>
          <cell r="H58">
            <v>-1212.9770000000001</v>
          </cell>
          <cell r="I58">
            <v>-2170.0770000000002</v>
          </cell>
          <cell r="J58">
            <v>-1696.3320000000001</v>
          </cell>
          <cell r="K58">
            <v>-944.03599999999994</v>
          </cell>
          <cell r="L58">
            <v>-2335.44</v>
          </cell>
          <cell r="M58">
            <v>-4764.82</v>
          </cell>
          <cell r="N58">
            <v>-20228.51122</v>
          </cell>
          <cell r="O58">
            <v>-1006.832</v>
          </cell>
          <cell r="P58">
            <v>-803.01184000000001</v>
          </cell>
          <cell r="Q58">
            <v>-1212.2560000000001</v>
          </cell>
          <cell r="R58">
            <v>-3404</v>
          </cell>
          <cell r="S58">
            <v>-1470.42</v>
          </cell>
          <cell r="T58">
            <v>-1548.2380000000001</v>
          </cell>
          <cell r="U58">
            <v>-5.049E-2</v>
          </cell>
          <cell r="V58">
            <v>-1212.2460000000001</v>
          </cell>
          <cell r="W58">
            <v>-1769.645</v>
          </cell>
          <cell r="X58">
            <v>-768</v>
          </cell>
          <cell r="Y58">
            <v>0</v>
          </cell>
          <cell r="Z58">
            <v>0</v>
          </cell>
          <cell r="AA58">
            <v>-13194.699329999999</v>
          </cell>
          <cell r="AB58">
            <v>-1913.6849999999999</v>
          </cell>
          <cell r="AC58">
            <v>0</v>
          </cell>
          <cell r="AD58">
            <v>0</v>
          </cell>
          <cell r="AE58">
            <v>-1913.6849999999999</v>
          </cell>
          <cell r="AF58">
            <v>-35336.895550000001</v>
          </cell>
        </row>
        <row r="59">
          <cell r="A59" t="str">
            <v>PAN4250</v>
          </cell>
          <cell r="H59">
            <v>-1946.5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-1946.5</v>
          </cell>
          <cell r="AF59">
            <v>-1946.5</v>
          </cell>
        </row>
        <row r="60">
          <cell r="A60" t="str">
            <v>PAN4255</v>
          </cell>
          <cell r="B60">
            <v>-318.51299999999998</v>
          </cell>
          <cell r="C60">
            <v>0</v>
          </cell>
          <cell r="D60">
            <v>-9239.2219999999998</v>
          </cell>
          <cell r="E60">
            <v>0</v>
          </cell>
          <cell r="F60">
            <v>0</v>
          </cell>
          <cell r="G60">
            <v>-986.15300000000002</v>
          </cell>
          <cell r="H60">
            <v>-1563.751</v>
          </cell>
          <cell r="I60">
            <v>0</v>
          </cell>
          <cell r="J60">
            <v>-1660.8389999999999</v>
          </cell>
          <cell r="K60">
            <v>-43.332999999999998</v>
          </cell>
          <cell r="L60">
            <v>0</v>
          </cell>
          <cell r="M60">
            <v>-20962.37</v>
          </cell>
          <cell r="N60">
            <v>-34774.180999999997</v>
          </cell>
          <cell r="P60">
            <v>-1122.451</v>
          </cell>
          <cell r="Q60">
            <v>-1186.25</v>
          </cell>
          <cell r="R60">
            <v>0</v>
          </cell>
          <cell r="S60">
            <v>-2172.7539999999999</v>
          </cell>
          <cell r="T60">
            <v>-1423.5</v>
          </cell>
          <cell r="U60">
            <v>-2478.5189999999998</v>
          </cell>
          <cell r="V60">
            <v>-9240.2219999999998</v>
          </cell>
          <cell r="W60">
            <v>-1423.5</v>
          </cell>
          <cell r="X60">
            <v>0</v>
          </cell>
          <cell r="Y60">
            <v>0</v>
          </cell>
          <cell r="Z60">
            <v>-8218.2450000000008</v>
          </cell>
          <cell r="AA60">
            <v>-27265.440999999999</v>
          </cell>
          <cell r="AB60">
            <v>0</v>
          </cell>
          <cell r="AC60">
            <v>-1108.9069999999999</v>
          </cell>
          <cell r="AD60">
            <v>0</v>
          </cell>
          <cell r="AE60">
            <v>-1108.9069999999999</v>
          </cell>
          <cell r="AF60">
            <v>-63148.529000000002</v>
          </cell>
        </row>
        <row r="61">
          <cell r="A61" t="str">
            <v>PAN4295</v>
          </cell>
          <cell r="B61">
            <v>-0.30199999999999999</v>
          </cell>
          <cell r="C61">
            <v>-1.55</v>
          </cell>
          <cell r="D61">
            <v>-0.23</v>
          </cell>
          <cell r="E61">
            <v>-0.46700000000000003</v>
          </cell>
          <cell r="F61">
            <v>-5.1999999999999998E-2</v>
          </cell>
          <cell r="G61">
            <v>-1212.396</v>
          </cell>
          <cell r="H61">
            <v>-14.64</v>
          </cell>
          <cell r="I61">
            <v>-0.4</v>
          </cell>
          <cell r="J61">
            <v>-0.2</v>
          </cell>
          <cell r="K61">
            <v>-1510.7668600000002</v>
          </cell>
          <cell r="L61">
            <v>-8.2899999999999991</v>
          </cell>
          <cell r="M61">
            <v>-131.54933</v>
          </cell>
          <cell r="N61">
            <v>-2880.8431900000005</v>
          </cell>
          <cell r="O61">
            <v>-12.615</v>
          </cell>
          <cell r="P61">
            <v>-11.02</v>
          </cell>
          <cell r="Q61">
            <v>-2.6949999999999998</v>
          </cell>
          <cell r="R61">
            <v>-27.638000000000002</v>
          </cell>
          <cell r="S61">
            <v>-1273.146</v>
          </cell>
          <cell r="T61">
            <v>-1217.01</v>
          </cell>
          <cell r="U61">
            <v>-1452.96444</v>
          </cell>
          <cell r="V61">
            <v>-149.00459000000001</v>
          </cell>
          <cell r="W61">
            <v>-36.075429999999997</v>
          </cell>
          <cell r="X61">
            <v>-196.58544000000001</v>
          </cell>
          <cell r="Y61">
            <v>-1913.7560000000001</v>
          </cell>
          <cell r="Z61">
            <v>-2522.6043100000002</v>
          </cell>
          <cell r="AA61">
            <v>-8815.1142099999997</v>
          </cell>
          <cell r="AB61">
            <v>-4401.4660000000003</v>
          </cell>
          <cell r="AC61">
            <v>-3.5270000000000001</v>
          </cell>
          <cell r="AD61">
            <v>-15.72</v>
          </cell>
          <cell r="AE61">
            <v>-4420.7130000000006</v>
          </cell>
          <cell r="AF61">
            <v>-16116.670399999999</v>
          </cell>
        </row>
        <row r="62">
          <cell r="A62" t="str">
            <v>PAN5105</v>
          </cell>
          <cell r="B62">
            <v>50427.11</v>
          </cell>
          <cell r="C62">
            <v>55106.536</v>
          </cell>
          <cell r="D62">
            <v>57178.184000000001</v>
          </cell>
          <cell r="E62">
            <v>56799.368000000002</v>
          </cell>
          <cell r="F62">
            <v>62499.451000000001</v>
          </cell>
          <cell r="G62">
            <v>65767.611999999994</v>
          </cell>
          <cell r="H62">
            <v>59598.118000000002</v>
          </cell>
          <cell r="I62">
            <v>76355.569000000003</v>
          </cell>
          <cell r="J62">
            <v>68921.036000000007</v>
          </cell>
          <cell r="K62">
            <v>65078.486000000004</v>
          </cell>
          <cell r="L62">
            <v>64060.192999999992</v>
          </cell>
          <cell r="M62">
            <v>72643.560649999999</v>
          </cell>
          <cell r="N62">
            <v>754435.22365000006</v>
          </cell>
          <cell r="O62">
            <v>6401.4839999999995</v>
          </cell>
          <cell r="P62">
            <v>7759.2359999999999</v>
          </cell>
          <cell r="Q62">
            <v>7303.5050000000001</v>
          </cell>
          <cell r="R62">
            <v>6506.2760000000007</v>
          </cell>
          <cell r="S62">
            <v>7271.7830000000004</v>
          </cell>
          <cell r="T62">
            <v>7291.2510000000002</v>
          </cell>
          <cell r="U62">
            <v>7078.6949999999997</v>
          </cell>
          <cell r="V62">
            <v>7349.7269999999999</v>
          </cell>
          <cell r="W62">
            <v>10460.951010000001</v>
          </cell>
          <cell r="X62">
            <v>8553.2729999999992</v>
          </cell>
          <cell r="Y62">
            <v>7528.7280000000001</v>
          </cell>
          <cell r="Z62">
            <v>12600.0036</v>
          </cell>
          <cell r="AA62">
            <v>96104.912609999999</v>
          </cell>
          <cell r="AB62">
            <v>6793.9709999999995</v>
          </cell>
          <cell r="AC62">
            <v>8426.9339999999993</v>
          </cell>
          <cell r="AD62">
            <v>8984.8359499999988</v>
          </cell>
          <cell r="AE62">
            <v>24205.740949999999</v>
          </cell>
          <cell r="AF62">
            <v>874745.87721000018</v>
          </cell>
        </row>
        <row r="63">
          <cell r="A63" t="str">
            <v>PAN5110</v>
          </cell>
          <cell r="B63">
            <v>66040.09</v>
          </cell>
          <cell r="C63">
            <v>67249.8</v>
          </cell>
          <cell r="D63">
            <v>66010</v>
          </cell>
          <cell r="E63">
            <v>67071.460000000006</v>
          </cell>
          <cell r="F63">
            <v>66532.899999999994</v>
          </cell>
          <cell r="G63">
            <v>70037</v>
          </cell>
          <cell r="H63">
            <v>67152.800000000003</v>
          </cell>
          <cell r="I63">
            <v>66532.899999999994</v>
          </cell>
          <cell r="J63">
            <v>67014.866999999998</v>
          </cell>
          <cell r="K63">
            <v>67293.767000000007</v>
          </cell>
          <cell r="L63">
            <v>67152.800000000003</v>
          </cell>
          <cell r="M63">
            <v>190967.867</v>
          </cell>
          <cell r="N63">
            <v>929056.25099999993</v>
          </cell>
          <cell r="O63">
            <v>67349.8</v>
          </cell>
          <cell r="P63">
            <v>66926.899999999994</v>
          </cell>
          <cell r="Q63">
            <v>66726.899999999994</v>
          </cell>
          <cell r="R63">
            <v>66726.899999999994</v>
          </cell>
          <cell r="S63">
            <v>68046.899999999994</v>
          </cell>
          <cell r="T63">
            <v>130650.9</v>
          </cell>
          <cell r="U63">
            <v>136787.23699999999</v>
          </cell>
          <cell r="V63">
            <v>134446.90000000002</v>
          </cell>
          <cell r="W63">
            <v>134966.90000000002</v>
          </cell>
          <cell r="X63">
            <v>134446.90000000002</v>
          </cell>
          <cell r="Y63">
            <v>138646.9</v>
          </cell>
          <cell r="Z63">
            <v>135321.90000000002</v>
          </cell>
          <cell r="AA63">
            <v>1281045.037</v>
          </cell>
          <cell r="AB63">
            <v>85146.9</v>
          </cell>
          <cell r="AC63">
            <v>110536.13445</v>
          </cell>
          <cell r="AD63">
            <v>109700</v>
          </cell>
          <cell r="AE63">
            <v>305383.03444999998</v>
          </cell>
          <cell r="AF63">
            <v>2515484.3224499989</v>
          </cell>
        </row>
        <row r="64">
          <cell r="A64" t="str">
            <v>PAN5120</v>
          </cell>
          <cell r="B64">
            <v>51114.466999999997</v>
          </cell>
          <cell r="C64">
            <v>63570.561000000002</v>
          </cell>
          <cell r="D64">
            <v>54314.786999999997</v>
          </cell>
          <cell r="E64">
            <v>54314.786999999997</v>
          </cell>
          <cell r="F64">
            <v>54314.786999999997</v>
          </cell>
          <cell r="G64">
            <v>54314.786999999997</v>
          </cell>
          <cell r="H64">
            <v>54314.786999999997</v>
          </cell>
          <cell r="I64">
            <v>55495.133999999998</v>
          </cell>
          <cell r="J64">
            <v>56335.775999999998</v>
          </cell>
          <cell r="K64">
            <v>56335.775999999998</v>
          </cell>
          <cell r="L64">
            <v>58896.406999999999</v>
          </cell>
          <cell r="M64">
            <v>58896.406999999999</v>
          </cell>
          <cell r="N64">
            <v>672218.46300000011</v>
          </cell>
          <cell r="AC64">
            <v>0</v>
          </cell>
          <cell r="AD64">
            <v>0</v>
          </cell>
          <cell r="AE64">
            <v>0</v>
          </cell>
          <cell r="AF64">
            <v>672218.46300000011</v>
          </cell>
        </row>
        <row r="65">
          <cell r="A65" t="str">
            <v>PAN5130</v>
          </cell>
          <cell r="B65">
            <v>554.91600000000005</v>
          </cell>
          <cell r="C65">
            <v>554.91600000000005</v>
          </cell>
          <cell r="D65">
            <v>554.91600000000005</v>
          </cell>
          <cell r="E65">
            <v>554.91600000000005</v>
          </cell>
          <cell r="F65">
            <v>554.91600000000005</v>
          </cell>
          <cell r="G65">
            <v>1092.7159999999999</v>
          </cell>
          <cell r="H65">
            <v>554.91600000000005</v>
          </cell>
          <cell r="I65">
            <v>3629.4639999999999</v>
          </cell>
          <cell r="J65">
            <v>554.91600000000005</v>
          </cell>
          <cell r="K65">
            <v>616.58199999999999</v>
          </cell>
          <cell r="L65">
            <v>3209.9929999999999</v>
          </cell>
          <cell r="M65">
            <v>1079.836</v>
          </cell>
          <cell r="N65">
            <v>13513.003000000001</v>
          </cell>
          <cell r="O65">
            <v>298.697</v>
          </cell>
          <cell r="P65">
            <v>73.203000000000003</v>
          </cell>
          <cell r="Q65">
            <v>28.236999999999998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-400.137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13513.002999999999</v>
          </cell>
        </row>
        <row r="66">
          <cell r="A66" t="str">
            <v>PAN5135</v>
          </cell>
          <cell r="B66">
            <v>39703.561000000002</v>
          </cell>
          <cell r="C66">
            <v>48506.726999999999</v>
          </cell>
          <cell r="D66">
            <v>48396.483999999997</v>
          </cell>
          <cell r="E66">
            <v>45782.339</v>
          </cell>
          <cell r="F66">
            <v>43323.152000000002</v>
          </cell>
          <cell r="G66">
            <v>38321.006999999998</v>
          </cell>
          <cell r="H66">
            <v>47014.834999999999</v>
          </cell>
          <cell r="I66">
            <v>48978.665000000001</v>
          </cell>
          <cell r="J66">
            <v>51694.04</v>
          </cell>
          <cell r="K66">
            <v>63723.262999999999</v>
          </cell>
          <cell r="L66">
            <v>67049.210999999996</v>
          </cell>
          <cell r="M66">
            <v>69982.808000000005</v>
          </cell>
          <cell r="N66">
            <v>612476.09199999995</v>
          </cell>
          <cell r="O66">
            <v>26484.190999999999</v>
          </cell>
          <cell r="P66">
            <v>30332.502</v>
          </cell>
          <cell r="Q66">
            <v>28989.524000000001</v>
          </cell>
          <cell r="R66">
            <v>28254.69</v>
          </cell>
          <cell r="S66">
            <v>28177.269</v>
          </cell>
          <cell r="T66">
            <v>28158.269</v>
          </cell>
          <cell r="U66">
            <v>28200.868999999999</v>
          </cell>
          <cell r="V66">
            <v>28254.368999999999</v>
          </cell>
          <cell r="W66">
            <v>30786.766</v>
          </cell>
          <cell r="X66">
            <v>28436.969000000001</v>
          </cell>
          <cell r="Y66">
            <v>28520.868999999999</v>
          </cell>
          <cell r="Z66">
            <v>26619.841</v>
          </cell>
          <cell r="AA66">
            <v>341216.12800000003</v>
          </cell>
          <cell r="AB66">
            <v>27553.041000000001</v>
          </cell>
          <cell r="AC66">
            <v>33650.894999999997</v>
          </cell>
          <cell r="AD66">
            <v>31557.622000000003</v>
          </cell>
          <cell r="AE66">
            <v>92761.558000000005</v>
          </cell>
          <cell r="AF66">
            <v>1046453.7779999996</v>
          </cell>
        </row>
        <row r="67">
          <cell r="A67" t="str">
            <v>PAN5140</v>
          </cell>
          <cell r="B67">
            <v>15.8</v>
          </cell>
          <cell r="C67">
            <v>3.7</v>
          </cell>
          <cell r="D67">
            <v>3471.4</v>
          </cell>
          <cell r="E67">
            <v>0</v>
          </cell>
          <cell r="F67">
            <v>7.9</v>
          </cell>
          <cell r="G67">
            <v>0</v>
          </cell>
          <cell r="H67">
            <v>403.3</v>
          </cell>
          <cell r="I67">
            <v>7.9</v>
          </cell>
          <cell r="J67">
            <v>7.9</v>
          </cell>
          <cell r="K67">
            <v>0</v>
          </cell>
          <cell r="L67">
            <v>7.9</v>
          </cell>
          <cell r="M67">
            <v>0</v>
          </cell>
          <cell r="N67">
            <v>3925.8000000000006</v>
          </cell>
          <cell r="O67">
            <v>11.6</v>
          </cell>
          <cell r="P67">
            <v>0</v>
          </cell>
          <cell r="Q67">
            <v>7714.9</v>
          </cell>
          <cell r="R67">
            <v>527.70000000000005</v>
          </cell>
          <cell r="S67">
            <v>11.6</v>
          </cell>
          <cell r="T67">
            <v>1038.375</v>
          </cell>
          <cell r="U67">
            <v>11.6</v>
          </cell>
          <cell r="V67">
            <v>11.6</v>
          </cell>
          <cell r="W67">
            <v>11.6</v>
          </cell>
          <cell r="X67">
            <v>11.6</v>
          </cell>
          <cell r="Y67">
            <v>0</v>
          </cell>
          <cell r="Z67">
            <v>0</v>
          </cell>
          <cell r="AA67">
            <v>9350.5750000000025</v>
          </cell>
          <cell r="AB67">
            <v>14.8</v>
          </cell>
          <cell r="AC67">
            <v>0</v>
          </cell>
          <cell r="AD67">
            <v>8604.7999999999993</v>
          </cell>
          <cell r="AE67">
            <v>8619.5999999999985</v>
          </cell>
          <cell r="AF67">
            <v>21895.974999999999</v>
          </cell>
        </row>
        <row r="68">
          <cell r="A68" t="str">
            <v>PAN5145</v>
          </cell>
          <cell r="G68">
            <v>700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40.167999999999999</v>
          </cell>
          <cell r="N68">
            <v>740.16800000000001</v>
          </cell>
          <cell r="R68">
            <v>80</v>
          </cell>
          <cell r="S68">
            <v>0</v>
          </cell>
          <cell r="T68">
            <v>789.78800000000001</v>
          </cell>
          <cell r="U68">
            <v>0</v>
          </cell>
          <cell r="V68">
            <v>549.10599999999999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1418.894</v>
          </cell>
          <cell r="AB68">
            <v>46.890999999999998</v>
          </cell>
          <cell r="AC68">
            <v>0</v>
          </cell>
          <cell r="AD68">
            <v>0</v>
          </cell>
          <cell r="AE68">
            <v>46.890999999999998</v>
          </cell>
          <cell r="AF68">
            <v>2205.953</v>
          </cell>
        </row>
        <row r="69">
          <cell r="A69" t="str">
            <v>PAN5150</v>
          </cell>
          <cell r="B69">
            <v>4010.3</v>
          </cell>
          <cell r="C69">
            <v>1470</v>
          </cell>
          <cell r="D69">
            <v>988</v>
          </cell>
          <cell r="E69">
            <v>0</v>
          </cell>
          <cell r="F69">
            <v>2440.0039999999999</v>
          </cell>
          <cell r="G69">
            <v>0</v>
          </cell>
          <cell r="H69">
            <v>8700</v>
          </cell>
          <cell r="I69">
            <v>240</v>
          </cell>
          <cell r="J69">
            <v>350</v>
          </cell>
          <cell r="K69">
            <v>0</v>
          </cell>
          <cell r="L69">
            <v>4105.43</v>
          </cell>
          <cell r="M69">
            <v>0</v>
          </cell>
          <cell r="N69">
            <v>22303.734</v>
          </cell>
          <cell r="R69">
            <v>950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950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23253.734</v>
          </cell>
        </row>
        <row r="70">
          <cell r="A70" t="str">
            <v>PAN5155</v>
          </cell>
          <cell r="C70">
            <v>141.19999999999999</v>
          </cell>
          <cell r="D70">
            <v>465.5</v>
          </cell>
          <cell r="E70">
            <v>907.56299999999999</v>
          </cell>
          <cell r="F70">
            <v>0</v>
          </cell>
          <cell r="G70">
            <v>71.2</v>
          </cell>
          <cell r="H70">
            <v>425.69400000000002</v>
          </cell>
          <cell r="I70">
            <v>436.93099999999998</v>
          </cell>
          <cell r="J70">
            <v>566.94799999999998</v>
          </cell>
          <cell r="K70">
            <v>1767.2850000000001</v>
          </cell>
          <cell r="L70">
            <v>476.17399999999998</v>
          </cell>
          <cell r="M70">
            <v>120</v>
          </cell>
          <cell r="N70">
            <v>5378.4949999999999</v>
          </cell>
          <cell r="P70">
            <v>252.101</v>
          </cell>
          <cell r="Q70">
            <v>240</v>
          </cell>
          <cell r="R70">
            <v>0</v>
          </cell>
          <cell r="S70">
            <v>0</v>
          </cell>
          <cell r="T70">
            <v>81.599999999999994</v>
          </cell>
          <cell r="U70">
            <v>87.8</v>
          </cell>
          <cell r="V70">
            <v>426.2</v>
          </cell>
          <cell r="W70">
            <v>3357.8387799999996</v>
          </cell>
          <cell r="X70">
            <v>2053.64237</v>
          </cell>
          <cell r="Y70">
            <v>2934.1094800000001</v>
          </cell>
          <cell r="Z70">
            <v>466.60507000000001</v>
          </cell>
          <cell r="AA70">
            <v>9899.8966999999993</v>
          </cell>
          <cell r="AB70">
            <v>1814.7</v>
          </cell>
          <cell r="AC70">
            <v>2933.54279</v>
          </cell>
          <cell r="AD70">
            <v>1515.6037900000001</v>
          </cell>
          <cell r="AE70">
            <v>6263.8465800000004</v>
          </cell>
          <cell r="AF70">
            <v>21542.238279999998</v>
          </cell>
        </row>
        <row r="71">
          <cell r="A71" t="str">
            <v>PAN5160</v>
          </cell>
          <cell r="B71">
            <v>4580.421440000001</v>
          </cell>
          <cell r="C71">
            <v>4143.2452600000006</v>
          </cell>
          <cell r="D71">
            <v>4476.9191500000006</v>
          </cell>
          <cell r="E71">
            <v>4476.9191500000006</v>
          </cell>
          <cell r="F71">
            <v>4486.4191500000006</v>
          </cell>
          <cell r="G71">
            <v>4486.4191500000006</v>
          </cell>
          <cell r="H71">
            <v>4471.4380099999998</v>
          </cell>
          <cell r="I71">
            <v>4618.4423200000001</v>
          </cell>
          <cell r="J71">
            <v>4646.8389800000004</v>
          </cell>
          <cell r="K71">
            <v>4994.9454100000012</v>
          </cell>
          <cell r="L71">
            <v>5187.7330099999999</v>
          </cell>
          <cell r="M71">
            <v>5209.4039400000011</v>
          </cell>
          <cell r="N71">
            <v>55779.144970000008</v>
          </cell>
          <cell r="O71">
            <v>4333.2990599999994</v>
          </cell>
          <cell r="P71">
            <v>4380.3184199999996</v>
          </cell>
          <cell r="Q71">
            <v>4383.1280900000002</v>
          </cell>
          <cell r="R71">
            <v>4443.1280900000002</v>
          </cell>
          <cell r="S71">
            <v>4541.5447599999989</v>
          </cell>
          <cell r="T71">
            <v>4563.2114199999996</v>
          </cell>
          <cell r="U71">
            <v>4646.509759999999</v>
          </cell>
          <cell r="V71">
            <v>4773.8758600000001</v>
          </cell>
          <cell r="W71">
            <v>9868.5500000000029</v>
          </cell>
          <cell r="X71">
            <v>5318.0823600000003</v>
          </cell>
          <cell r="Y71">
            <v>5318.0823600000003</v>
          </cell>
          <cell r="Z71">
            <v>5323.4083600000004</v>
          </cell>
          <cell r="AA71">
            <v>61893.13854</v>
          </cell>
          <cell r="AB71">
            <v>4517.6245999999992</v>
          </cell>
          <cell r="AC71">
            <v>4530.9575999999997</v>
          </cell>
          <cell r="AD71">
            <v>0</v>
          </cell>
          <cell r="AE71">
            <v>9048.5821999999989</v>
          </cell>
          <cell r="AF71">
            <v>126720.86571</v>
          </cell>
        </row>
        <row r="72">
          <cell r="A72" t="str">
            <v>PAN5195</v>
          </cell>
          <cell r="B72">
            <v>4809.9350000000004</v>
          </cell>
          <cell r="C72">
            <v>7497.0360000000001</v>
          </cell>
          <cell r="D72">
            <v>6431.6580000000004</v>
          </cell>
          <cell r="E72">
            <v>3847.9540000000002</v>
          </cell>
          <cell r="F72">
            <v>5909.8380000000006</v>
          </cell>
          <cell r="G72">
            <v>3895.0810000000001</v>
          </cell>
          <cell r="H72">
            <v>5792.4859999999999</v>
          </cell>
          <cell r="I72">
            <v>14700.789000000001</v>
          </cell>
          <cell r="J72">
            <v>12269.906000000001</v>
          </cell>
          <cell r="K72">
            <v>9902.9230000000007</v>
          </cell>
          <cell r="L72">
            <v>8993.3209999999999</v>
          </cell>
          <cell r="M72">
            <v>21713.565999999999</v>
          </cell>
          <cell r="N72">
            <v>105764.49299999999</v>
          </cell>
          <cell r="O72">
            <v>3591.694</v>
          </cell>
          <cell r="P72">
            <v>1297.701</v>
          </cell>
          <cell r="Q72">
            <v>2533.5329999999999</v>
          </cell>
          <cell r="R72">
            <v>4414.6390000000001</v>
          </cell>
          <cell r="S72">
            <v>183.19200000000001</v>
          </cell>
          <cell r="T72">
            <v>265.59399999999999</v>
          </cell>
          <cell r="U72">
            <v>685.62900000000002</v>
          </cell>
          <cell r="V72">
            <v>2161.3220000000001</v>
          </cell>
          <cell r="W72">
            <v>1617.8215299999999</v>
          </cell>
          <cell r="X72">
            <v>1173.17318</v>
          </cell>
          <cell r="Y72">
            <v>622.59004000000004</v>
          </cell>
          <cell r="Z72">
            <v>601.03300000000002</v>
          </cell>
          <cell r="AA72">
            <v>19147.921749999998</v>
          </cell>
          <cell r="AB72">
            <v>867.51985999999999</v>
          </cell>
          <cell r="AC72">
            <v>385</v>
          </cell>
          <cell r="AD72">
            <v>993.80671999999993</v>
          </cell>
          <cell r="AE72">
            <v>2246.3265799999999</v>
          </cell>
          <cell r="AF72">
            <v>127158.74132999996</v>
          </cell>
        </row>
        <row r="73">
          <cell r="A73" t="str">
            <v>PAN5205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N73">
            <v>0</v>
          </cell>
          <cell r="O73">
            <v>55819.017</v>
          </cell>
          <cell r="P73">
            <v>62741.692000000003</v>
          </cell>
          <cell r="Q73">
            <v>61212.332000000002</v>
          </cell>
          <cell r="R73">
            <v>60836.947</v>
          </cell>
          <cell r="S73">
            <v>67938.726999999999</v>
          </cell>
          <cell r="T73">
            <v>55478.501999999993</v>
          </cell>
          <cell r="U73">
            <v>53802.330999999998</v>
          </cell>
          <cell r="V73">
            <v>55569.985999999997</v>
          </cell>
          <cell r="W73">
            <v>52288.375999999997</v>
          </cell>
          <cell r="X73">
            <v>49120.527000000002</v>
          </cell>
          <cell r="Y73">
            <v>45201.810340000004</v>
          </cell>
          <cell r="Z73">
            <v>53143.985389999994</v>
          </cell>
          <cell r="AA73">
            <v>673154.23273000005</v>
          </cell>
          <cell r="AB73">
            <v>48012.459000000003</v>
          </cell>
          <cell r="AC73">
            <v>46861.476000000002</v>
          </cell>
          <cell r="AD73">
            <v>50030.375</v>
          </cell>
          <cell r="AE73">
            <v>144904.31</v>
          </cell>
          <cell r="AF73">
            <v>818058.5427300001</v>
          </cell>
        </row>
        <row r="74">
          <cell r="A74" t="str">
            <v>PAN5210</v>
          </cell>
          <cell r="U74">
            <v>500</v>
          </cell>
          <cell r="V74">
            <v>0</v>
          </cell>
          <cell r="W74">
            <v>300</v>
          </cell>
          <cell r="X74">
            <v>400</v>
          </cell>
          <cell r="Y74">
            <v>240</v>
          </cell>
          <cell r="Z74">
            <v>300</v>
          </cell>
          <cell r="AA74">
            <v>1740</v>
          </cell>
          <cell r="AB74">
            <v>0</v>
          </cell>
          <cell r="AC74">
            <v>200</v>
          </cell>
          <cell r="AD74">
            <v>100</v>
          </cell>
          <cell r="AE74">
            <v>300</v>
          </cell>
          <cell r="AF74">
            <v>2040</v>
          </cell>
        </row>
        <row r="75">
          <cell r="A75" t="str">
            <v>PAN5215</v>
          </cell>
          <cell r="C75">
            <v>28137.38522</v>
          </cell>
          <cell r="D75">
            <v>0</v>
          </cell>
          <cell r="E75">
            <v>56780.442009999999</v>
          </cell>
          <cell r="F75">
            <v>0</v>
          </cell>
          <cell r="G75">
            <v>43616.310789999996</v>
          </cell>
          <cell r="H75">
            <v>0</v>
          </cell>
          <cell r="I75">
            <v>50128.875479999995</v>
          </cell>
          <cell r="J75">
            <v>0</v>
          </cell>
          <cell r="K75">
            <v>50669.822759999995</v>
          </cell>
          <cell r="L75">
            <v>0</v>
          </cell>
          <cell r="M75">
            <v>58901.134989999999</v>
          </cell>
          <cell r="N75">
            <v>288233.97124999994</v>
          </cell>
          <cell r="O75">
            <v>1066.489</v>
          </cell>
          <cell r="P75">
            <v>52465.039750000004</v>
          </cell>
          <cell r="Q75">
            <v>1109.373</v>
          </cell>
          <cell r="R75">
            <v>52455.989299999994</v>
          </cell>
          <cell r="S75">
            <v>1187.91121</v>
          </cell>
          <cell r="T75">
            <v>55893.866700000006</v>
          </cell>
          <cell r="U75">
            <v>1463.5989199999999</v>
          </cell>
          <cell r="V75">
            <v>54315.877</v>
          </cell>
          <cell r="W75">
            <v>1382.9929999999999</v>
          </cell>
          <cell r="X75">
            <v>58032.474620000001</v>
          </cell>
          <cell r="Y75">
            <v>1203.77865</v>
          </cell>
          <cell r="Z75">
            <v>56430.159369999994</v>
          </cell>
          <cell r="AA75">
            <v>337007.55051999999</v>
          </cell>
          <cell r="AB75">
            <v>1761.88</v>
          </cell>
          <cell r="AC75">
            <v>54582.756979999998</v>
          </cell>
          <cell r="AD75">
            <v>0</v>
          </cell>
          <cell r="AE75">
            <v>56344.636979999996</v>
          </cell>
          <cell r="AF75">
            <v>681586.15874999994</v>
          </cell>
        </row>
        <row r="76">
          <cell r="A76" t="str">
            <v>PAN5220</v>
          </cell>
          <cell r="O76">
            <v>58896.406999999999</v>
          </cell>
          <cell r="P76">
            <v>58896.406999999999</v>
          </cell>
          <cell r="Q76">
            <v>58896.406999999999</v>
          </cell>
          <cell r="R76">
            <v>58896.406999999999</v>
          </cell>
          <cell r="S76">
            <v>58896.406999999999</v>
          </cell>
          <cell r="T76">
            <v>58896.406999999999</v>
          </cell>
          <cell r="U76">
            <v>58896.406999999999</v>
          </cell>
          <cell r="V76">
            <v>58896.406999999999</v>
          </cell>
          <cell r="W76">
            <v>60979.159</v>
          </cell>
          <cell r="X76">
            <v>60979.159</v>
          </cell>
          <cell r="Y76">
            <v>60979.159</v>
          </cell>
          <cell r="Z76">
            <v>60979.159</v>
          </cell>
          <cell r="AA76">
            <v>715087.89199999999</v>
          </cell>
          <cell r="AB76">
            <v>60979.159</v>
          </cell>
          <cell r="AC76">
            <v>60979.159</v>
          </cell>
          <cell r="AD76">
            <v>60979.159</v>
          </cell>
          <cell r="AE76">
            <v>182937.47700000001</v>
          </cell>
          <cell r="AF76">
            <v>898025.36899999995</v>
          </cell>
        </row>
        <row r="77">
          <cell r="A77" t="str">
            <v>PAN5230</v>
          </cell>
          <cell r="O77">
            <v>1757.7619999999999</v>
          </cell>
          <cell r="P77">
            <v>562.91999999999996</v>
          </cell>
          <cell r="Q77">
            <v>562.91999999999996</v>
          </cell>
          <cell r="R77">
            <v>562.91999999999996</v>
          </cell>
          <cell r="S77">
            <v>562.91999999999996</v>
          </cell>
          <cell r="T77">
            <v>562.91999999999996</v>
          </cell>
          <cell r="U77">
            <v>562.91999999999996</v>
          </cell>
          <cell r="V77">
            <v>646.61400000000003</v>
          </cell>
          <cell r="W77">
            <v>577.798</v>
          </cell>
          <cell r="X77">
            <v>562.94899999999996</v>
          </cell>
          <cell r="Y77">
            <v>1588.1479999999999</v>
          </cell>
          <cell r="Z77">
            <v>1262.67534</v>
          </cell>
          <cell r="AA77">
            <v>9773.466339999999</v>
          </cell>
          <cell r="AB77">
            <v>619.88300000000004</v>
          </cell>
          <cell r="AC77">
            <v>619.88300000000004</v>
          </cell>
          <cell r="AD77">
            <v>619.88300000000004</v>
          </cell>
          <cell r="AE77">
            <v>1859.6490000000001</v>
          </cell>
          <cell r="AF77">
            <v>11633.115339999998</v>
          </cell>
        </row>
        <row r="78">
          <cell r="A78" t="str">
            <v>PAN5235</v>
          </cell>
          <cell r="L78">
            <v>360</v>
          </cell>
          <cell r="M78">
            <v>18000</v>
          </cell>
          <cell r="N78">
            <v>18360</v>
          </cell>
          <cell r="O78">
            <v>50184.228840000003</v>
          </cell>
          <cell r="P78">
            <v>49947.177840000004</v>
          </cell>
          <cell r="Q78">
            <v>55891.107000000004</v>
          </cell>
          <cell r="R78">
            <v>59297.578999999998</v>
          </cell>
          <cell r="S78">
            <v>64952.860999999997</v>
          </cell>
          <cell r="T78">
            <v>64197.421999999999</v>
          </cell>
          <cell r="U78">
            <v>56852.050999999999</v>
          </cell>
          <cell r="V78">
            <v>69191.259000000005</v>
          </cell>
          <cell r="W78">
            <v>60369.214999999997</v>
          </cell>
          <cell r="X78">
            <v>65897.581139999995</v>
          </cell>
          <cell r="Y78">
            <v>71519.745110000003</v>
          </cell>
          <cell r="Z78">
            <v>66827.178060000006</v>
          </cell>
          <cell r="AA78">
            <v>735127.40499000018</v>
          </cell>
          <cell r="AB78">
            <v>73565.16459</v>
          </cell>
          <cell r="AC78">
            <v>77349.294590000005</v>
          </cell>
          <cell r="AD78">
            <v>53934.438009999998</v>
          </cell>
          <cell r="AE78">
            <v>204848.89718999999</v>
          </cell>
          <cell r="AF78">
            <v>958336.30218</v>
          </cell>
        </row>
        <row r="79">
          <cell r="A79" t="str">
            <v>PAN5245</v>
          </cell>
          <cell r="O79">
            <v>3291.0230000000001</v>
          </cell>
          <cell r="P79">
            <v>367.53500000000003</v>
          </cell>
          <cell r="Q79">
            <v>3683.0239999999999</v>
          </cell>
          <cell r="R79">
            <v>318.53500000000003</v>
          </cell>
          <cell r="S79">
            <v>3510.319</v>
          </cell>
          <cell r="T79">
            <v>3322.9760000000001</v>
          </cell>
          <cell r="U79">
            <v>1819.828</v>
          </cell>
          <cell r="V79">
            <v>2279.7620000000002</v>
          </cell>
          <cell r="W79">
            <v>2023.5017800000001</v>
          </cell>
          <cell r="X79">
            <v>2148.6638599999997</v>
          </cell>
          <cell r="Y79">
            <v>2133.587</v>
          </cell>
          <cell r="Z79">
            <v>2202.7550000000001</v>
          </cell>
          <cell r="AA79">
            <v>27101.50964</v>
          </cell>
          <cell r="AB79">
            <v>2074.4639999999999</v>
          </cell>
          <cell r="AC79">
            <v>3997.1148900000003</v>
          </cell>
          <cell r="AD79">
            <v>3354.9276600000003</v>
          </cell>
          <cell r="AE79">
            <v>9426.5065500000019</v>
          </cell>
          <cell r="AF79">
            <v>36528.016190000002</v>
          </cell>
        </row>
        <row r="80">
          <cell r="A80" t="str">
            <v>PAN5250</v>
          </cell>
          <cell r="U80">
            <v>16346</v>
          </cell>
          <cell r="V80">
            <v>0</v>
          </cell>
          <cell r="W80">
            <v>0</v>
          </cell>
          <cell r="X80">
            <v>45.966389999999997</v>
          </cell>
          <cell r="Y80">
            <v>290</v>
          </cell>
          <cell r="Z80">
            <v>0</v>
          </cell>
          <cell r="AA80">
            <v>16681.966390000001</v>
          </cell>
          <cell r="AB80">
            <v>0</v>
          </cell>
          <cell r="AC80">
            <v>0</v>
          </cell>
          <cell r="AD80">
            <v>202.56</v>
          </cell>
          <cell r="AE80">
            <v>202.56</v>
          </cell>
          <cell r="AF80">
            <v>16884.526390000003</v>
          </cell>
        </row>
        <row r="81">
          <cell r="A81" t="str">
            <v>PAN5255</v>
          </cell>
          <cell r="Q81">
            <v>246.2</v>
          </cell>
          <cell r="R81">
            <v>0</v>
          </cell>
          <cell r="S81">
            <v>1673</v>
          </cell>
          <cell r="T81">
            <v>339.90100000000001</v>
          </cell>
          <cell r="U81">
            <v>0</v>
          </cell>
          <cell r="V81">
            <v>0</v>
          </cell>
          <cell r="W81">
            <v>2593.8821400000002</v>
          </cell>
          <cell r="X81">
            <v>2509.5798399999999</v>
          </cell>
          <cell r="Y81">
            <v>0</v>
          </cell>
          <cell r="Z81">
            <v>-158.19999999999999</v>
          </cell>
          <cell r="AA81">
            <v>7204.3629800000008</v>
          </cell>
          <cell r="AB81">
            <v>0</v>
          </cell>
          <cell r="AC81">
            <v>0</v>
          </cell>
          <cell r="AD81">
            <v>572.94111999999996</v>
          </cell>
          <cell r="AE81">
            <v>572.94111999999996</v>
          </cell>
          <cell r="AF81">
            <v>7777.3041000000012</v>
          </cell>
        </row>
        <row r="82">
          <cell r="A82" t="str">
            <v>PAN5295</v>
          </cell>
          <cell r="B82">
            <v>6128.1109999999999</v>
          </cell>
          <cell r="C82">
            <v>13914.566999999999</v>
          </cell>
          <cell r="D82">
            <v>16127.295</v>
          </cell>
          <cell r="E82">
            <v>4591.2430000000004</v>
          </cell>
          <cell r="F82">
            <v>10877.855</v>
          </cell>
          <cell r="G82">
            <v>15401.184999999999</v>
          </cell>
          <cell r="H82">
            <v>5959.1679999999997</v>
          </cell>
          <cell r="I82">
            <v>13134.554</v>
          </cell>
          <cell r="J82">
            <v>21600.272000000001</v>
          </cell>
          <cell r="K82">
            <v>10765.259</v>
          </cell>
          <cell r="L82">
            <v>17291.759999999998</v>
          </cell>
          <cell r="M82">
            <v>11426.574000000001</v>
          </cell>
          <cell r="N82">
            <v>147217.84299999999</v>
          </cell>
          <cell r="O82">
            <v>16349.406000000001</v>
          </cell>
          <cell r="P82">
            <v>10025.156999999999</v>
          </cell>
          <cell r="Q82">
            <v>21578.663</v>
          </cell>
          <cell r="R82">
            <v>19849.786</v>
          </cell>
          <cell r="S82">
            <v>13993.259</v>
          </cell>
          <cell r="T82">
            <v>19660.011999999999</v>
          </cell>
          <cell r="U82">
            <v>13611.699000000001</v>
          </cell>
          <cell r="V82">
            <v>22135.276000000002</v>
          </cell>
          <cell r="W82">
            <v>14658.86022</v>
          </cell>
          <cell r="X82">
            <v>31412.414899999996</v>
          </cell>
          <cell r="Y82">
            <v>19436.51629</v>
          </cell>
          <cell r="Z82">
            <v>14822.458289999999</v>
          </cell>
          <cell r="AA82">
            <v>217533.50770000005</v>
          </cell>
          <cell r="AB82">
            <v>22261.825550000001</v>
          </cell>
          <cell r="AC82">
            <v>16283.804330000001</v>
          </cell>
          <cell r="AD82">
            <v>22501.251789999998</v>
          </cell>
          <cell r="AE82">
            <v>61046.881670000002</v>
          </cell>
          <cell r="AF82">
            <v>425798.23236999993</v>
          </cell>
        </row>
        <row r="83">
          <cell r="A83" t="str">
            <v>PAN5305</v>
          </cell>
          <cell r="B83">
            <v>9158.4809000000005</v>
          </cell>
          <cell r="C83">
            <v>6197.5127200000006</v>
          </cell>
          <cell r="D83">
            <v>5743.1826900000005</v>
          </cell>
          <cell r="E83">
            <v>7624.96994</v>
          </cell>
          <cell r="F83">
            <v>9070.8592400000016</v>
          </cell>
          <cell r="G83">
            <v>16676.770390000001</v>
          </cell>
          <cell r="H83">
            <v>8263.3312100000003</v>
          </cell>
          <cell r="I83">
            <v>9322.1772099999998</v>
          </cell>
          <cell r="J83">
            <v>8933.8871399999989</v>
          </cell>
          <cell r="K83">
            <v>10318.4704</v>
          </cell>
          <cell r="L83">
            <v>10023.292960000001</v>
          </cell>
          <cell r="M83">
            <v>10106.74605</v>
          </cell>
          <cell r="N83">
            <v>111439.68085000002</v>
          </cell>
          <cell r="O83">
            <v>10418.25747</v>
          </cell>
          <cell r="P83">
            <v>10087.505510000001</v>
          </cell>
          <cell r="Q83">
            <v>10774.947459999999</v>
          </cell>
          <cell r="R83">
            <v>7016.3751899999997</v>
          </cell>
          <cell r="S83">
            <v>14421.022000000001</v>
          </cell>
          <cell r="T83">
            <v>8938.8632799999978</v>
          </cell>
          <cell r="U83">
            <v>13865.244140000001</v>
          </cell>
          <cell r="V83">
            <v>11103.52182</v>
          </cell>
          <cell r="W83">
            <v>11766.740590000001</v>
          </cell>
          <cell r="X83">
            <v>11988.99706</v>
          </cell>
          <cell r="Y83">
            <v>12229.183169999998</v>
          </cell>
          <cell r="Z83">
            <v>13906.519539999999</v>
          </cell>
          <cell r="AA83">
            <v>136517.17723</v>
          </cell>
          <cell r="AB83">
            <v>12608.882610000001</v>
          </cell>
          <cell r="AC83">
            <v>11999.64861</v>
          </cell>
          <cell r="AD83">
            <v>7564.6799700000001</v>
          </cell>
          <cell r="AE83">
            <v>32173.211190000002</v>
          </cell>
          <cell r="AF83">
            <v>280130.06926999998</v>
          </cell>
        </row>
        <row r="84">
          <cell r="A84" t="str">
            <v>PAN5310</v>
          </cell>
          <cell r="J84">
            <v>745.85299999999995</v>
          </cell>
          <cell r="K84">
            <v>365.00900000000001</v>
          </cell>
          <cell r="L84">
            <v>0</v>
          </cell>
          <cell r="M84">
            <v>0</v>
          </cell>
          <cell r="N84">
            <v>1110.8620000000001</v>
          </cell>
          <cell r="V84">
            <v>10</v>
          </cell>
          <cell r="W84">
            <v>50</v>
          </cell>
          <cell r="X84">
            <v>0</v>
          </cell>
          <cell r="Y84">
            <v>0</v>
          </cell>
          <cell r="Z84">
            <v>3531.4</v>
          </cell>
          <cell r="AA84">
            <v>3591.4</v>
          </cell>
          <cell r="AB84">
            <v>0</v>
          </cell>
          <cell r="AC84">
            <v>0</v>
          </cell>
          <cell r="AD84">
            <v>100</v>
          </cell>
          <cell r="AE84">
            <v>100</v>
          </cell>
          <cell r="AF84">
            <v>4802.2620000000006</v>
          </cell>
        </row>
        <row r="85">
          <cell r="A85" t="str">
            <v>PAN5315</v>
          </cell>
          <cell r="B85">
            <v>1E-3</v>
          </cell>
          <cell r="C85">
            <v>-1.98763</v>
          </cell>
          <cell r="D85">
            <v>5.7000000000000002E-2</v>
          </cell>
          <cell r="E85">
            <v>0.22599000000000002</v>
          </cell>
          <cell r="F85">
            <v>-0.249</v>
          </cell>
          <cell r="G85">
            <v>1.0391700000000001</v>
          </cell>
          <cell r="H85">
            <v>500.56599999999997</v>
          </cell>
          <cell r="I85">
            <v>897.26754000000005</v>
          </cell>
          <cell r="J85">
            <v>320.19</v>
          </cell>
          <cell r="K85">
            <v>1.8026000000000002</v>
          </cell>
          <cell r="L85">
            <v>589.00599999999997</v>
          </cell>
          <cell r="M85">
            <v>-30.638369999999998</v>
          </cell>
          <cell r="N85">
            <v>2277.2802999999999</v>
          </cell>
          <cell r="O85">
            <v>-5.0999999999999997E-2</v>
          </cell>
          <cell r="P85">
            <v>5.9597499999999997</v>
          </cell>
          <cell r="Q85">
            <v>0.46100000000000002</v>
          </cell>
          <cell r="R85">
            <v>0.99166999999999983</v>
          </cell>
          <cell r="S85">
            <v>10.55879</v>
          </cell>
          <cell r="T85">
            <v>433.74191999999994</v>
          </cell>
          <cell r="U85">
            <v>2.2770800000000002</v>
          </cell>
          <cell r="V85">
            <v>980.48080000000004</v>
          </cell>
          <cell r="W85">
            <v>48.963000000000001</v>
          </cell>
          <cell r="X85">
            <v>9.2061900000000012</v>
          </cell>
          <cell r="Y85">
            <v>79.399059999999992</v>
          </cell>
          <cell r="Z85">
            <v>1489.5430499999998</v>
          </cell>
          <cell r="AA85">
            <v>3061.5313099999998</v>
          </cell>
          <cell r="AB85">
            <v>56.933</v>
          </cell>
          <cell r="AC85">
            <v>1742.88249</v>
          </cell>
          <cell r="AD85">
            <v>1606.308</v>
          </cell>
          <cell r="AE85">
            <v>3406.1234899999999</v>
          </cell>
          <cell r="AF85">
            <v>8744.9350999999988</v>
          </cell>
        </row>
        <row r="86">
          <cell r="A86" t="str">
            <v>PAN5405</v>
          </cell>
          <cell r="M86">
            <v>352362.68</v>
          </cell>
          <cell r="N86">
            <v>352362.68</v>
          </cell>
          <cell r="Z86">
            <v>447853.18157999997</v>
          </cell>
          <cell r="AA86">
            <v>447853.18157999997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800215.86158000003</v>
          </cell>
        </row>
        <row r="87">
          <cell r="A87" t="str">
            <v>PAN6135</v>
          </cell>
          <cell r="B87">
            <v>359826.66200000001</v>
          </cell>
          <cell r="C87">
            <v>319366.16800000001</v>
          </cell>
          <cell r="D87">
            <v>280596.82500000001</v>
          </cell>
          <cell r="E87">
            <v>336068.30799999996</v>
          </cell>
          <cell r="F87">
            <v>326383.32399999996</v>
          </cell>
          <cell r="G87">
            <v>288176.91599999997</v>
          </cell>
          <cell r="H87">
            <v>397459.52833</v>
          </cell>
          <cell r="I87">
            <v>410492.353</v>
          </cell>
          <cell r="J87">
            <v>384694.79499999998</v>
          </cell>
          <cell r="K87">
            <v>412347.81367</v>
          </cell>
          <cell r="L87">
            <v>402691.11233999999</v>
          </cell>
          <cell r="M87">
            <v>381621.47169999999</v>
          </cell>
          <cell r="N87">
            <v>4299725.2770400001</v>
          </cell>
          <cell r="O87">
            <v>420538.44315000001</v>
          </cell>
          <cell r="P87">
            <v>415932.924</v>
          </cell>
          <cell r="Q87">
            <v>404770.83703</v>
          </cell>
          <cell r="R87">
            <v>410195.02635</v>
          </cell>
          <cell r="S87">
            <v>398166.46218999999</v>
          </cell>
          <cell r="T87">
            <v>386868.65841999999</v>
          </cell>
          <cell r="U87">
            <v>499563.99296</v>
          </cell>
          <cell r="V87">
            <v>418709.18197999999</v>
          </cell>
          <cell r="W87">
            <v>457058.48106999998</v>
          </cell>
          <cell r="X87">
            <v>435270.79742000002</v>
          </cell>
          <cell r="Y87">
            <v>441603.44550000003</v>
          </cell>
          <cell r="Z87">
            <v>443269.37849999999</v>
          </cell>
          <cell r="AA87">
            <v>5131947.6285699997</v>
          </cell>
          <cell r="AB87">
            <v>427550.739</v>
          </cell>
          <cell r="AC87">
            <v>393181.56261000002</v>
          </cell>
          <cell r="AD87">
            <v>498374.79842000001</v>
          </cell>
          <cell r="AE87">
            <v>1319107.1000299999</v>
          </cell>
          <cell r="AF87">
            <v>10750780.00564</v>
          </cell>
        </row>
        <row r="88">
          <cell r="A88" t="str">
            <v>Total general</v>
          </cell>
          <cell r="B88">
            <v>0</v>
          </cell>
          <cell r="C88">
            <v>9.8953023552894592E-10</v>
          </cell>
          <cell r="D88">
            <v>-1.6880221664905548E-9</v>
          </cell>
          <cell r="E88">
            <v>-6.4028427004814148E-10</v>
          </cell>
          <cell r="F88">
            <v>0</v>
          </cell>
          <cell r="G88">
            <v>0</v>
          </cell>
          <cell r="H88">
            <v>-2.9103830456733704E-9</v>
          </cell>
          <cell r="I88">
            <v>-1.3969838619232178E-9</v>
          </cell>
          <cell r="J88">
            <v>0</v>
          </cell>
          <cell r="K88">
            <v>1.862645149230957E-9</v>
          </cell>
          <cell r="L88">
            <v>0</v>
          </cell>
          <cell r="M88">
            <v>-1.2223608791828156E-9</v>
          </cell>
          <cell r="N88">
            <v>-4.6566128730773926E-9</v>
          </cell>
          <cell r="O88">
            <v>0</v>
          </cell>
          <cell r="P88">
            <v>6.9849193096160889E-10</v>
          </cell>
          <cell r="Q88">
            <v>6.9849193096160889E-10</v>
          </cell>
          <cell r="R88">
            <v>8.149072527885437E-10</v>
          </cell>
          <cell r="S88">
            <v>0</v>
          </cell>
          <cell r="T88">
            <v>3.0267983675003052E-9</v>
          </cell>
          <cell r="U88">
            <v>-9.3132257461547852E-10</v>
          </cell>
          <cell r="V88">
            <v>1.6298145055770874E-9</v>
          </cell>
          <cell r="W88">
            <v>-2.9685907065868378E-9</v>
          </cell>
          <cell r="X88">
            <v>0</v>
          </cell>
          <cell r="Y88">
            <v>-1.3387762010097504E-9</v>
          </cell>
          <cell r="Z88">
            <v>-2.3283064365386963E-9</v>
          </cell>
          <cell r="AA88">
            <v>-2.7939677238464355E-9</v>
          </cell>
          <cell r="AB88">
            <v>2.0954757928848267E-9</v>
          </cell>
          <cell r="AC88">
            <v>7.5669959187507629E-10</v>
          </cell>
          <cell r="AD88">
            <v>-2.2118911147117615E-9</v>
          </cell>
          <cell r="AE88">
            <v>9.3132257461547852E-10</v>
          </cell>
          <cell r="AF88">
            <v>-1.3038516044616699E-8</v>
          </cell>
        </row>
        <row r="164">
          <cell r="AC164">
            <v>0</v>
          </cell>
        </row>
        <row r="165">
          <cell r="AC165">
            <v>0</v>
          </cell>
        </row>
        <row r="166">
          <cell r="AC166">
            <v>0</v>
          </cell>
        </row>
        <row r="167">
          <cell r="AC167">
            <v>0</v>
          </cell>
        </row>
        <row r="168">
          <cell r="AC168">
            <v>0</v>
          </cell>
        </row>
        <row r="169">
          <cell r="AC169">
            <v>0</v>
          </cell>
        </row>
        <row r="170">
          <cell r="AC170">
            <v>0</v>
          </cell>
        </row>
        <row r="171">
          <cell r="AC171">
            <v>0</v>
          </cell>
        </row>
        <row r="172">
          <cell r="AC172">
            <v>0</v>
          </cell>
        </row>
        <row r="173">
          <cell r="AC173">
            <v>0</v>
          </cell>
        </row>
        <row r="174">
          <cell r="AC174">
            <v>0</v>
          </cell>
        </row>
        <row r="175">
          <cell r="AC175">
            <v>0</v>
          </cell>
        </row>
        <row r="176">
          <cell r="AC176">
            <v>0</v>
          </cell>
        </row>
        <row r="177">
          <cell r="AC177">
            <v>0</v>
          </cell>
        </row>
        <row r="178">
          <cell r="AC178">
            <v>0</v>
          </cell>
        </row>
        <row r="179">
          <cell r="AC179">
            <v>0</v>
          </cell>
        </row>
        <row r="180">
          <cell r="AC180">
            <v>0</v>
          </cell>
        </row>
        <row r="181">
          <cell r="AC181">
            <v>0</v>
          </cell>
        </row>
        <row r="182">
          <cell r="AC182">
            <v>0</v>
          </cell>
        </row>
        <row r="183">
          <cell r="AC183">
            <v>0</v>
          </cell>
        </row>
        <row r="184">
          <cell r="AC184">
            <v>0</v>
          </cell>
        </row>
        <row r="185">
          <cell r="AC185">
            <v>0</v>
          </cell>
        </row>
        <row r="186">
          <cell r="AC186">
            <v>0</v>
          </cell>
        </row>
        <row r="187">
          <cell r="AC187">
            <v>0</v>
          </cell>
        </row>
        <row r="188">
          <cell r="AC188">
            <v>0</v>
          </cell>
        </row>
        <row r="189">
          <cell r="AC189">
            <v>0</v>
          </cell>
        </row>
        <row r="190">
          <cell r="AC190">
            <v>0</v>
          </cell>
        </row>
        <row r="191">
          <cell r="AC191">
            <v>0</v>
          </cell>
        </row>
        <row r="192">
          <cell r="AC192">
            <v>0</v>
          </cell>
        </row>
        <row r="193">
          <cell r="AC193">
            <v>0</v>
          </cell>
        </row>
        <row r="194">
          <cell r="AC194">
            <v>0</v>
          </cell>
        </row>
        <row r="195">
          <cell r="AC195">
            <v>0</v>
          </cell>
        </row>
        <row r="196">
          <cell r="AC196">
            <v>0</v>
          </cell>
        </row>
        <row r="197">
          <cell r="AC197">
            <v>0</v>
          </cell>
        </row>
        <row r="198">
          <cell r="AC198">
            <v>0</v>
          </cell>
        </row>
        <row r="199">
          <cell r="AC199">
            <v>0</v>
          </cell>
        </row>
        <row r="200">
          <cell r="AC200">
            <v>0</v>
          </cell>
        </row>
        <row r="201">
          <cell r="AC201">
            <v>0</v>
          </cell>
        </row>
        <row r="202">
          <cell r="AC202">
            <v>0</v>
          </cell>
        </row>
        <row r="203">
          <cell r="AC203">
            <v>0</v>
          </cell>
        </row>
        <row r="204">
          <cell r="AC204">
            <v>0</v>
          </cell>
        </row>
        <row r="205">
          <cell r="AC205">
            <v>0</v>
          </cell>
        </row>
        <row r="206">
          <cell r="AC206">
            <v>0</v>
          </cell>
        </row>
        <row r="207">
          <cell r="AC207">
            <v>0</v>
          </cell>
        </row>
        <row r="208">
          <cell r="AC208">
            <v>0</v>
          </cell>
        </row>
        <row r="209">
          <cell r="AC209">
            <v>0</v>
          </cell>
        </row>
        <row r="210">
          <cell r="AC210">
            <v>0</v>
          </cell>
        </row>
        <row r="211">
          <cell r="AC211">
            <v>0</v>
          </cell>
        </row>
        <row r="212">
          <cell r="AC212">
            <v>0</v>
          </cell>
        </row>
        <row r="213">
          <cell r="AC213">
            <v>0</v>
          </cell>
        </row>
        <row r="214">
          <cell r="AC214">
            <v>0</v>
          </cell>
        </row>
        <row r="215">
          <cell r="AC215">
            <v>0</v>
          </cell>
        </row>
        <row r="216">
          <cell r="AC216">
            <v>0</v>
          </cell>
        </row>
        <row r="217">
          <cell r="AC217">
            <v>0</v>
          </cell>
        </row>
        <row r="218">
          <cell r="AC218">
            <v>0</v>
          </cell>
        </row>
        <row r="219">
          <cell r="AC219">
            <v>0</v>
          </cell>
        </row>
        <row r="220">
          <cell r="AC220">
            <v>0</v>
          </cell>
        </row>
        <row r="221">
          <cell r="AC221">
            <v>0</v>
          </cell>
        </row>
        <row r="222">
          <cell r="AC222">
            <v>0</v>
          </cell>
        </row>
        <row r="223">
          <cell r="AC223">
            <v>0</v>
          </cell>
        </row>
        <row r="224">
          <cell r="AC224">
            <v>0</v>
          </cell>
        </row>
        <row r="225">
          <cell r="AC225">
            <v>0</v>
          </cell>
        </row>
        <row r="226">
          <cell r="AC226">
            <v>0</v>
          </cell>
        </row>
        <row r="227">
          <cell r="AC227">
            <v>0</v>
          </cell>
        </row>
        <row r="228">
          <cell r="AC228">
            <v>0</v>
          </cell>
        </row>
        <row r="229">
          <cell r="AC229">
            <v>0</v>
          </cell>
        </row>
        <row r="230">
          <cell r="AC230">
            <v>0</v>
          </cell>
        </row>
        <row r="231">
          <cell r="AC231">
            <v>0</v>
          </cell>
        </row>
        <row r="232">
          <cell r="AC232">
            <v>0</v>
          </cell>
        </row>
        <row r="233">
          <cell r="AC233">
            <v>0</v>
          </cell>
        </row>
        <row r="234">
          <cell r="AC234">
            <v>0</v>
          </cell>
        </row>
        <row r="235">
          <cell r="AC235">
            <v>0</v>
          </cell>
        </row>
        <row r="236">
          <cell r="AC23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"/>
      <sheetName val="Temario Ratios-NOF"/>
      <sheetName val="EFE"/>
      <sheetName val="Ejercicio 2"/>
      <sheetName val="IPC"/>
      <sheetName val="BCE"/>
      <sheetName val="P Y G"/>
      <sheetName val="Dr Tarud"/>
      <sheetName val="P Y G Dr"/>
      <sheetName val="Valo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G"/>
      <sheetName val="BG (2)"/>
      <sheetName val="Consolidado"/>
      <sheetName val="TBG cuenta"/>
      <sheetName val="Resultado Opticas"/>
      <sheetName val="Tabla BG 2"/>
      <sheetName val="BG 2"/>
      <sheetName val="Tabla BG 4"/>
      <sheetName val="Tabla BG 8"/>
      <sheetName val="BG 4"/>
      <sheetName val="TBG G Cuen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6">
          <cell r="A6" t="str">
            <v>COC</v>
          </cell>
          <cell r="B6">
            <v>-2.4563178158132359E-9</v>
          </cell>
          <cell r="C6">
            <v>-1.0250005288980901E-9</v>
          </cell>
          <cell r="D6">
            <v>-2.3328539100475609E-10</v>
          </cell>
          <cell r="E6">
            <v>-8.0945028457790613E-10</v>
          </cell>
          <cell r="F6">
            <v>6.7848304752260447E-10</v>
          </cell>
          <cell r="G6">
            <v>6.4346750150434673E-10</v>
          </cell>
          <cell r="H6">
            <v>1.0222720447927713E-9</v>
          </cell>
          <cell r="I6">
            <v>-2.4692781153135002E-10</v>
          </cell>
          <cell r="J6">
            <v>-7.2759576141834259E-11</v>
          </cell>
          <cell r="K6">
            <v>-2.1941559680271894E-10</v>
          </cell>
          <cell r="L6">
            <v>-3.1832314562052488E-12</v>
          </cell>
          <cell r="M6">
            <v>1.0595613275654614E-9</v>
          </cell>
          <cell r="N6">
            <v>-1.6625563148409128E-9</v>
          </cell>
          <cell r="O6">
            <v>3.8949110603425652E-10</v>
          </cell>
          <cell r="P6">
            <v>1.9963408703915775E-9</v>
          </cell>
          <cell r="Q6">
            <v>5.056790541857481E-10</v>
          </cell>
          <cell r="R6">
            <v>1.1928023013751954E-9</v>
          </cell>
          <cell r="S6">
            <v>2.6334419089835137E-9</v>
          </cell>
          <cell r="T6">
            <v>1.8383161659585312E-10</v>
          </cell>
          <cell r="U6">
            <v>1.7817001207731664E-9</v>
          </cell>
          <cell r="V6">
            <v>-3.7925929063931108E-10</v>
          </cell>
          <cell r="W6">
            <v>7.0122041506692767E-10</v>
          </cell>
          <cell r="X6">
            <v>3.1195668270811439E-9</v>
          </cell>
          <cell r="Y6">
            <v>6.9394445745274425E-10</v>
          </cell>
          <cell r="Z6">
            <v>1.3096723705530167E-10</v>
          </cell>
          <cell r="AA6">
            <v>1.2949726624356117E-8</v>
          </cell>
        </row>
        <row r="7">
          <cell r="A7" t="str">
            <v>COC1105</v>
          </cell>
          <cell r="B7">
            <v>-1676.6590000000142</v>
          </cell>
          <cell r="C7">
            <v>-957.29699999999139</v>
          </cell>
          <cell r="D7">
            <v>-6726.2860000000219</v>
          </cell>
          <cell r="E7">
            <v>-4099.6040000000212</v>
          </cell>
          <cell r="F7">
            <v>1065.612999999983</v>
          </cell>
          <cell r="G7">
            <v>2922.3539999999921</v>
          </cell>
          <cell r="H7">
            <v>5103.2259999999951</v>
          </cell>
          <cell r="I7">
            <v>11400.899999999994</v>
          </cell>
          <cell r="J7">
            <v>-8613.6959999999963</v>
          </cell>
          <cell r="K7">
            <v>3539.6609999999928</v>
          </cell>
          <cell r="L7">
            <v>172.02799999999115</v>
          </cell>
          <cell r="M7">
            <v>8163.9640000000072</v>
          </cell>
          <cell r="N7">
            <v>10294.203999999911</v>
          </cell>
          <cell r="O7">
            <v>575.20199999999022</v>
          </cell>
          <cell r="P7">
            <v>-2145.2425300000177</v>
          </cell>
          <cell r="Q7">
            <v>495.40300000002026</v>
          </cell>
          <cell r="R7">
            <v>1217.3649999999907</v>
          </cell>
          <cell r="S7">
            <v>9650.6759999999776</v>
          </cell>
          <cell r="T7">
            <v>4021.7969999999623</v>
          </cell>
          <cell r="U7">
            <v>-5251.5128799999948</v>
          </cell>
          <cell r="V7">
            <v>-4897.0950000000012</v>
          </cell>
          <cell r="W7">
            <v>387.30000000000291</v>
          </cell>
          <cell r="X7">
            <v>2640.4470000000001</v>
          </cell>
          <cell r="Y7">
            <v>3388.8940000000002</v>
          </cell>
          <cell r="Z7">
            <v>-30886.109479999985</v>
          </cell>
          <cell r="AA7">
            <v>-20802.875890000054</v>
          </cell>
        </row>
        <row r="8">
          <cell r="A8" t="str">
            <v>COC1110</v>
          </cell>
          <cell r="B8">
            <v>-42993.490330000059</v>
          </cell>
          <cell r="C8">
            <v>-35478.658339999965</v>
          </cell>
          <cell r="D8">
            <v>40160.440839999821</v>
          </cell>
          <cell r="E8">
            <v>-15643.846989999991</v>
          </cell>
          <cell r="F8">
            <v>26341.340409999946</v>
          </cell>
          <cell r="G8">
            <v>-32605.110499999952</v>
          </cell>
          <cell r="H8">
            <v>16183.491200000048</v>
          </cell>
          <cell r="I8">
            <v>13261.664699999965</v>
          </cell>
          <cell r="J8">
            <v>-30755.312030000146</v>
          </cell>
          <cell r="K8">
            <v>-14385.859999999986</v>
          </cell>
          <cell r="L8">
            <v>41239.621580000035</v>
          </cell>
          <cell r="M8">
            <v>-17838.457720000064</v>
          </cell>
          <cell r="N8">
            <v>-52514.177180000348</v>
          </cell>
          <cell r="O8">
            <v>-27799.480890000006</v>
          </cell>
          <cell r="P8">
            <v>-109.80881000007503</v>
          </cell>
          <cell r="Q8">
            <v>21378.21603999997</v>
          </cell>
          <cell r="R8">
            <v>-37278.441980000003</v>
          </cell>
          <cell r="S8">
            <v>37935.389799999888</v>
          </cell>
          <cell r="T8">
            <v>757.11965999996755</v>
          </cell>
          <cell r="U8">
            <v>-2630.0118800000055</v>
          </cell>
          <cell r="V8">
            <v>-15782.876590000116</v>
          </cell>
          <cell r="W8">
            <v>4037.4164599999785</v>
          </cell>
          <cell r="X8">
            <v>12173.084900000016</v>
          </cell>
          <cell r="Y8">
            <v>26905.219639999908</v>
          </cell>
          <cell r="Z8">
            <v>-12832.37089999998</v>
          </cell>
          <cell r="AA8">
            <v>6753.4554499995429</v>
          </cell>
        </row>
        <row r="9">
          <cell r="A9" t="str">
            <v>COC1120</v>
          </cell>
          <cell r="B9">
            <v>-2822.3601200000012</v>
          </cell>
          <cell r="C9">
            <v>194.6177400000015</v>
          </cell>
          <cell r="D9">
            <v>-320.50309000000016</v>
          </cell>
          <cell r="E9">
            <v>-7.1177800000004936</v>
          </cell>
          <cell r="F9">
            <v>622.91917000000103</v>
          </cell>
          <cell r="G9">
            <v>-586.75302999999985</v>
          </cell>
          <cell r="H9">
            <v>-54.332570000002306</v>
          </cell>
          <cell r="I9">
            <v>2566.196950000005</v>
          </cell>
          <cell r="J9">
            <v>-2434.3231799999994</v>
          </cell>
          <cell r="K9">
            <v>-69.638910000001488</v>
          </cell>
          <cell r="L9">
            <v>-113.93389999999999</v>
          </cell>
          <cell r="M9">
            <v>1597.7797999999893</v>
          </cell>
          <cell r="N9">
            <v>-1427.448920000008</v>
          </cell>
          <cell r="O9">
            <v>-1507.7920200000008</v>
          </cell>
          <cell r="P9">
            <v>687.112589999997</v>
          </cell>
          <cell r="Q9">
            <v>69.514510000000882</v>
          </cell>
          <cell r="R9">
            <v>-843.03873000000021</v>
          </cell>
          <cell r="S9">
            <v>555.71528000000399</v>
          </cell>
          <cell r="T9">
            <v>-543.91692999999213</v>
          </cell>
          <cell r="U9">
            <v>126.95713000000251</v>
          </cell>
          <cell r="V9">
            <v>-125.70437999999922</v>
          </cell>
          <cell r="W9">
            <v>470.25162999999884</v>
          </cell>
          <cell r="X9">
            <v>-438.88110999999844</v>
          </cell>
          <cell r="Y9">
            <v>133.83976000000075</v>
          </cell>
          <cell r="Z9">
            <v>-185.32990999999311</v>
          </cell>
          <cell r="AA9">
            <v>-1601.2721799999799</v>
          </cell>
        </row>
        <row r="10">
          <cell r="A10" t="str">
            <v>COC1305</v>
          </cell>
          <cell r="B10">
            <v>-4223.3339900000719</v>
          </cell>
          <cell r="C10">
            <v>16809.843999999925</v>
          </cell>
          <cell r="D10">
            <v>8512.0788999999641</v>
          </cell>
          <cell r="E10">
            <v>-27348.675990000018</v>
          </cell>
          <cell r="F10">
            <v>-6980.2079800000647</v>
          </cell>
          <cell r="G10">
            <v>2037.4396699999925</v>
          </cell>
          <cell r="H10">
            <v>2709.0439900000347</v>
          </cell>
          <cell r="I10">
            <v>-4981.7795800000895</v>
          </cell>
          <cell r="J10">
            <v>4314.4545900000958</v>
          </cell>
          <cell r="K10">
            <v>-40808.851999999955</v>
          </cell>
          <cell r="L10">
            <v>71751.517820000066</v>
          </cell>
          <cell r="M10">
            <v>18289.266080000089</v>
          </cell>
          <cell r="N10">
            <v>40080.795509999967</v>
          </cell>
          <cell r="O10">
            <v>-53965.304900000105</v>
          </cell>
          <cell r="P10">
            <v>-16696.808999999892</v>
          </cell>
          <cell r="Q10">
            <v>55217.825200000079</v>
          </cell>
          <cell r="R10">
            <v>7693.2648000000045</v>
          </cell>
          <cell r="S10">
            <v>-31339.719790000003</v>
          </cell>
          <cell r="T10">
            <v>17676.327830000082</v>
          </cell>
          <cell r="U10">
            <v>8262.594700000016</v>
          </cell>
          <cell r="V10">
            <v>-12421.195000000065</v>
          </cell>
          <cell r="W10">
            <v>-17818.27986000001</v>
          </cell>
          <cell r="X10">
            <v>11705.765660000034</v>
          </cell>
          <cell r="Y10">
            <v>50091.849100000109</v>
          </cell>
          <cell r="Z10">
            <v>-16860.462249999982</v>
          </cell>
          <cell r="AA10">
            <v>1545.8564900002675</v>
          </cell>
        </row>
        <row r="11">
          <cell r="A11" t="str">
            <v>COC1310</v>
          </cell>
          <cell r="B11">
            <v>26402.764000000003</v>
          </cell>
          <cell r="C11">
            <v>45540.462</v>
          </cell>
          <cell r="D11">
            <v>-93129.383999999991</v>
          </cell>
          <cell r="E11">
            <v>42567.447999999997</v>
          </cell>
          <cell r="F11">
            <v>28651.569000000003</v>
          </cell>
          <cell r="G11">
            <v>17247.377</v>
          </cell>
          <cell r="H11">
            <v>-12867.189999999995</v>
          </cell>
          <cell r="I11">
            <v>16864.957000000002</v>
          </cell>
          <cell r="J11">
            <v>25187.264000000003</v>
          </cell>
          <cell r="K11">
            <v>19211.531000000003</v>
          </cell>
          <cell r="L11">
            <v>38188.548999999999</v>
          </cell>
          <cell r="M11">
            <v>-8615.2472799999887</v>
          </cell>
          <cell r="N11">
            <v>145250.09972000003</v>
          </cell>
          <cell r="O11">
            <v>47863.917000000001</v>
          </cell>
          <cell r="P11">
            <v>34374.881999999998</v>
          </cell>
          <cell r="Q11">
            <v>55473.964</v>
          </cell>
          <cell r="R11">
            <v>46444.1</v>
          </cell>
          <cell r="S11">
            <v>73451.388999999996</v>
          </cell>
          <cell r="T11">
            <v>63324.732999999993</v>
          </cell>
          <cell r="U11">
            <v>44568.531000000003</v>
          </cell>
          <cell r="V11">
            <v>30192.353999999999</v>
          </cell>
          <cell r="W11">
            <v>29722.984</v>
          </cell>
          <cell r="X11">
            <v>-25217.820999999996</v>
          </cell>
          <cell r="Y11">
            <v>27690.131000000001</v>
          </cell>
          <cell r="Z11">
            <v>-30727.910359999994</v>
          </cell>
          <cell r="AA11">
            <v>397161.25364000001</v>
          </cell>
        </row>
        <row r="12">
          <cell r="A12" t="str">
            <v>COC1330</v>
          </cell>
          <cell r="B12">
            <v>-634.4</v>
          </cell>
          <cell r="C12">
            <v>6092.5970000000007</v>
          </cell>
          <cell r="D12">
            <v>-9784.4050000000007</v>
          </cell>
          <cell r="E12">
            <v>638.83799999999997</v>
          </cell>
          <cell r="F12">
            <v>421.84</v>
          </cell>
          <cell r="G12">
            <v>-220.78499999999985</v>
          </cell>
          <cell r="H12">
            <v>-312.94500000000005</v>
          </cell>
          <cell r="I12">
            <v>-1662.6878899999999</v>
          </cell>
          <cell r="J12">
            <v>0</v>
          </cell>
          <cell r="K12">
            <v>-50.515999999999998</v>
          </cell>
          <cell r="L12">
            <v>0</v>
          </cell>
          <cell r="M12">
            <v>-6091.9185200000002</v>
          </cell>
          <cell r="N12">
            <v>-11604.382409999998</v>
          </cell>
          <cell r="O12">
            <v>636.5</v>
          </cell>
          <cell r="P12">
            <v>-636.5</v>
          </cell>
          <cell r="Q12">
            <v>0</v>
          </cell>
          <cell r="R12">
            <v>0</v>
          </cell>
          <cell r="S12">
            <v>6875.5060000000003</v>
          </cell>
          <cell r="T12">
            <v>-2153.0509999999999</v>
          </cell>
          <cell r="U12">
            <v>-295.37900000000002</v>
          </cell>
          <cell r="V12">
            <v>-4381.7219999999998</v>
          </cell>
          <cell r="W12">
            <v>1346.2270000000001</v>
          </cell>
          <cell r="X12">
            <v>1236.3499999999999</v>
          </cell>
          <cell r="Y12">
            <v>-13378.07919</v>
          </cell>
          <cell r="Z12">
            <v>-602.69339999999988</v>
          </cell>
          <cell r="AA12">
            <v>-11352.84159</v>
          </cell>
        </row>
        <row r="13">
          <cell r="A13" t="str">
            <v>COC1355</v>
          </cell>
          <cell r="B13">
            <v>17147.309870000001</v>
          </cell>
          <cell r="C13">
            <v>10140.162810000002</v>
          </cell>
          <cell r="D13">
            <v>13625.40778</v>
          </cell>
          <cell r="E13">
            <v>12356.747879999999</v>
          </cell>
          <cell r="F13">
            <v>18893.376789999998</v>
          </cell>
          <cell r="G13">
            <v>7825.67868</v>
          </cell>
          <cell r="H13">
            <v>16436.211859999999</v>
          </cell>
          <cell r="I13">
            <v>10276.970109999998</v>
          </cell>
          <cell r="J13">
            <v>15707.74445</v>
          </cell>
          <cell r="K13">
            <v>10066.99195</v>
          </cell>
          <cell r="L13">
            <v>14953.10871</v>
          </cell>
          <cell r="M13">
            <v>-37182.228960000008</v>
          </cell>
          <cell r="N13">
            <v>110247.48192999998</v>
          </cell>
          <cell r="O13">
            <v>17628.926600000003</v>
          </cell>
          <cell r="P13">
            <v>10159.065889999998</v>
          </cell>
          <cell r="Q13">
            <v>12564.853050000002</v>
          </cell>
          <cell r="R13">
            <v>9395.7992699999995</v>
          </cell>
          <cell r="S13">
            <v>32685.666590000001</v>
          </cell>
          <cell r="T13">
            <v>17856.506020000001</v>
          </cell>
          <cell r="U13">
            <v>23910.528739999998</v>
          </cell>
          <cell r="V13">
            <v>13642.716930000001</v>
          </cell>
          <cell r="W13">
            <v>19942.176960000001</v>
          </cell>
          <cell r="X13">
            <v>13984.54953</v>
          </cell>
          <cell r="Y13">
            <v>17842.821399999997</v>
          </cell>
          <cell r="Z13">
            <v>17707.984270000001</v>
          </cell>
          <cell r="AA13">
            <v>207321.59525000001</v>
          </cell>
        </row>
        <row r="14">
          <cell r="A14" t="str">
            <v>COC1365</v>
          </cell>
          <cell r="B14">
            <v>-76</v>
          </cell>
          <cell r="C14">
            <v>143</v>
          </cell>
          <cell r="D14">
            <v>-791.16599999999994</v>
          </cell>
          <cell r="E14">
            <v>-431.88900000000001</v>
          </cell>
          <cell r="F14">
            <v>1564.8639999999998</v>
          </cell>
          <cell r="G14">
            <v>-1050.0340000000001</v>
          </cell>
          <cell r="H14">
            <v>422.86500000000001</v>
          </cell>
          <cell r="I14">
            <v>-94.322999999999979</v>
          </cell>
          <cell r="J14">
            <v>120.55799999999999</v>
          </cell>
          <cell r="K14">
            <v>-617.76400000000012</v>
          </cell>
          <cell r="L14">
            <v>-507.20100000000002</v>
          </cell>
          <cell r="M14">
            <v>578.80200000000013</v>
          </cell>
          <cell r="N14">
            <v>-738.28800000000001</v>
          </cell>
          <cell r="O14">
            <v>895.72900000000004</v>
          </cell>
          <cell r="P14">
            <v>-461.44700000000006</v>
          </cell>
          <cell r="Q14">
            <v>765.02199999999993</v>
          </cell>
          <cell r="R14">
            <v>225.87099999999987</v>
          </cell>
          <cell r="S14">
            <v>-435.80200000000002</v>
          </cell>
          <cell r="T14">
            <v>-465.91900000000004</v>
          </cell>
          <cell r="U14">
            <v>-272.64300000000003</v>
          </cell>
          <cell r="V14">
            <v>1125.56</v>
          </cell>
          <cell r="W14">
            <v>-1056.6690000000001</v>
          </cell>
          <cell r="X14">
            <v>-209.625</v>
          </cell>
          <cell r="Y14">
            <v>-498.97</v>
          </cell>
          <cell r="Z14">
            <v>719.42</v>
          </cell>
          <cell r="AA14">
            <v>330.52699999999948</v>
          </cell>
        </row>
        <row r="15">
          <cell r="A15" t="str">
            <v>COC1370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</row>
        <row r="16">
          <cell r="A16" t="str">
            <v>COC1380</v>
          </cell>
          <cell r="B16">
            <v>-478.82381999999961</v>
          </cell>
          <cell r="C16">
            <v>-198.56765000000087</v>
          </cell>
          <cell r="D16">
            <v>-217.21248999999989</v>
          </cell>
          <cell r="E16">
            <v>-75.444199999998091</v>
          </cell>
          <cell r="F16">
            <v>-437.76089999999749</v>
          </cell>
          <cell r="G16">
            <v>617.63463000000229</v>
          </cell>
          <cell r="H16">
            <v>-453.63864999999714</v>
          </cell>
          <cell r="I16">
            <v>-7.5072600000021339</v>
          </cell>
          <cell r="J16">
            <v>145.88014999999723</v>
          </cell>
          <cell r="K16">
            <v>144.09367999999995</v>
          </cell>
          <cell r="L16">
            <v>-446.46255000000019</v>
          </cell>
          <cell r="M16">
            <v>1769.9046999999991</v>
          </cell>
          <cell r="N16">
            <v>362.09564000000319</v>
          </cell>
          <cell r="O16">
            <v>-784.49983000000066</v>
          </cell>
          <cell r="P16">
            <v>-368.27208999999857</v>
          </cell>
          <cell r="Q16">
            <v>-246.11442999999781</v>
          </cell>
          <cell r="R16">
            <v>-157.32172999999966</v>
          </cell>
          <cell r="S16">
            <v>907.37748000002466</v>
          </cell>
          <cell r="T16">
            <v>-1121.0740999999998</v>
          </cell>
          <cell r="U16">
            <v>-2900.6312299999991</v>
          </cell>
          <cell r="V16">
            <v>3282.3933700000016</v>
          </cell>
          <cell r="W16">
            <v>-271.85117000000173</v>
          </cell>
          <cell r="X16">
            <v>1934.7031399999978</v>
          </cell>
          <cell r="Y16">
            <v>3375.2287899999992</v>
          </cell>
          <cell r="Z16">
            <v>-5894.831549999999</v>
          </cell>
          <cell r="AA16">
            <v>-2244.893349999973</v>
          </cell>
        </row>
        <row r="17">
          <cell r="A17" t="str">
            <v>COC1399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</row>
        <row r="18">
          <cell r="A18" t="str">
            <v>COC1435</v>
          </cell>
          <cell r="B18">
            <v>-33833.250400000019</v>
          </cell>
          <cell r="C18">
            <v>-11777.381000000052</v>
          </cell>
          <cell r="D18">
            <v>10379.794889999961</v>
          </cell>
          <cell r="E18">
            <v>34561.120639999979</v>
          </cell>
          <cell r="F18">
            <v>13512.300860000018</v>
          </cell>
          <cell r="G18">
            <v>29402.994420000003</v>
          </cell>
          <cell r="H18">
            <v>-2830.373179999995</v>
          </cell>
          <cell r="I18">
            <v>-27021.09852</v>
          </cell>
          <cell r="J18">
            <v>50731.447480000032</v>
          </cell>
          <cell r="K18">
            <v>45784.992069999978</v>
          </cell>
          <cell r="L18">
            <v>-7791.5208800000255</v>
          </cell>
          <cell r="M18">
            <v>-10791.773709999979</v>
          </cell>
          <cell r="N18">
            <v>90327.2526699999</v>
          </cell>
          <cell r="O18">
            <v>-44743.853070000012</v>
          </cell>
          <cell r="P18">
            <v>-39274.305660000013</v>
          </cell>
          <cell r="Q18">
            <v>46021.803439999989</v>
          </cell>
          <cell r="R18">
            <v>49872.352550000011</v>
          </cell>
          <cell r="S18">
            <v>29134.558309999993</v>
          </cell>
          <cell r="T18">
            <v>-16772.902650000004</v>
          </cell>
          <cell r="U18">
            <v>-25285.582470000023</v>
          </cell>
          <cell r="V18">
            <v>19502.821420000051</v>
          </cell>
          <cell r="W18">
            <v>-9474.6451900000102</v>
          </cell>
          <cell r="X18">
            <v>125244.28443</v>
          </cell>
          <cell r="Y18">
            <v>43220.971579999954</v>
          </cell>
          <cell r="Z18">
            <v>-25843.191259999992</v>
          </cell>
          <cell r="AA18">
            <v>151602.31142999994</v>
          </cell>
        </row>
        <row r="19">
          <cell r="A19" t="str">
            <v>COC1465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-107888.486</v>
          </cell>
          <cell r="Y19">
            <v>0</v>
          </cell>
          <cell r="Z19">
            <v>-41286</v>
          </cell>
          <cell r="AA19">
            <v>-149174.486</v>
          </cell>
        </row>
        <row r="20">
          <cell r="A20" t="str">
            <v>COC1504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-388103.11667000002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-388103.11667000002</v>
          </cell>
        </row>
        <row r="21">
          <cell r="A21" t="str">
            <v>COC1516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-66896.883330000011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-66896.883330000011</v>
          </cell>
        </row>
        <row r="22">
          <cell r="A22" t="str">
            <v>COC1518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</row>
        <row r="23">
          <cell r="A23" t="str">
            <v>COC1520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6902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6902</v>
          </cell>
        </row>
        <row r="24">
          <cell r="A24" t="str">
            <v>COC1524</v>
          </cell>
          <cell r="B24">
            <v>113.44499999999999</v>
          </cell>
          <cell r="C24">
            <v>0</v>
          </cell>
          <cell r="D24">
            <v>0</v>
          </cell>
          <cell r="E24">
            <v>0</v>
          </cell>
          <cell r="F24">
            <v>41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154.44499999999999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1399.66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1399.66</v>
          </cell>
        </row>
        <row r="25">
          <cell r="A25" t="str">
            <v>COC1528</v>
          </cell>
          <cell r="B25">
            <v>362.75900000000001</v>
          </cell>
          <cell r="C25">
            <v>0</v>
          </cell>
          <cell r="D25">
            <v>3376.3270000000002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699.9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4438.9859999999999</v>
          </cell>
          <cell r="O25">
            <v>3482.2829999999999</v>
          </cell>
          <cell r="P25">
            <v>2399.9</v>
          </cell>
          <cell r="Q25">
            <v>0</v>
          </cell>
          <cell r="R25">
            <v>0</v>
          </cell>
          <cell r="S25">
            <v>369.9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343.91</v>
          </cell>
          <cell r="AA25">
            <v>6595.9929999999995</v>
          </cell>
        </row>
        <row r="26">
          <cell r="A26" t="str">
            <v>COC1532</v>
          </cell>
          <cell r="B26">
            <v>1306.9059999999999</v>
          </cell>
          <cell r="C26">
            <v>0</v>
          </cell>
          <cell r="D26">
            <v>65788.361000000004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3623.5</v>
          </cell>
          <cell r="K26">
            <v>0</v>
          </cell>
          <cell r="L26">
            <v>3486</v>
          </cell>
          <cell r="M26">
            <v>4531.8</v>
          </cell>
          <cell r="N26">
            <v>78736.56700000001</v>
          </cell>
          <cell r="O26">
            <v>226.09999999999991</v>
          </cell>
          <cell r="P26">
            <v>4641</v>
          </cell>
          <cell r="Q26">
            <v>202895</v>
          </cell>
          <cell r="R26">
            <v>0</v>
          </cell>
          <cell r="S26">
            <v>0</v>
          </cell>
          <cell r="T26">
            <v>-202895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3611.5210000000002</v>
          </cell>
          <cell r="Z26">
            <v>0</v>
          </cell>
          <cell r="AA26">
            <v>8478.6210000000065</v>
          </cell>
        </row>
        <row r="27">
          <cell r="A27" t="str">
            <v>COC1592</v>
          </cell>
          <cell r="B27">
            <v>-6279.1344800000006</v>
          </cell>
          <cell r="C27">
            <v>-5927.1560300000001</v>
          </cell>
          <cell r="D27">
            <v>-9303.4830300000012</v>
          </cell>
          <cell r="E27">
            <v>-6146.4505599999993</v>
          </cell>
          <cell r="F27">
            <v>-6138.6066999999985</v>
          </cell>
          <cell r="G27">
            <v>-6150.1421799999989</v>
          </cell>
          <cell r="H27">
            <v>-6150.1421799999989</v>
          </cell>
          <cell r="I27">
            <v>-6150.1421799999989</v>
          </cell>
          <cell r="J27">
            <v>-6161.8071799999998</v>
          </cell>
          <cell r="K27">
            <v>-6164.3855100000001</v>
          </cell>
          <cell r="L27">
            <v>-2456.0025100000012</v>
          </cell>
          <cell r="M27">
            <v>-6176.0055100000009</v>
          </cell>
          <cell r="N27">
            <v>-73203.458049999987</v>
          </cell>
          <cell r="O27">
            <v>-3663.9277599999914</v>
          </cell>
          <cell r="P27">
            <v>-3736.9808500000004</v>
          </cell>
          <cell r="Q27">
            <v>-3815.65418</v>
          </cell>
          <cell r="R27">
            <v>-3815.65418</v>
          </cell>
          <cell r="S27">
            <v>30156.137520000004</v>
          </cell>
          <cell r="T27">
            <v>-3539.8798000000006</v>
          </cell>
          <cell r="U27">
            <v>-425.94531000000279</v>
          </cell>
          <cell r="V27">
            <v>-3085.0313200000001</v>
          </cell>
          <cell r="W27">
            <v>-3108.0380000000005</v>
          </cell>
          <cell r="X27">
            <v>-3108.0380000000005</v>
          </cell>
          <cell r="Y27">
            <v>-3108.0380000000005</v>
          </cell>
          <cell r="Z27">
            <v>-3120.3644200000003</v>
          </cell>
          <cell r="AA27">
            <v>-4371.4142999999913</v>
          </cell>
        </row>
        <row r="28">
          <cell r="A28" t="str">
            <v>COC1698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17539.703039999993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17539.703039999993</v>
          </cell>
        </row>
        <row r="29">
          <cell r="A29" t="str">
            <v>COC1705</v>
          </cell>
          <cell r="B29">
            <v>3916.94</v>
          </cell>
          <cell r="C29">
            <v>25012.719000000001</v>
          </cell>
          <cell r="D29">
            <v>12874.795</v>
          </cell>
          <cell r="E29">
            <v>2840.6439999999998</v>
          </cell>
          <cell r="F29">
            <v>-11084.267</v>
          </cell>
          <cell r="G29">
            <v>1106.7379999999994</v>
          </cell>
          <cell r="H29">
            <v>-10571.433000000001</v>
          </cell>
          <cell r="I29">
            <v>-7896.0989999999993</v>
          </cell>
          <cell r="J29">
            <v>6711.1839999999993</v>
          </cell>
          <cell r="K29">
            <v>-12224.528</v>
          </cell>
          <cell r="L29">
            <v>20992.069000000003</v>
          </cell>
          <cell r="M29">
            <v>36678.422999999995</v>
          </cell>
          <cell r="N29">
            <v>68357.184999999998</v>
          </cell>
          <cell r="O29">
            <v>3744.6889999999999</v>
          </cell>
          <cell r="P29">
            <v>27777.883999999998</v>
          </cell>
          <cell r="Q29">
            <v>0</v>
          </cell>
          <cell r="R29">
            <v>6500</v>
          </cell>
          <cell r="S29">
            <v>5567.4390000000003</v>
          </cell>
          <cell r="T29">
            <v>0</v>
          </cell>
          <cell r="U29">
            <v>-72097.267999999996</v>
          </cell>
          <cell r="V29">
            <v>-11254.873</v>
          </cell>
          <cell r="W29">
            <v>-6061.1329999999989</v>
          </cell>
          <cell r="X29">
            <v>-101088.83158</v>
          </cell>
          <cell r="Y29">
            <v>5285.09</v>
          </cell>
          <cell r="Z29">
            <v>52961.977999999996</v>
          </cell>
          <cell r="AA29">
            <v>-88665.025579999987</v>
          </cell>
        </row>
        <row r="30">
          <cell r="A30" t="str">
            <v>COC1710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6307.9177900000004</v>
          </cell>
          <cell r="N30">
            <v>6307.9177900000004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16360.98983</v>
          </cell>
          <cell r="AA30">
            <v>16360.98983</v>
          </cell>
        </row>
        <row r="31">
          <cell r="A31" t="str">
            <v>COC2105</v>
          </cell>
          <cell r="B31">
            <v>43890.564319999998</v>
          </cell>
          <cell r="C31">
            <v>-69852.141000000003</v>
          </cell>
          <cell r="D31">
            <v>4524.1319999999978</v>
          </cell>
          <cell r="E31">
            <v>55756.311659999992</v>
          </cell>
          <cell r="F31">
            <v>37945.076360000006</v>
          </cell>
          <cell r="G31">
            <v>-46369.654719999999</v>
          </cell>
          <cell r="H31">
            <v>50898.49207</v>
          </cell>
          <cell r="I31">
            <v>50879.008329999997</v>
          </cell>
          <cell r="J31">
            <v>24914.947429999997</v>
          </cell>
          <cell r="K31">
            <v>43060.95192</v>
          </cell>
          <cell r="L31">
            <v>37260.909999999996</v>
          </cell>
          <cell r="M31">
            <v>-187341.49400000001</v>
          </cell>
          <cell r="N31">
            <v>45567.104369999986</v>
          </cell>
          <cell r="O31">
            <v>57518.558969999998</v>
          </cell>
          <cell r="P31">
            <v>-78112.057109999994</v>
          </cell>
          <cell r="Q31">
            <v>1646.8150199999982</v>
          </cell>
          <cell r="R31">
            <v>47754.925000000003</v>
          </cell>
          <cell r="S31">
            <v>55291.508099999992</v>
          </cell>
          <cell r="T31">
            <v>-115467.84</v>
          </cell>
          <cell r="U31">
            <v>73905.870120000007</v>
          </cell>
          <cell r="V31">
            <v>3526.3536700000004</v>
          </cell>
          <cell r="W31">
            <v>36248.114990000002</v>
          </cell>
          <cell r="X31">
            <v>18544.397149999997</v>
          </cell>
          <cell r="Y31">
            <v>28189.593450000004</v>
          </cell>
          <cell r="Z31">
            <v>-34132.36897999997</v>
          </cell>
          <cell r="AA31">
            <v>94913.870380000022</v>
          </cell>
        </row>
        <row r="32">
          <cell r="A32" t="str">
            <v>COC2115</v>
          </cell>
          <cell r="B32">
            <v>6229.0230000000001</v>
          </cell>
          <cell r="C32">
            <v>6366.6030000000001</v>
          </cell>
          <cell r="D32">
            <v>6522.4620000000004</v>
          </cell>
          <cell r="E32">
            <v>6664.6180000000004</v>
          </cell>
          <cell r="F32">
            <v>6843.9840000000004</v>
          </cell>
          <cell r="G32">
            <v>7022.3580000000002</v>
          </cell>
          <cell r="H32">
            <v>-99814.020999999993</v>
          </cell>
          <cell r="I32">
            <v>-45549.385000000002</v>
          </cell>
          <cell r="J32">
            <v>7550.8940000000002</v>
          </cell>
          <cell r="K32">
            <v>5508.2430000000004</v>
          </cell>
          <cell r="L32">
            <v>5699.0829999999996</v>
          </cell>
          <cell r="M32">
            <v>5867.1859999999997</v>
          </cell>
          <cell r="N32">
            <v>-81088.952000000005</v>
          </cell>
          <cell r="O32">
            <v>5981.0519999999997</v>
          </cell>
          <cell r="P32">
            <v>6068.5420000000004</v>
          </cell>
          <cell r="Q32">
            <v>6177.9520000000002</v>
          </cell>
          <cell r="R32">
            <v>6225.6019999999999</v>
          </cell>
          <cell r="S32">
            <v>-150312.80200000003</v>
          </cell>
          <cell r="T32">
            <v>0</v>
          </cell>
          <cell r="U32">
            <v>5273.68</v>
          </cell>
          <cell r="V32">
            <v>5121.3100000000004</v>
          </cell>
          <cell r="W32">
            <v>4214.8544699999993</v>
          </cell>
          <cell r="X32">
            <v>6584.3255300000001</v>
          </cell>
          <cell r="Y32">
            <v>2767.4</v>
          </cell>
          <cell r="Z32">
            <v>12290.578999999911</v>
          </cell>
          <cell r="AA32">
            <v>-89607.505000000107</v>
          </cell>
        </row>
        <row r="33">
          <cell r="A33" t="str">
            <v>COC2205</v>
          </cell>
          <cell r="B33">
            <v>42377.598999999987</v>
          </cell>
          <cell r="C33">
            <v>-54012.46100000001</v>
          </cell>
          <cell r="D33">
            <v>-9553.0810000000056</v>
          </cell>
          <cell r="E33">
            <v>-20860.833000000042</v>
          </cell>
          <cell r="F33">
            <v>-97412.873000000021</v>
          </cell>
          <cell r="G33">
            <v>-62282.948999999993</v>
          </cell>
          <cell r="H33">
            <v>70306.070000000007</v>
          </cell>
          <cell r="I33">
            <v>46095.212889999966</v>
          </cell>
          <cell r="J33">
            <v>-89231.543000000005</v>
          </cell>
          <cell r="K33">
            <v>-93356.801000000007</v>
          </cell>
          <cell r="L33">
            <v>-144296.90100000001</v>
          </cell>
          <cell r="M33">
            <v>301779.527</v>
          </cell>
          <cell r="N33">
            <v>-110449.03311000013</v>
          </cell>
          <cell r="O33">
            <v>-12867.029999999999</v>
          </cell>
          <cell r="P33">
            <v>18719.601999999984</v>
          </cell>
          <cell r="Q33">
            <v>-195912.68699999998</v>
          </cell>
          <cell r="R33">
            <v>-193337.19399999999</v>
          </cell>
          <cell r="S33">
            <v>386401.49307999999</v>
          </cell>
          <cell r="T33">
            <v>282912.95500000002</v>
          </cell>
          <cell r="U33">
            <v>-73148.02899999998</v>
          </cell>
          <cell r="V33">
            <v>-15942.655580000021</v>
          </cell>
          <cell r="W33">
            <v>-33439.872000000003</v>
          </cell>
          <cell r="X33">
            <v>212835.38108000008</v>
          </cell>
          <cell r="Y33">
            <v>-72650.147520000028</v>
          </cell>
          <cell r="Z33">
            <v>86245.85400000005</v>
          </cell>
          <cell r="AA33">
            <v>389817.67006000015</v>
          </cell>
        </row>
        <row r="34">
          <cell r="A34" t="str">
            <v>COC2305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</row>
        <row r="35">
          <cell r="A35" t="str">
            <v>COC2335</v>
          </cell>
          <cell r="B35">
            <v>1384.5299999999988</v>
          </cell>
          <cell r="C35">
            <v>-17034.862999999998</v>
          </cell>
          <cell r="D35">
            <v>-48399.142000000007</v>
          </cell>
          <cell r="E35">
            <v>-17114.088999999993</v>
          </cell>
          <cell r="F35">
            <v>35271.670000000013</v>
          </cell>
          <cell r="G35">
            <v>-7871.9449999999924</v>
          </cell>
          <cell r="H35">
            <v>14234.981999999989</v>
          </cell>
          <cell r="I35">
            <v>471.01499999999942</v>
          </cell>
          <cell r="J35">
            <v>-3139.3470000000088</v>
          </cell>
          <cell r="K35">
            <v>17490.387000000002</v>
          </cell>
          <cell r="L35">
            <v>-45578.449000000008</v>
          </cell>
          <cell r="M35">
            <v>-26934.524999999994</v>
          </cell>
          <cell r="N35">
            <v>-97219.775999999998</v>
          </cell>
          <cell r="O35">
            <v>-6296.9529999999941</v>
          </cell>
          <cell r="P35">
            <v>-12173.602999999988</v>
          </cell>
          <cell r="Q35">
            <v>-183502.64011000004</v>
          </cell>
          <cell r="R35">
            <v>32633.694000000003</v>
          </cell>
          <cell r="S35">
            <v>30515.866340000008</v>
          </cell>
          <cell r="T35">
            <v>-5843.6389999999956</v>
          </cell>
          <cell r="U35">
            <v>22390.379000000001</v>
          </cell>
          <cell r="V35">
            <v>37077.051330000002</v>
          </cell>
          <cell r="W35">
            <v>11033.287079999995</v>
          </cell>
          <cell r="X35">
            <v>33538.228670000011</v>
          </cell>
          <cell r="Y35">
            <v>-13080.246749999991</v>
          </cell>
          <cell r="Z35">
            <v>-3777.4049099999829</v>
          </cell>
          <cell r="AA35">
            <v>-57485.980349999954</v>
          </cell>
        </row>
        <row r="36">
          <cell r="A36" t="str">
            <v>COC2345</v>
          </cell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>
            <v>-13846</v>
          </cell>
          <cell r="R36">
            <v>-10355</v>
          </cell>
          <cell r="S36">
            <v>-7627</v>
          </cell>
          <cell r="T36">
            <v>-31689</v>
          </cell>
          <cell r="U36">
            <v>43201</v>
          </cell>
          <cell r="V36">
            <v>-28974</v>
          </cell>
          <cell r="W36">
            <v>31660</v>
          </cell>
          <cell r="X36">
            <v>-11553</v>
          </cell>
          <cell r="Y36">
            <v>6991</v>
          </cell>
          <cell r="Z36">
            <v>-40887</v>
          </cell>
          <cell r="AA36">
            <v>-63079</v>
          </cell>
        </row>
        <row r="37">
          <cell r="A37" t="str">
            <v>COC2355</v>
          </cell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>
            <v>-61599.010200000004</v>
          </cell>
          <cell r="N37">
            <v>-61599.010200000004</v>
          </cell>
          <cell r="O37">
            <v>0</v>
          </cell>
          <cell r="P37">
            <v>5522</v>
          </cell>
          <cell r="Q37">
            <v>2287.48</v>
          </cell>
          <cell r="R37">
            <v>2400</v>
          </cell>
          <cell r="S37">
            <v>2300</v>
          </cell>
          <cell r="T37">
            <v>2289.991</v>
          </cell>
          <cell r="U37">
            <v>2289.42</v>
          </cell>
          <cell r="V37">
            <v>2290</v>
          </cell>
          <cell r="W37">
            <v>2290</v>
          </cell>
          <cell r="X37">
            <v>-145700</v>
          </cell>
          <cell r="Y37">
            <v>-77710</v>
          </cell>
          <cell r="Z37">
            <v>6340</v>
          </cell>
          <cell r="AA37">
            <v>-195401.109</v>
          </cell>
        </row>
        <row r="38">
          <cell r="A38" t="str">
            <v>COC2365</v>
          </cell>
          <cell r="B38">
            <v>2973.5659899999991</v>
          </cell>
          <cell r="C38">
            <v>1308.215470000001</v>
          </cell>
          <cell r="D38">
            <v>631.62574000000131</v>
          </cell>
          <cell r="E38">
            <v>-2165.4442899999995</v>
          </cell>
          <cell r="F38">
            <v>-106.84890000000087</v>
          </cell>
          <cell r="G38">
            <v>2296.0493499999993</v>
          </cell>
          <cell r="H38">
            <v>-2621.6226999999999</v>
          </cell>
          <cell r="I38">
            <v>1016.8392700000004</v>
          </cell>
          <cell r="J38">
            <v>-1499.105230000001</v>
          </cell>
          <cell r="K38">
            <v>1017.9499999999989</v>
          </cell>
          <cell r="L38">
            <v>596.41661999999997</v>
          </cell>
          <cell r="M38">
            <v>-1020.8363200000003</v>
          </cell>
          <cell r="N38">
            <v>2426.8049999999985</v>
          </cell>
          <cell r="O38">
            <v>1004.3142100000023</v>
          </cell>
          <cell r="P38">
            <v>1196.6494700000021</v>
          </cell>
          <cell r="Q38">
            <v>13367.803000000002</v>
          </cell>
          <cell r="R38">
            <v>0</v>
          </cell>
          <cell r="S38">
            <v>50.587999999999738</v>
          </cell>
          <cell r="T38">
            <v>0</v>
          </cell>
          <cell r="U38">
            <v>-46.422999999998865</v>
          </cell>
          <cell r="V38">
            <v>0.44269999999960419</v>
          </cell>
          <cell r="W38">
            <v>0</v>
          </cell>
          <cell r="X38">
            <v>0</v>
          </cell>
          <cell r="Y38">
            <v>5.0000002374872565E-5</v>
          </cell>
          <cell r="Z38">
            <v>-2.5960500000001048</v>
          </cell>
          <cell r="AA38">
            <v>15570.778380000009</v>
          </cell>
        </row>
        <row r="39">
          <cell r="A39" t="str">
            <v>COC2367</v>
          </cell>
          <cell r="B39"/>
          <cell r="C39"/>
          <cell r="D39"/>
          <cell r="E39"/>
          <cell r="F39"/>
          <cell r="G39"/>
          <cell r="H39"/>
          <cell r="I39"/>
          <cell r="J39"/>
          <cell r="K39"/>
          <cell r="L39">
            <v>-31.047000000000001</v>
          </cell>
          <cell r="M39">
            <v>31.047000000000001</v>
          </cell>
          <cell r="N39">
            <v>0</v>
          </cell>
          <cell r="O39"/>
          <cell r="P39"/>
          <cell r="Q39"/>
          <cell r="R39"/>
          <cell r="S39"/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</row>
        <row r="40">
          <cell r="A40" t="str">
            <v>COC2368</v>
          </cell>
          <cell r="B40">
            <v>-603.21500000000003</v>
          </cell>
          <cell r="C40">
            <v>1870.3890000000001</v>
          </cell>
          <cell r="D40">
            <v>-637.36500000000001</v>
          </cell>
          <cell r="E40">
            <v>629.89199999999994</v>
          </cell>
          <cell r="F40">
            <v>-777.93700000000001</v>
          </cell>
          <cell r="G40">
            <v>-483.61699999999973</v>
          </cell>
          <cell r="H40">
            <v>-803.86800000000005</v>
          </cell>
          <cell r="I40">
            <v>802.99</v>
          </cell>
          <cell r="J40">
            <v>-674.22634000000005</v>
          </cell>
          <cell r="K40">
            <v>674.26599999999996</v>
          </cell>
          <cell r="L40">
            <v>-658.30200000000002</v>
          </cell>
          <cell r="M40">
            <v>657.42400000000009</v>
          </cell>
          <cell r="N40">
            <v>-3.5693399999997837</v>
          </cell>
          <cell r="O40">
            <v>-920.99</v>
          </cell>
          <cell r="P40">
            <v>919.92899999999997</v>
          </cell>
          <cell r="Q40">
            <v>-643.63599999999997</v>
          </cell>
          <cell r="R40">
            <v>636.48899999999992</v>
          </cell>
          <cell r="S40">
            <v>-2366.3559999999998</v>
          </cell>
          <cell r="T40">
            <v>2367.4600000000005</v>
          </cell>
          <cell r="U40">
            <v>-2946.0990000000002</v>
          </cell>
          <cell r="V40">
            <v>2940.6953100000001</v>
          </cell>
          <cell r="W40">
            <v>-2472.9740000000002</v>
          </cell>
          <cell r="X40">
            <v>2389.154</v>
          </cell>
          <cell r="Y40">
            <v>-2424.7611200000001</v>
          </cell>
          <cell r="Z40">
            <v>2594.5811199999989</v>
          </cell>
          <cell r="AA40">
            <v>73.492309999999179</v>
          </cell>
        </row>
        <row r="41">
          <cell r="A41" t="str">
            <v>COC2370</v>
          </cell>
          <cell r="B41">
            <v>1189.6000000000058</v>
          </cell>
          <cell r="C41">
            <v>701.90000000000146</v>
          </cell>
          <cell r="D41">
            <v>2800.9000000000015</v>
          </cell>
          <cell r="E41">
            <v>27286.299999999996</v>
          </cell>
          <cell r="F41">
            <v>-30247.1</v>
          </cell>
          <cell r="G41">
            <v>-7800.6000000000058</v>
          </cell>
          <cell r="H41">
            <v>11005.099999999999</v>
          </cell>
          <cell r="I41">
            <v>-2220.7000000000044</v>
          </cell>
          <cell r="J41">
            <v>642.19999999999709</v>
          </cell>
          <cell r="K41">
            <v>395.29999999999563</v>
          </cell>
          <cell r="L41">
            <v>2238.5</v>
          </cell>
          <cell r="M41">
            <v>-3265.2000000000044</v>
          </cell>
          <cell r="N41">
            <v>2726.1999999999825</v>
          </cell>
          <cell r="O41">
            <v>1029.3000000000029</v>
          </cell>
          <cell r="P41">
            <v>272.59999999999854</v>
          </cell>
          <cell r="Q41">
            <v>220.69999999999709</v>
          </cell>
          <cell r="R41">
            <v>3273.8000000000029</v>
          </cell>
          <cell r="S41">
            <v>-685.5</v>
          </cell>
          <cell r="T41">
            <v>-6514.0999999999985</v>
          </cell>
          <cell r="U41">
            <v>2040.1999999999971</v>
          </cell>
          <cell r="V41">
            <v>1534.5999999999985</v>
          </cell>
          <cell r="W41">
            <v>1466.4000000000015</v>
          </cell>
          <cell r="X41">
            <v>995.79999999999563</v>
          </cell>
          <cell r="Y41">
            <v>51.899999999994179</v>
          </cell>
          <cell r="Z41">
            <v>-4322.9500000000044</v>
          </cell>
          <cell r="AA41">
            <v>-637.25000000001455</v>
          </cell>
        </row>
        <row r="42">
          <cell r="A42" t="str">
            <v>COC2380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-31.047000000002299</v>
          </cell>
          <cell r="N42">
            <v>-31.047000000002299</v>
          </cell>
          <cell r="O42">
            <v>0</v>
          </cell>
          <cell r="P42">
            <v>31.046999999998661</v>
          </cell>
          <cell r="Q42">
            <v>0</v>
          </cell>
          <cell r="R42">
            <v>4.2000000000007276</v>
          </cell>
          <cell r="S42">
            <v>0</v>
          </cell>
          <cell r="T42">
            <v>-4.2000000000007276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31.046999999998661</v>
          </cell>
        </row>
        <row r="43">
          <cell r="A43" t="str">
            <v>COC2404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>
            <v>0</v>
          </cell>
          <cell r="N43">
            <v>0</v>
          </cell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>
            <v>-76964.920270000002</v>
          </cell>
          <cell r="AA43">
            <v>-76964.920270000002</v>
          </cell>
        </row>
        <row r="44">
          <cell r="A44" t="str">
            <v>COC2408</v>
          </cell>
          <cell r="B44">
            <v>6568.438780000004</v>
          </cell>
          <cell r="C44">
            <v>-22353.190960000004</v>
          </cell>
          <cell r="D44">
            <v>34498.325230000002</v>
          </cell>
          <cell r="E44">
            <v>-18715.776300000005</v>
          </cell>
          <cell r="F44">
            <v>16055.707780000008</v>
          </cell>
          <cell r="G44">
            <v>-18723.427830000001</v>
          </cell>
          <cell r="H44">
            <v>19389.952049999996</v>
          </cell>
          <cell r="I44">
            <v>-22624.325230000002</v>
          </cell>
          <cell r="J44">
            <v>35141.428520000001</v>
          </cell>
          <cell r="K44">
            <v>-8610.9668900000033</v>
          </cell>
          <cell r="L44">
            <v>3871.8646899999985</v>
          </cell>
          <cell r="M44">
            <v>-25170.382690000002</v>
          </cell>
          <cell r="N44">
            <v>-672.35285000000658</v>
          </cell>
          <cell r="O44">
            <v>11930.131220000003</v>
          </cell>
          <cell r="P44">
            <v>-32246.867230000003</v>
          </cell>
          <cell r="Q44">
            <v>-530.08306000000084</v>
          </cell>
          <cell r="R44">
            <v>47293.083060000004</v>
          </cell>
          <cell r="S44">
            <v>-5249.4436200000018</v>
          </cell>
          <cell r="T44">
            <v>5249.4436199999909</v>
          </cell>
          <cell r="U44">
            <v>-11661.616160000001</v>
          </cell>
          <cell r="V44">
            <v>11641.894090000002</v>
          </cell>
          <cell r="W44">
            <v>-15080.21831</v>
          </cell>
          <cell r="X44">
            <v>15080.425690000004</v>
          </cell>
          <cell r="Y44">
            <v>3511.5249599999988</v>
          </cell>
          <cell r="Z44">
            <v>-3491.8027900001034</v>
          </cell>
          <cell r="AA44">
            <v>26446.471469999891</v>
          </cell>
        </row>
        <row r="45">
          <cell r="A45" t="str">
            <v>COC2412</v>
          </cell>
          <cell r="B45">
            <v>35</v>
          </cell>
          <cell r="C45">
            <v>-6</v>
          </cell>
          <cell r="D45">
            <v>3</v>
          </cell>
          <cell r="E45">
            <v>-14970</v>
          </cell>
          <cell r="F45">
            <v>14971</v>
          </cell>
          <cell r="G45">
            <v>-12199.125319999999</v>
          </cell>
          <cell r="H45">
            <v>12199</v>
          </cell>
          <cell r="I45">
            <v>-15610.675899999998</v>
          </cell>
          <cell r="J45">
            <v>15611</v>
          </cell>
          <cell r="K45">
            <v>-14197.406779999999</v>
          </cell>
          <cell r="L45">
            <v>14199</v>
          </cell>
          <cell r="M45">
            <v>-15614.449010000004</v>
          </cell>
          <cell r="N45">
            <v>-15579.657010000001</v>
          </cell>
          <cell r="O45">
            <v>15616</v>
          </cell>
          <cell r="P45">
            <v>-14856</v>
          </cell>
          <cell r="Q45">
            <v>14858</v>
          </cell>
          <cell r="R45">
            <v>-13926</v>
          </cell>
          <cell r="S45">
            <v>13926</v>
          </cell>
          <cell r="T45">
            <v>-22187</v>
          </cell>
          <cell r="U45">
            <v>22187</v>
          </cell>
          <cell r="V45">
            <v>-20232.572989999997</v>
          </cell>
          <cell r="W45">
            <v>20230</v>
          </cell>
          <cell r="X45">
            <v>-18658</v>
          </cell>
          <cell r="Y45">
            <v>18658</v>
          </cell>
          <cell r="Z45">
            <v>0</v>
          </cell>
          <cell r="AA45">
            <v>15615.427010000003</v>
          </cell>
        </row>
        <row r="46">
          <cell r="A46" t="str">
            <v>COC2505</v>
          </cell>
          <cell r="B46">
            <v>1197.7960000000021</v>
          </cell>
          <cell r="C46">
            <v>43.19999999999709</v>
          </cell>
          <cell r="D46">
            <v>-164</v>
          </cell>
          <cell r="E46">
            <v>164</v>
          </cell>
          <cell r="F46">
            <v>-316.79999999998836</v>
          </cell>
          <cell r="G46">
            <v>-56</v>
          </cell>
          <cell r="H46">
            <v>156.60000000000582</v>
          </cell>
          <cell r="I46">
            <v>-164.80000000000291</v>
          </cell>
          <cell r="J46">
            <v>125.59999999999127</v>
          </cell>
          <cell r="K46">
            <v>-337.19999999999709</v>
          </cell>
          <cell r="L46">
            <v>26.19999999999709</v>
          </cell>
          <cell r="M46">
            <v>2569.8129999999946</v>
          </cell>
          <cell r="N46">
            <v>3244.4089999999997</v>
          </cell>
          <cell r="O46">
            <v>86.200000000011642</v>
          </cell>
          <cell r="P46">
            <v>26.800000000017462</v>
          </cell>
          <cell r="Q46">
            <v>-10873.199999999997</v>
          </cell>
          <cell r="R46">
            <v>10868.099999999991</v>
          </cell>
          <cell r="S46">
            <v>-400.5</v>
          </cell>
          <cell r="T46">
            <v>-681.19999999998254</v>
          </cell>
          <cell r="U46">
            <v>-1116.8000000000029</v>
          </cell>
          <cell r="V46">
            <v>-610</v>
          </cell>
          <cell r="W46">
            <v>-6030.2109999999957</v>
          </cell>
          <cell r="X46">
            <v>4760.2110000000102</v>
          </cell>
          <cell r="Y46">
            <v>3858.8000000000029</v>
          </cell>
          <cell r="Z46">
            <v>-15265.400000000373</v>
          </cell>
          <cell r="AA46">
            <v>-15377.200000000317</v>
          </cell>
        </row>
        <row r="47">
          <cell r="A47" t="str">
            <v>COC2510</v>
          </cell>
          <cell r="B47">
            <v>-10408.879000000001</v>
          </cell>
          <cell r="C47">
            <v>98871.138000000021</v>
          </cell>
          <cell r="D47">
            <v>-9690.6470000000008</v>
          </cell>
          <cell r="E47">
            <v>-9114.9830000000002</v>
          </cell>
          <cell r="F47">
            <v>-10743.933999999999</v>
          </cell>
          <cell r="G47">
            <v>-10757.745000000001</v>
          </cell>
          <cell r="H47">
            <v>-8036.1530000000012</v>
          </cell>
          <cell r="I47">
            <v>-9871.3439999999991</v>
          </cell>
          <cell r="J47">
            <v>-10078.636</v>
          </cell>
          <cell r="K47">
            <v>-10483.971</v>
          </cell>
          <cell r="L47">
            <v>-9170.6880000000001</v>
          </cell>
          <cell r="M47">
            <v>-9415.6580000000013</v>
          </cell>
          <cell r="N47">
            <v>-8901.4999999999836</v>
          </cell>
          <cell r="O47">
            <v>-10353.022000000001</v>
          </cell>
          <cell r="P47">
            <v>107743.829</v>
          </cell>
          <cell r="Q47">
            <v>-10376.92</v>
          </cell>
          <cell r="R47">
            <v>-9363.152</v>
          </cell>
          <cell r="S47">
            <v>-9584.1830000000009</v>
          </cell>
          <cell r="T47">
            <v>-10099.298000000001</v>
          </cell>
          <cell r="U47">
            <v>-10272.752</v>
          </cell>
          <cell r="V47">
            <v>-10885.386</v>
          </cell>
          <cell r="W47">
            <v>-8559.634</v>
          </cell>
          <cell r="X47">
            <v>-8547.68</v>
          </cell>
          <cell r="Y47">
            <v>-10109.923000000001</v>
          </cell>
          <cell r="Z47">
            <v>-9801.9889999999996</v>
          </cell>
          <cell r="AA47">
            <v>-210.11000000000422</v>
          </cell>
        </row>
        <row r="48">
          <cell r="A48" t="str">
            <v>COC2515</v>
          </cell>
          <cell r="B48">
            <v>12792.038</v>
          </cell>
          <cell r="C48">
            <v>-168.38000000000002</v>
          </cell>
          <cell r="D48">
            <v>-498.64499999999998</v>
          </cell>
          <cell r="E48">
            <v>-669.42899999999997</v>
          </cell>
          <cell r="F48">
            <v>-933.178</v>
          </cell>
          <cell r="G48">
            <v>-1148.8869999999999</v>
          </cell>
          <cell r="H48">
            <v>-1173.53</v>
          </cell>
          <cell r="I48">
            <v>-1481.069</v>
          </cell>
          <cell r="J48">
            <v>-1697.1479999999999</v>
          </cell>
          <cell r="K48">
            <v>-1939.258</v>
          </cell>
          <cell r="L48">
            <v>-2004.473</v>
          </cell>
          <cell r="M48">
            <v>-2217.2889999999998</v>
          </cell>
          <cell r="N48">
            <v>-1139.2479999999996</v>
          </cell>
          <cell r="O48">
            <v>14075.228999999999</v>
          </cell>
          <cell r="P48">
            <v>-311.77999999999997</v>
          </cell>
          <cell r="Q48">
            <v>-518.96400000000006</v>
          </cell>
          <cell r="R48">
            <v>-685.94899999999996</v>
          </cell>
          <cell r="S48">
            <v>-884.26599999999996</v>
          </cell>
          <cell r="T48">
            <v>-1106.855</v>
          </cell>
          <cell r="U48">
            <v>-1320.982</v>
          </cell>
          <cell r="V48">
            <v>-1575.451</v>
          </cell>
          <cell r="W48">
            <v>-1744.9970000000001</v>
          </cell>
          <cell r="X48">
            <v>-1750.329</v>
          </cell>
          <cell r="Y48">
            <v>-2072.652</v>
          </cell>
          <cell r="Z48">
            <v>-2064.904</v>
          </cell>
          <cell r="AA48">
            <v>38.099999999999</v>
          </cell>
        </row>
        <row r="49">
          <cell r="A49" t="str">
            <v>COC2520</v>
          </cell>
          <cell r="B49">
            <v>-10596.579</v>
          </cell>
          <cell r="C49">
            <v>-10456.278</v>
          </cell>
          <cell r="D49">
            <v>-9634.9279999999999</v>
          </cell>
          <cell r="E49">
            <v>-9457.3269999999993</v>
          </cell>
          <cell r="F49">
            <v>-10450.566999999999</v>
          </cell>
          <cell r="G49">
            <v>50595.679000000004</v>
          </cell>
          <cell r="H49">
            <v>-8917.2479999999996</v>
          </cell>
          <cell r="I49">
            <v>-9675.8119999999999</v>
          </cell>
          <cell r="J49">
            <v>-10225.326999999999</v>
          </cell>
          <cell r="K49">
            <v>-10195.790999999999</v>
          </cell>
          <cell r="L49">
            <v>-9639.6170000000002</v>
          </cell>
          <cell r="M49">
            <v>48653.794999999998</v>
          </cell>
          <cell r="N49">
            <v>0</v>
          </cell>
          <cell r="O49">
            <v>-10612.458000000001</v>
          </cell>
          <cell r="P49">
            <v>-10700.54</v>
          </cell>
          <cell r="Q49">
            <v>-10418.164000000001</v>
          </cell>
          <cell r="R49">
            <v>-9732.6299999999992</v>
          </cell>
          <cell r="S49">
            <v>-9616.0830000000005</v>
          </cell>
          <cell r="T49">
            <v>51258.508000000002</v>
          </cell>
          <cell r="U49">
            <v>-10020.536</v>
          </cell>
          <cell r="V49">
            <v>-11182.481</v>
          </cell>
          <cell r="W49">
            <v>-9891.8029999999999</v>
          </cell>
          <cell r="X49">
            <v>-9843.7339999999986</v>
          </cell>
          <cell r="Y49">
            <v>-10078.24</v>
          </cell>
          <cell r="Z49">
            <v>50838.161</v>
          </cell>
          <cell r="AA49">
            <v>0</v>
          </cell>
        </row>
        <row r="50">
          <cell r="A50" t="str">
            <v>COC2525</v>
          </cell>
          <cell r="B50">
            <v>-2535.7760000000003</v>
          </cell>
          <cell r="C50">
            <v>-16964.260999999999</v>
          </cell>
          <cell r="D50">
            <v>1339.2539999999999</v>
          </cell>
          <cell r="E50">
            <v>-3566.8729999999996</v>
          </cell>
          <cell r="F50">
            <v>10967.224999999999</v>
          </cell>
          <cell r="G50">
            <v>-23.372000000000298</v>
          </cell>
          <cell r="H50">
            <v>-543.46500000000015</v>
          </cell>
          <cell r="I50">
            <v>10763.067999999999</v>
          </cell>
          <cell r="J50">
            <v>-4191.027</v>
          </cell>
          <cell r="K50">
            <v>309.83300000000054</v>
          </cell>
          <cell r="L50">
            <v>-4994.2340000000004</v>
          </cell>
          <cell r="M50">
            <v>-11421.687000000002</v>
          </cell>
          <cell r="N50">
            <v>-20861.315000000002</v>
          </cell>
          <cell r="O50">
            <v>7795.4109999999991</v>
          </cell>
          <cell r="P50">
            <v>-10340.262999999999</v>
          </cell>
          <cell r="Q50">
            <v>-3159.8659999999995</v>
          </cell>
          <cell r="R50">
            <v>-676.52400000000034</v>
          </cell>
          <cell r="S50">
            <v>-3021.6120000000001</v>
          </cell>
          <cell r="T50">
            <v>218.46799999999985</v>
          </cell>
          <cell r="U50">
            <v>5000.4680000000008</v>
          </cell>
          <cell r="V50">
            <v>-5028.4890000000005</v>
          </cell>
          <cell r="W50">
            <v>-1186.4779999999996</v>
          </cell>
          <cell r="X50">
            <v>190.77800000000025</v>
          </cell>
          <cell r="Y50">
            <v>-2133.5419999999995</v>
          </cell>
          <cell r="Z50">
            <v>-1793.2570000000005</v>
          </cell>
          <cell r="AA50">
            <v>-14134.905999999999</v>
          </cell>
        </row>
        <row r="51">
          <cell r="A51" t="str">
            <v>COC2605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>
            <v>0</v>
          </cell>
          <cell r="P51"/>
          <cell r="Q51"/>
          <cell r="R51"/>
          <cell r="S51"/>
          <cell r="T51"/>
          <cell r="U51"/>
          <cell r="V51"/>
          <cell r="W51"/>
          <cell r="X51">
            <v>-4468.53</v>
          </cell>
          <cell r="Y51">
            <v>4468.53</v>
          </cell>
          <cell r="Z51"/>
          <cell r="AA51">
            <v>0</v>
          </cell>
        </row>
        <row r="52">
          <cell r="A52" t="str">
            <v>COC2615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>
            <v>-13637.23993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13637.23993</v>
          </cell>
          <cell r="AA52">
            <v>0</v>
          </cell>
        </row>
        <row r="53">
          <cell r="A53" t="str">
            <v>COC2715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>
            <v>-70755.74781999999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-70755.74781999999</v>
          </cell>
        </row>
        <row r="54">
          <cell r="A54" t="str">
            <v>COC2725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13137.373970000001</v>
          </cell>
          <cell r="N54">
            <v>13137.373970000001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-21286.803649999998</v>
          </cell>
          <cell r="AA54">
            <v>-21286.803649999998</v>
          </cell>
        </row>
        <row r="55">
          <cell r="A55" t="str">
            <v>COC2805</v>
          </cell>
          <cell r="B55">
            <v>-18373.825390000013</v>
          </cell>
          <cell r="C55">
            <v>-4793.5828800000018</v>
          </cell>
          <cell r="D55">
            <v>11214.489140000005</v>
          </cell>
          <cell r="E55">
            <v>10579.577689999991</v>
          </cell>
          <cell r="F55">
            <v>12081.775599999994</v>
          </cell>
          <cell r="G55">
            <v>-8843.2653500000015</v>
          </cell>
          <cell r="H55">
            <v>-32005.362460000004</v>
          </cell>
          <cell r="I55">
            <v>14952.27248</v>
          </cell>
          <cell r="J55">
            <v>5445.0301300000137</v>
          </cell>
          <cell r="K55">
            <v>-4879.0724699999992</v>
          </cell>
          <cell r="L55">
            <v>-9538.3212700000004</v>
          </cell>
          <cell r="M55">
            <v>-17781.387470000001</v>
          </cell>
          <cell r="N55">
            <v>-41941.672250000018</v>
          </cell>
          <cell r="O55">
            <v>6209.6402000000089</v>
          </cell>
          <cell r="P55">
            <v>-8255.7632699999958</v>
          </cell>
          <cell r="Q55">
            <v>14550.646700000012</v>
          </cell>
          <cell r="R55">
            <v>6022.092169999989</v>
          </cell>
          <cell r="S55">
            <v>3551.1803700000019</v>
          </cell>
          <cell r="T55">
            <v>-2807.3451800000039</v>
          </cell>
          <cell r="U55">
            <v>-5537.3731400000106</v>
          </cell>
          <cell r="V55">
            <v>-417.64896999999473</v>
          </cell>
          <cell r="W55">
            <v>-2702.3114900000073</v>
          </cell>
          <cell r="X55">
            <v>-22610.528719999995</v>
          </cell>
          <cell r="Y55">
            <v>7702.9746600000071</v>
          </cell>
          <cell r="Z55">
            <v>60747.65486000001</v>
          </cell>
          <cell r="AA55">
            <v>56453.218190000021</v>
          </cell>
        </row>
        <row r="56">
          <cell r="A56" t="str">
            <v>COC2815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532.81799999999998</v>
          </cell>
          <cell r="AA56">
            <v>532.81799999999998</v>
          </cell>
        </row>
        <row r="57">
          <cell r="A57" t="str">
            <v>COC3105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</row>
        <row r="58">
          <cell r="A58" t="str">
            <v>COC3305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</row>
        <row r="59">
          <cell r="A59" t="str">
            <v>COC3405</v>
          </cell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</row>
        <row r="60">
          <cell r="A60" t="str">
            <v>COC3605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</row>
        <row r="61">
          <cell r="A61" t="str">
            <v>COC3705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</row>
        <row r="62">
          <cell r="A62" t="str">
            <v>COC3715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</row>
        <row r="63">
          <cell r="A63" t="str">
            <v>COC4135</v>
          </cell>
          <cell r="B63">
            <v>-680702.34600000002</v>
          </cell>
          <cell r="C63">
            <v>-557900.68900000001</v>
          </cell>
          <cell r="D63">
            <v>-542278.076</v>
          </cell>
          <cell r="E63">
            <v>-624508.12614000007</v>
          </cell>
          <cell r="F63">
            <v>-658787.81648000004</v>
          </cell>
          <cell r="G63">
            <v>-468744.08424</v>
          </cell>
          <cell r="H63">
            <v>-670571.42239000008</v>
          </cell>
          <cell r="I63">
            <v>-667529.9270299999</v>
          </cell>
          <cell r="J63">
            <v>-645049.92504999996</v>
          </cell>
          <cell r="K63">
            <v>-553146.99817000004</v>
          </cell>
          <cell r="L63">
            <v>-639588.42771000008</v>
          </cell>
          <cell r="M63">
            <v>-715386.50535999995</v>
          </cell>
          <cell r="N63">
            <v>-7424194.3435699996</v>
          </cell>
          <cell r="O63">
            <v>-633180.70140999998</v>
          </cell>
          <cell r="P63">
            <v>-603903.31942999992</v>
          </cell>
          <cell r="Q63">
            <v>-560638.82432999997</v>
          </cell>
          <cell r="R63">
            <v>-583192.15625999996</v>
          </cell>
          <cell r="S63">
            <v>-604025.7783499998</v>
          </cell>
          <cell r="T63">
            <v>-595615.21348000003</v>
          </cell>
          <cell r="U63">
            <v>-765229.99442999996</v>
          </cell>
          <cell r="V63">
            <v>-634904.47344000009</v>
          </cell>
          <cell r="W63">
            <v>-617770.55979999993</v>
          </cell>
          <cell r="X63">
            <v>-601868.99014999997</v>
          </cell>
          <cell r="Y63">
            <v>-586374.67972000001</v>
          </cell>
          <cell r="Z63">
            <v>-739646.7654400001</v>
          </cell>
          <cell r="AA63">
            <v>-7526351.4562400002</v>
          </cell>
        </row>
        <row r="64">
          <cell r="A64" t="str">
            <v>COC4175</v>
          </cell>
          <cell r="B64">
            <v>10598.478210000001</v>
          </cell>
          <cell r="C64">
            <v>20883.278559999999</v>
          </cell>
          <cell r="D64">
            <v>24591.114870000001</v>
          </cell>
          <cell r="E64">
            <v>17267.309079999999</v>
          </cell>
          <cell r="F64">
            <v>15791.36368</v>
          </cell>
          <cell r="G64">
            <v>8232.3044599999994</v>
          </cell>
          <cell r="H64">
            <v>12243.013349999999</v>
          </cell>
          <cell r="I64">
            <v>15811.36038</v>
          </cell>
          <cell r="J64">
            <v>6680.0185300000003</v>
          </cell>
          <cell r="K64">
            <v>6220.5457800000004</v>
          </cell>
          <cell r="L64">
            <v>9833.8501999999989</v>
          </cell>
          <cell r="M64">
            <v>22915.009030000001</v>
          </cell>
          <cell r="N64">
            <v>171067.64613000001</v>
          </cell>
          <cell r="O64">
            <v>6059.9831900000008</v>
          </cell>
          <cell r="P64">
            <v>2253.6819999999998</v>
          </cell>
          <cell r="Q64">
            <v>6335.9621900000002</v>
          </cell>
          <cell r="R64">
            <v>8013.4216299999998</v>
          </cell>
          <cell r="S64">
            <v>4902.41176</v>
          </cell>
          <cell r="T64">
            <v>4145.1102499999997</v>
          </cell>
          <cell r="U64">
            <v>12576.666999999999</v>
          </cell>
          <cell r="V64">
            <v>11351.006069999999</v>
          </cell>
          <cell r="W64">
            <v>1134.588</v>
          </cell>
          <cell r="X64">
            <v>9066.4212599999992</v>
          </cell>
          <cell r="Y64">
            <v>1224.7226900000001</v>
          </cell>
          <cell r="Z64">
            <v>10688.601130000001</v>
          </cell>
          <cell r="AA64">
            <v>77752.57716999999</v>
          </cell>
        </row>
        <row r="65">
          <cell r="A65" t="str">
            <v>COC4210</v>
          </cell>
          <cell r="B65"/>
          <cell r="C65"/>
          <cell r="D65">
            <v>20.667110000000001</v>
          </cell>
          <cell r="E65">
            <v>-12.893640000000005</v>
          </cell>
          <cell r="F65">
            <v>-2092.5798600000003</v>
          </cell>
          <cell r="G65">
            <v>-7.6420000000000002E-2</v>
          </cell>
          <cell r="H65">
            <v>-5.4298200000000003</v>
          </cell>
          <cell r="I65">
            <v>-703.92698000000007</v>
          </cell>
          <cell r="J65">
            <v>-20.025479999999998</v>
          </cell>
          <cell r="K65">
            <v>174.67393000000001</v>
          </cell>
          <cell r="L65">
            <v>-376.125</v>
          </cell>
          <cell r="M65">
            <v>-4979.8729999999996</v>
          </cell>
          <cell r="N65">
            <v>-7995.5891599999995</v>
          </cell>
          <cell r="O65">
            <v>-719.99</v>
          </cell>
          <cell r="P65">
            <v>6.1530000000000001E-2</v>
          </cell>
          <cell r="Q65">
            <v>3.2000000000000001E-2</v>
          </cell>
          <cell r="R65">
            <v>2E-3</v>
          </cell>
          <cell r="S65">
            <v>-0.46899999999999997</v>
          </cell>
          <cell r="T65">
            <v>-3022.9539999999997</v>
          </cell>
          <cell r="U65">
            <v>-1E-3</v>
          </cell>
          <cell r="V65">
            <v>0</v>
          </cell>
          <cell r="W65">
            <v>1.2E-2</v>
          </cell>
          <cell r="X65">
            <v>-20360</v>
          </cell>
          <cell r="Y65">
            <v>-10000</v>
          </cell>
          <cell r="Z65">
            <v>-10000</v>
          </cell>
          <cell r="AA65">
            <v>-44103.306469999996</v>
          </cell>
        </row>
        <row r="66">
          <cell r="A66" t="str">
            <v>COC4220</v>
          </cell>
          <cell r="B66">
            <v>-1045.0999999999999</v>
          </cell>
          <cell r="C66">
            <v>-1045.0999999999999</v>
          </cell>
          <cell r="D66">
            <v>-1045.0999999999999</v>
          </cell>
          <cell r="E66">
            <v>-1045.0999999999999</v>
          </cell>
          <cell r="F66">
            <v>-1173.4000000000001</v>
          </cell>
          <cell r="G66">
            <v>-1173.4000000000001</v>
          </cell>
          <cell r="H66">
            <v>-1173.4000000000001</v>
          </cell>
          <cell r="I66">
            <v>-1173.4000000000001</v>
          </cell>
          <cell r="J66">
            <v>-1173.4000000000001</v>
          </cell>
          <cell r="K66">
            <v>-1173.4000000000001</v>
          </cell>
          <cell r="L66">
            <v>-1173.4000000000001</v>
          </cell>
          <cell r="M66">
            <v>-1173.4000000000001</v>
          </cell>
          <cell r="N66">
            <v>-13567.599999999997</v>
          </cell>
          <cell r="O66">
            <v>-1173.4000000000001</v>
          </cell>
          <cell r="P66">
            <v>-1173.4000000000001</v>
          </cell>
          <cell r="Q66">
            <v>-1173.4000000000001</v>
          </cell>
          <cell r="R66">
            <v>-1173.4000000000001</v>
          </cell>
          <cell r="S66">
            <v>-1173.4000000000001</v>
          </cell>
          <cell r="T66">
            <v>0</v>
          </cell>
          <cell r="U66">
            <v>-1462</v>
          </cell>
          <cell r="V66">
            <v>-1269.5999999999999</v>
          </cell>
          <cell r="W66">
            <v>-1269.5999999999999</v>
          </cell>
          <cell r="X66">
            <v>0</v>
          </cell>
          <cell r="Y66">
            <v>-2539.1999999999998</v>
          </cell>
          <cell r="Z66">
            <v>-1269.5999999999999</v>
          </cell>
          <cell r="AA66">
            <v>-13677.000000000002</v>
          </cell>
        </row>
        <row r="67">
          <cell r="A67" t="str">
            <v>COC4235</v>
          </cell>
          <cell r="B67">
            <v>-1100</v>
          </cell>
          <cell r="C67">
            <v>-1100</v>
          </cell>
          <cell r="D67">
            <v>-1100</v>
          </cell>
          <cell r="E67">
            <v>-1100</v>
          </cell>
          <cell r="F67">
            <v>-1100</v>
          </cell>
          <cell r="G67">
            <v>-1100</v>
          </cell>
          <cell r="H67">
            <v>-1100</v>
          </cell>
          <cell r="I67">
            <v>-1100</v>
          </cell>
          <cell r="J67">
            <v>-1100</v>
          </cell>
          <cell r="K67">
            <v>-1100</v>
          </cell>
          <cell r="L67">
            <v>-1100</v>
          </cell>
          <cell r="M67">
            <v>-1100</v>
          </cell>
          <cell r="N67">
            <v>-13200</v>
          </cell>
          <cell r="O67">
            <v>-1100</v>
          </cell>
          <cell r="P67">
            <v>-1100</v>
          </cell>
          <cell r="Q67">
            <v>-1100</v>
          </cell>
          <cell r="R67">
            <v>-1100</v>
          </cell>
          <cell r="S67">
            <v>-1100</v>
          </cell>
          <cell r="T67">
            <v>0</v>
          </cell>
          <cell r="U67">
            <v>-1100</v>
          </cell>
          <cell r="V67">
            <v>-1100</v>
          </cell>
          <cell r="W67">
            <v>-1100</v>
          </cell>
          <cell r="X67">
            <v>0</v>
          </cell>
          <cell r="Y67">
            <v>-2200</v>
          </cell>
          <cell r="Z67">
            <v>-1100</v>
          </cell>
          <cell r="AA67">
            <v>-12100</v>
          </cell>
        </row>
        <row r="68">
          <cell r="A68" t="str">
            <v>COC4245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>
            <v>0</v>
          </cell>
          <cell r="T68">
            <v>-2201.3010000000068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-2201.3010000000068</v>
          </cell>
        </row>
        <row r="69">
          <cell r="A69" t="str">
            <v>COC4250</v>
          </cell>
          <cell r="B69"/>
          <cell r="C69"/>
          <cell r="D69"/>
          <cell r="E69"/>
          <cell r="F69"/>
          <cell r="G69"/>
          <cell r="H69"/>
          <cell r="I69">
            <v>-630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-630</v>
          </cell>
          <cell r="O69">
            <v>-8253</v>
          </cell>
          <cell r="P69">
            <v>-14269.647999999999</v>
          </cell>
          <cell r="Q69">
            <v>-720.4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-23243.048000000003</v>
          </cell>
        </row>
        <row r="70">
          <cell r="A70" t="str">
            <v>COC4255</v>
          </cell>
          <cell r="B70"/>
          <cell r="C70"/>
          <cell r="D70"/>
          <cell r="E70"/>
          <cell r="F70">
            <v>-366.66899999999998</v>
          </cell>
          <cell r="G70">
            <v>0</v>
          </cell>
          <cell r="H70">
            <v>0</v>
          </cell>
          <cell r="I70">
            <v>0</v>
          </cell>
          <cell r="J70">
            <v>-129.999</v>
          </cell>
          <cell r="K70">
            <v>0</v>
          </cell>
          <cell r="L70">
            <v>0</v>
          </cell>
          <cell r="M70">
            <v>-1186.7270000000001</v>
          </cell>
          <cell r="N70">
            <v>-1683.395</v>
          </cell>
          <cell r="O70"/>
          <cell r="P70">
            <v>-1164.2470000000001</v>
          </cell>
          <cell r="Q70">
            <v>-997.60500000000002</v>
          </cell>
          <cell r="R70">
            <v>0</v>
          </cell>
          <cell r="S70">
            <v>-226.66800000000001</v>
          </cell>
          <cell r="T70">
            <v>0</v>
          </cell>
          <cell r="U70">
            <v>-1557.075</v>
          </cell>
          <cell r="V70">
            <v>-379.6</v>
          </cell>
          <cell r="W70">
            <v>-1043.9000000000001</v>
          </cell>
          <cell r="X70">
            <v>-2937.3850000000002</v>
          </cell>
          <cell r="Y70">
            <v>0</v>
          </cell>
          <cell r="Z70">
            <v>0</v>
          </cell>
          <cell r="AA70">
            <v>-8306.4800000000014</v>
          </cell>
        </row>
        <row r="71">
          <cell r="A71" t="str">
            <v>COC4295</v>
          </cell>
          <cell r="B71">
            <v>-38.307000000000002</v>
          </cell>
          <cell r="C71">
            <v>-0.313</v>
          </cell>
          <cell r="D71">
            <v>-154.47175999999999</v>
          </cell>
          <cell r="E71">
            <v>-1.2427600000000001</v>
          </cell>
          <cell r="F71">
            <v>-0.77946000000000004</v>
          </cell>
          <cell r="G71">
            <v>-24.480580000000003</v>
          </cell>
          <cell r="H71">
            <v>-1.79697</v>
          </cell>
          <cell r="I71">
            <v>-11.875830000000001</v>
          </cell>
          <cell r="J71">
            <v>-0.70995000000000008</v>
          </cell>
          <cell r="K71">
            <v>-42.461820000000003</v>
          </cell>
          <cell r="L71">
            <v>-0.14783000000000002</v>
          </cell>
          <cell r="M71">
            <v>-2.0169999999999999</v>
          </cell>
          <cell r="N71">
            <v>-278.60395999999997</v>
          </cell>
          <cell r="O71">
            <v>-0.48976999999999998</v>
          </cell>
          <cell r="P71">
            <v>-285.04399999999998</v>
          </cell>
          <cell r="Q71">
            <v>-12.551120000000001</v>
          </cell>
          <cell r="R71">
            <v>1211.08385</v>
          </cell>
          <cell r="S71">
            <v>-6.4060000000000006E-2</v>
          </cell>
          <cell r="T71">
            <v>-68.661289999999994</v>
          </cell>
          <cell r="U71">
            <v>-50.970649999999999</v>
          </cell>
          <cell r="V71">
            <v>-0.71566999999999992</v>
          </cell>
          <cell r="W71">
            <v>-0.23477999999999999</v>
          </cell>
          <cell r="X71">
            <v>-26968.405999999999</v>
          </cell>
          <cell r="Y71">
            <v>-116.45099999999999</v>
          </cell>
          <cell r="Z71">
            <v>-900.00007999999991</v>
          </cell>
          <cell r="AA71">
            <v>-27192.504570000001</v>
          </cell>
        </row>
        <row r="72">
          <cell r="A72" t="str">
            <v>COC5105</v>
          </cell>
          <cell r="B72">
            <v>171270.87599999999</v>
          </cell>
          <cell r="C72">
            <v>185166.253</v>
          </cell>
          <cell r="D72">
            <v>155159.75399999999</v>
          </cell>
          <cell r="E72">
            <v>152719.03</v>
          </cell>
          <cell r="F72">
            <v>173642.777</v>
          </cell>
          <cell r="G72">
            <v>184808.046</v>
          </cell>
          <cell r="H72">
            <v>150134.59099999999</v>
          </cell>
          <cell r="I72">
            <v>149100.93100000001</v>
          </cell>
          <cell r="J72">
            <v>170994.59400000001</v>
          </cell>
          <cell r="K72">
            <v>172946.81987000001</v>
          </cell>
          <cell r="L72">
            <v>158104.14799999999</v>
          </cell>
          <cell r="M72">
            <v>170141.658</v>
          </cell>
          <cell r="N72">
            <v>1994189.4778700001</v>
          </cell>
          <cell r="O72">
            <v>70060.729000000007</v>
          </cell>
          <cell r="P72">
            <v>78536.289000000004</v>
          </cell>
          <cell r="Q72">
            <v>75244.186000000002</v>
          </cell>
          <cell r="R72">
            <v>85663.240999999995</v>
          </cell>
          <cell r="S72">
            <v>66541.035999999993</v>
          </cell>
          <cell r="T72">
            <v>69762.826000000001</v>
          </cell>
          <cell r="U72">
            <v>66474.925000000003</v>
          </cell>
          <cell r="V72">
            <v>66899.831000000006</v>
          </cell>
          <cell r="W72">
            <v>66703.976079999993</v>
          </cell>
          <cell r="X72">
            <v>68588.87000000001</v>
          </cell>
          <cell r="Y72">
            <v>65207.271909999996</v>
          </cell>
          <cell r="Z72">
            <v>68999.273000000001</v>
          </cell>
          <cell r="AA72">
            <v>848682.45399000007</v>
          </cell>
        </row>
        <row r="73">
          <cell r="A73" t="str">
            <v>COC5110</v>
          </cell>
          <cell r="B73">
            <v>17830.16</v>
          </cell>
          <cell r="C73">
            <v>18239.86</v>
          </cell>
          <cell r="D73">
            <v>17889.86</v>
          </cell>
          <cell r="E73">
            <v>17889.86</v>
          </cell>
          <cell r="F73">
            <v>17889.86</v>
          </cell>
          <cell r="G73">
            <v>17889.86</v>
          </cell>
          <cell r="H73">
            <v>17889.86</v>
          </cell>
          <cell r="I73">
            <v>22437.52</v>
          </cell>
          <cell r="J73">
            <v>17889.86</v>
          </cell>
          <cell r="K73">
            <v>17889.86</v>
          </cell>
          <cell r="L73">
            <v>17889.86</v>
          </cell>
          <cell r="M73">
            <v>17889.86</v>
          </cell>
          <cell r="N73">
            <v>219516.27999999997</v>
          </cell>
          <cell r="O73">
            <v>16750.86</v>
          </cell>
          <cell r="P73">
            <v>17120.8</v>
          </cell>
          <cell r="Q73">
            <v>16971.73</v>
          </cell>
          <cell r="R73">
            <v>16971.73</v>
          </cell>
          <cell r="S73">
            <v>16971.73</v>
          </cell>
          <cell r="T73">
            <v>21440.26</v>
          </cell>
          <cell r="U73">
            <v>16971.73</v>
          </cell>
          <cell r="V73">
            <v>17151.73</v>
          </cell>
          <cell r="W73">
            <v>16971.73</v>
          </cell>
          <cell r="X73">
            <v>16971.73</v>
          </cell>
          <cell r="Y73">
            <v>17101.73</v>
          </cell>
          <cell r="Z73">
            <v>16971.73</v>
          </cell>
          <cell r="AA73">
            <v>208367.49000000002</v>
          </cell>
        </row>
        <row r="74">
          <cell r="A74" t="str">
            <v>COC5115</v>
          </cell>
          <cell r="B74"/>
          <cell r="C74">
            <v>2231.1999999999998</v>
          </cell>
          <cell r="D74">
            <v>0</v>
          </cell>
          <cell r="E74">
            <v>0</v>
          </cell>
          <cell r="F74">
            <v>2231.1999999999998</v>
          </cell>
          <cell r="G74">
            <v>2231.1999999999998</v>
          </cell>
          <cell r="H74">
            <v>2231.1999999999998</v>
          </cell>
          <cell r="I74">
            <v>2231.1999999999998</v>
          </cell>
          <cell r="J74">
            <v>2231.1999999999998</v>
          </cell>
          <cell r="K74">
            <v>2231.1999999999998</v>
          </cell>
          <cell r="L74">
            <v>2231.1999999999998</v>
          </cell>
          <cell r="M74">
            <v>2231.1999999999998</v>
          </cell>
          <cell r="N74">
            <v>20080.800000000003</v>
          </cell>
          <cell r="O74"/>
          <cell r="P74">
            <v>2476.6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12383</v>
          </cell>
          <cell r="V74">
            <v>2476.6</v>
          </cell>
          <cell r="W74">
            <v>2476.6</v>
          </cell>
          <cell r="X74">
            <v>2476.6</v>
          </cell>
          <cell r="Y74">
            <v>2476.6</v>
          </cell>
          <cell r="Z74">
            <v>0</v>
          </cell>
          <cell r="AA74">
            <v>24765.999999999996</v>
          </cell>
        </row>
        <row r="75">
          <cell r="A75" t="str">
            <v>COC5120</v>
          </cell>
          <cell r="B75">
            <v>22802.927</v>
          </cell>
          <cell r="C75">
            <v>17306.399000000001</v>
          </cell>
          <cell r="D75">
            <v>14584.018</v>
          </cell>
          <cell r="E75">
            <v>14821.945</v>
          </cell>
          <cell r="F75">
            <v>17787.998</v>
          </cell>
          <cell r="G75">
            <v>18319.055</v>
          </cell>
          <cell r="H75">
            <v>14584.018</v>
          </cell>
          <cell r="I75">
            <v>16655.420999999998</v>
          </cell>
          <cell r="J75">
            <v>15303.965</v>
          </cell>
          <cell r="K75">
            <v>16713.944</v>
          </cell>
          <cell r="L75">
            <v>15593.186</v>
          </cell>
          <cell r="M75">
            <v>15916.766</v>
          </cell>
          <cell r="N75">
            <v>200389.64199999993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</row>
        <row r="76">
          <cell r="A76" t="str">
            <v>COC5125</v>
          </cell>
          <cell r="B76"/>
          <cell r="C76"/>
          <cell r="D76"/>
          <cell r="E76"/>
          <cell r="F76"/>
          <cell r="G76"/>
          <cell r="H76">
            <v>6192.7730000000001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6192.7730000000001</v>
          </cell>
          <cell r="O76"/>
          <cell r="P76"/>
          <cell r="Q76"/>
          <cell r="R76"/>
          <cell r="S76"/>
          <cell r="T76"/>
          <cell r="U76"/>
          <cell r="V76">
            <v>6165.1580000000004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6165.1580000000004</v>
          </cell>
        </row>
        <row r="77">
          <cell r="A77" t="str">
            <v>COC5130</v>
          </cell>
          <cell r="B77">
            <v>47.984000000000002</v>
          </cell>
          <cell r="C77">
            <v>-416.5</v>
          </cell>
          <cell r="D77">
            <v>6437.3969999999999</v>
          </cell>
          <cell r="E77">
            <v>194.38200000000001</v>
          </cell>
          <cell r="F77">
            <v>6533.3649999999998</v>
          </cell>
          <cell r="G77">
            <v>12935.32681</v>
          </cell>
          <cell r="H77">
            <v>6485.3810000000003</v>
          </cell>
          <cell r="I77">
            <v>6485.3810000000003</v>
          </cell>
          <cell r="J77">
            <v>13187.81</v>
          </cell>
          <cell r="K77">
            <v>6485.3810000000003</v>
          </cell>
          <cell r="L77">
            <v>15963.967000000001</v>
          </cell>
          <cell r="M77">
            <v>-801.54600000000028</v>
          </cell>
          <cell r="N77">
            <v>73538.328810000006</v>
          </cell>
          <cell r="O77">
            <v>32.284999999999997</v>
          </cell>
          <cell r="P77">
            <v>315.41899999999998</v>
          </cell>
          <cell r="Q77">
            <v>16.949000000000002</v>
          </cell>
          <cell r="R77">
            <v>0</v>
          </cell>
          <cell r="S77">
            <v>0</v>
          </cell>
          <cell r="T77">
            <v>0</v>
          </cell>
          <cell r="U77">
            <v>47975.732000000004</v>
          </cell>
          <cell r="V77">
            <v>6825.4089999999997</v>
          </cell>
          <cell r="W77">
            <v>6825.4430000000002</v>
          </cell>
          <cell r="X77">
            <v>6782.5109999999995</v>
          </cell>
          <cell r="Y77">
            <v>6203.2489999999998</v>
          </cell>
          <cell r="Z77">
            <v>6090.4579999999996</v>
          </cell>
          <cell r="AA77">
            <v>81067.455000000002</v>
          </cell>
        </row>
        <row r="78">
          <cell r="A78" t="str">
            <v>COC5135</v>
          </cell>
          <cell r="B78">
            <v>24900.085999999999</v>
          </cell>
          <cell r="C78">
            <v>24122.241000000002</v>
          </cell>
          <cell r="D78">
            <v>24177.429</v>
          </cell>
          <cell r="E78">
            <v>25113.675999999999</v>
          </cell>
          <cell r="F78">
            <v>26572.056</v>
          </cell>
          <cell r="G78">
            <v>29076.304</v>
          </cell>
          <cell r="H78">
            <v>26113.263999999999</v>
          </cell>
          <cell r="I78">
            <v>27516.823</v>
          </cell>
          <cell r="J78">
            <v>29546.536</v>
          </cell>
          <cell r="K78">
            <v>19755.928</v>
          </cell>
          <cell r="L78">
            <v>30419.544000000002</v>
          </cell>
          <cell r="M78">
            <v>25432.367999999999</v>
          </cell>
          <cell r="N78">
            <v>312746.255</v>
          </cell>
          <cell r="O78">
            <v>9473.1110000000008</v>
          </cell>
          <cell r="P78">
            <v>9295.2209999999995</v>
          </cell>
          <cell r="Q78">
            <v>7412.87</v>
          </cell>
          <cell r="R78">
            <v>9839.2880000000005</v>
          </cell>
          <cell r="S78">
            <v>8096.03</v>
          </cell>
          <cell r="T78">
            <v>6877.8950000000004</v>
          </cell>
          <cell r="U78">
            <v>16055.811</v>
          </cell>
          <cell r="V78">
            <v>8689.3230000000003</v>
          </cell>
          <cell r="W78">
            <v>8834.7615999999998</v>
          </cell>
          <cell r="X78">
            <v>10144.607</v>
          </cell>
          <cell r="Y78">
            <v>10854.31882</v>
          </cell>
          <cell r="Z78">
            <v>11841.859920000001</v>
          </cell>
          <cell r="AA78">
            <v>117415.09634000002</v>
          </cell>
        </row>
        <row r="79">
          <cell r="A79" t="str">
            <v>COC5140</v>
          </cell>
          <cell r="B79">
            <v>727.9</v>
          </cell>
          <cell r="C79">
            <v>0</v>
          </cell>
          <cell r="D79">
            <v>3146.4</v>
          </cell>
          <cell r="E79">
            <v>7.9</v>
          </cell>
          <cell r="F79">
            <v>0</v>
          </cell>
          <cell r="G79">
            <v>7.9</v>
          </cell>
          <cell r="H79">
            <v>0</v>
          </cell>
          <cell r="I79">
            <v>435.23599999999999</v>
          </cell>
          <cell r="J79">
            <v>0</v>
          </cell>
          <cell r="K79">
            <v>20.9</v>
          </cell>
          <cell r="L79">
            <v>7.9</v>
          </cell>
          <cell r="M79">
            <v>0</v>
          </cell>
          <cell r="N79">
            <v>4354.1359999999995</v>
          </cell>
          <cell r="O79">
            <v>11.6</v>
          </cell>
          <cell r="P79">
            <v>0</v>
          </cell>
          <cell r="Q79">
            <v>7155.8</v>
          </cell>
          <cell r="R79">
            <v>11.6</v>
          </cell>
          <cell r="S79">
            <v>33.5</v>
          </cell>
          <cell r="T79">
            <v>11.6</v>
          </cell>
          <cell r="U79">
            <v>0</v>
          </cell>
          <cell r="V79">
            <v>33.5</v>
          </cell>
          <cell r="W79">
            <v>11.6</v>
          </cell>
          <cell r="X79">
            <v>11.6</v>
          </cell>
          <cell r="Y79">
            <v>0</v>
          </cell>
          <cell r="Z79">
            <v>0</v>
          </cell>
          <cell r="AA79">
            <v>7280.800000000002</v>
          </cell>
        </row>
        <row r="80">
          <cell r="A80" t="str">
            <v>COC5145</v>
          </cell>
          <cell r="B80">
            <v>595</v>
          </cell>
          <cell r="C80">
            <v>2010.5039999999999</v>
          </cell>
          <cell r="D80">
            <v>1978.9</v>
          </cell>
          <cell r="E80">
            <v>3199.866</v>
          </cell>
          <cell r="F80">
            <v>1209.0999999999999</v>
          </cell>
          <cell r="G80">
            <v>2944.404</v>
          </cell>
          <cell r="H80">
            <v>1296</v>
          </cell>
          <cell r="I80">
            <v>595</v>
          </cell>
          <cell r="J80">
            <v>2364.404</v>
          </cell>
          <cell r="K80">
            <v>1123.442</v>
          </cell>
          <cell r="L80">
            <v>595</v>
          </cell>
          <cell r="M80">
            <v>1376.3789999999999</v>
          </cell>
          <cell r="N80">
            <v>19287.999000000003</v>
          </cell>
          <cell r="O80">
            <v>4949.7060000000001</v>
          </cell>
          <cell r="P80">
            <v>2022.2829999999999</v>
          </cell>
          <cell r="Q80">
            <v>1596.1849999999999</v>
          </cell>
          <cell r="R80">
            <v>1878.473</v>
          </cell>
          <cell r="S80">
            <v>1504.7449999999999</v>
          </cell>
          <cell r="T80">
            <v>3804.556</v>
          </cell>
          <cell r="U80">
            <v>551.77800000000002</v>
          </cell>
          <cell r="V80">
            <v>920</v>
          </cell>
          <cell r="W80">
            <v>1272.6895500000001</v>
          </cell>
          <cell r="X80">
            <v>810</v>
          </cell>
          <cell r="Y80">
            <v>1404</v>
          </cell>
          <cell r="Z80">
            <v>1665.1616799999999</v>
          </cell>
          <cell r="AA80">
            <v>22379.577230000003</v>
          </cell>
        </row>
        <row r="81">
          <cell r="A81" t="str">
            <v>COC5150</v>
          </cell>
          <cell r="B81">
            <v>1300</v>
          </cell>
          <cell r="C81">
            <v>0</v>
          </cell>
          <cell r="D81">
            <v>0</v>
          </cell>
          <cell r="E81">
            <v>680</v>
          </cell>
          <cell r="F81">
            <v>0</v>
          </cell>
          <cell r="G81">
            <v>1615</v>
          </cell>
          <cell r="H81">
            <v>2347.087</v>
          </cell>
          <cell r="I81">
            <v>410</v>
          </cell>
          <cell r="J81">
            <v>1000</v>
          </cell>
          <cell r="K81">
            <v>600</v>
          </cell>
          <cell r="L81">
            <v>912.72299999999996</v>
          </cell>
          <cell r="M81">
            <v>848.23500000000001</v>
          </cell>
          <cell r="N81">
            <v>9713.0450000000001</v>
          </cell>
          <cell r="O81">
            <v>31.091999999999999</v>
          </cell>
          <cell r="P81">
            <v>0</v>
          </cell>
          <cell r="Q81">
            <v>510</v>
          </cell>
          <cell r="R81">
            <v>250</v>
          </cell>
          <cell r="S81">
            <v>0</v>
          </cell>
          <cell r="T81">
            <v>585</v>
          </cell>
          <cell r="U81">
            <v>120</v>
          </cell>
          <cell r="V81">
            <v>0</v>
          </cell>
          <cell r="W81">
            <v>90.335949999999997</v>
          </cell>
          <cell r="X81">
            <v>1824.05189</v>
          </cell>
          <cell r="Y81">
            <v>242.05355</v>
          </cell>
          <cell r="Z81">
            <v>292.45378000000005</v>
          </cell>
          <cell r="AA81">
            <v>3944.9871700000003</v>
          </cell>
        </row>
        <row r="82">
          <cell r="A82" t="str">
            <v>COC5155</v>
          </cell>
          <cell r="B82"/>
          <cell r="C82">
            <v>3947.027</v>
          </cell>
          <cell r="D82">
            <v>0</v>
          </cell>
          <cell r="E82">
            <v>145</v>
          </cell>
          <cell r="F82">
            <v>600</v>
          </cell>
          <cell r="G82">
            <v>0</v>
          </cell>
          <cell r="H82">
            <v>201.68100000000001</v>
          </cell>
          <cell r="I82">
            <v>0</v>
          </cell>
          <cell r="J82">
            <v>6012.48</v>
          </cell>
          <cell r="K82">
            <v>2973.11</v>
          </cell>
          <cell r="L82">
            <v>201.68100000000001</v>
          </cell>
          <cell r="M82">
            <v>0</v>
          </cell>
          <cell r="N82">
            <v>14080.978999999999</v>
          </cell>
          <cell r="O82"/>
          <cell r="P82">
            <v>470.58800000000002</v>
          </cell>
          <cell r="Q82">
            <v>3912.201</v>
          </cell>
          <cell r="R82">
            <v>1000.9480000000001</v>
          </cell>
          <cell r="S82">
            <v>0</v>
          </cell>
          <cell r="T82">
            <v>0</v>
          </cell>
          <cell r="U82">
            <v>0</v>
          </cell>
          <cell r="V82">
            <v>6480.24</v>
          </cell>
          <cell r="W82">
            <v>55.5</v>
          </cell>
          <cell r="X82">
            <v>0</v>
          </cell>
          <cell r="Y82">
            <v>140.93</v>
          </cell>
          <cell r="Z82">
            <v>0</v>
          </cell>
          <cell r="AA82">
            <v>12060.406999999999</v>
          </cell>
        </row>
        <row r="83">
          <cell r="A83" t="str">
            <v>COC5160</v>
          </cell>
          <cell r="B83">
            <v>5916.3754799999997</v>
          </cell>
          <cell r="C83">
            <v>5927.1560300000001</v>
          </cell>
          <cell r="D83">
            <v>5927.1560300000001</v>
          </cell>
          <cell r="E83">
            <v>6146.4505599999993</v>
          </cell>
          <cell r="F83">
            <v>6138.6066999999985</v>
          </cell>
          <cell r="G83">
            <v>6150.1421799999989</v>
          </cell>
          <cell r="H83">
            <v>6150.1421799999989</v>
          </cell>
          <cell r="I83">
            <v>6150.1421799999989</v>
          </cell>
          <cell r="J83">
            <v>6161.8071799999998</v>
          </cell>
          <cell r="K83">
            <v>6164.3855100000001</v>
          </cell>
          <cell r="L83">
            <v>6164.3855100000001</v>
          </cell>
          <cell r="M83">
            <v>6176.0055100000009</v>
          </cell>
          <cell r="N83">
            <v>73172.755049999992</v>
          </cell>
          <cell r="O83">
            <v>3663.9277600000005</v>
          </cell>
          <cell r="P83">
            <v>3736.9808500000004</v>
          </cell>
          <cell r="Q83">
            <v>3815.65418</v>
          </cell>
          <cell r="R83">
            <v>3815.65418</v>
          </cell>
          <cell r="S83">
            <v>3815.65418</v>
          </cell>
          <cell r="T83">
            <v>3624.9341099999997</v>
          </cell>
          <cell r="U83">
            <v>437.19200000000274</v>
          </cell>
          <cell r="V83">
            <v>3085.0313200000001</v>
          </cell>
          <cell r="W83">
            <v>3108.0380000000005</v>
          </cell>
          <cell r="X83">
            <v>3108.0380000000005</v>
          </cell>
          <cell r="Y83">
            <v>3108.0380000000005</v>
          </cell>
          <cell r="Z83">
            <v>3120.3644200000003</v>
          </cell>
          <cell r="AA83">
            <v>38439.506999999998</v>
          </cell>
        </row>
        <row r="84">
          <cell r="A84" t="str">
            <v>COC5165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>
            <v>11.246690000000001</v>
          </cell>
          <cell r="U84">
            <v>-11.246690000000001</v>
          </cell>
          <cell r="V84"/>
          <cell r="W84"/>
          <cell r="X84"/>
          <cell r="Y84"/>
          <cell r="Z84"/>
          <cell r="AA84">
            <v>0</v>
          </cell>
        </row>
        <row r="85">
          <cell r="A85" t="str">
            <v>COC5195</v>
          </cell>
          <cell r="B85">
            <v>11499.76</v>
          </cell>
          <cell r="C85">
            <v>10640.302</v>
          </cell>
          <cell r="D85">
            <v>10475.968000000001</v>
          </cell>
          <cell r="E85">
            <v>12670.888999999999</v>
          </cell>
          <cell r="F85">
            <v>14239.598</v>
          </cell>
          <cell r="G85">
            <v>17759.446</v>
          </cell>
          <cell r="H85">
            <v>12647.812</v>
          </cell>
          <cell r="I85">
            <v>13009.666999999999</v>
          </cell>
          <cell r="J85">
            <v>12146.906000000001</v>
          </cell>
          <cell r="K85">
            <v>15182.96</v>
          </cell>
          <cell r="L85">
            <v>10969.188</v>
          </cell>
          <cell r="M85">
            <v>10107.196</v>
          </cell>
          <cell r="N85">
            <v>151349.69199999998</v>
          </cell>
          <cell r="O85">
            <v>7981.9809999999998</v>
          </cell>
          <cell r="P85">
            <v>11206.995999999999</v>
          </cell>
          <cell r="Q85">
            <v>8623.7250000000004</v>
          </cell>
          <cell r="R85">
            <v>9417.6049999999996</v>
          </cell>
          <cell r="S85">
            <v>3353.4290000000001</v>
          </cell>
          <cell r="T85">
            <v>2555.5859999999998</v>
          </cell>
          <cell r="U85">
            <v>3087.5369999999998</v>
          </cell>
          <cell r="V85">
            <v>2592.5150000000003</v>
          </cell>
          <cell r="W85">
            <v>3630.00855</v>
          </cell>
          <cell r="X85">
            <v>4915.6250999999993</v>
          </cell>
          <cell r="Y85">
            <v>3847.3745600000002</v>
          </cell>
          <cell r="Z85">
            <v>3329.8325399999999</v>
          </cell>
          <cell r="AA85">
            <v>64542.214749999999</v>
          </cell>
        </row>
        <row r="86">
          <cell r="A86" t="str">
            <v>COC5205</v>
          </cell>
          <cell r="B86"/>
          <cell r="C86"/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>
            <v>100982.24099999999</v>
          </cell>
          <cell r="P86">
            <v>101417.076</v>
          </cell>
          <cell r="Q86">
            <v>96111.926000000007</v>
          </cell>
          <cell r="R86">
            <v>80489.784</v>
          </cell>
          <cell r="S86">
            <v>91655.314999999988</v>
          </cell>
          <cell r="T86">
            <v>99797.351999999999</v>
          </cell>
          <cell r="U86">
            <v>98071.327999999994</v>
          </cell>
          <cell r="V86">
            <v>115457.095</v>
          </cell>
          <cell r="W86">
            <v>105085.66025</v>
          </cell>
          <cell r="X86">
            <v>100659.425</v>
          </cell>
          <cell r="Y86">
            <v>100738.14509000001</v>
          </cell>
          <cell r="Z86">
            <v>100210.15</v>
          </cell>
          <cell r="AA86">
            <v>1190675.4973399998</v>
          </cell>
        </row>
        <row r="87">
          <cell r="A87" t="str">
            <v>COC5210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>
            <v>1275</v>
          </cell>
          <cell r="P87">
            <v>1275</v>
          </cell>
          <cell r="Q87">
            <v>1275</v>
          </cell>
          <cell r="R87">
            <v>1275</v>
          </cell>
          <cell r="S87">
            <v>1275</v>
          </cell>
          <cell r="T87">
            <v>1275</v>
          </cell>
          <cell r="U87">
            <v>1275</v>
          </cell>
          <cell r="V87">
            <v>1275</v>
          </cell>
          <cell r="W87">
            <v>1275</v>
          </cell>
          <cell r="X87">
            <v>1275</v>
          </cell>
          <cell r="Y87">
            <v>1275.106</v>
          </cell>
          <cell r="Z87">
            <v>1275</v>
          </cell>
          <cell r="AA87">
            <v>15300.106</v>
          </cell>
        </row>
        <row r="88">
          <cell r="A88" t="str">
            <v>COC5215</v>
          </cell>
          <cell r="B88"/>
          <cell r="C88">
            <v>13483.7822</v>
          </cell>
          <cell r="D88">
            <v>0</v>
          </cell>
          <cell r="E88">
            <v>26561.476999999999</v>
          </cell>
          <cell r="F88">
            <v>0</v>
          </cell>
          <cell r="G88">
            <v>29528.651879999998</v>
          </cell>
          <cell r="H88">
            <v>0</v>
          </cell>
          <cell r="I88">
            <v>29478.095089999999</v>
          </cell>
          <cell r="J88">
            <v>0</v>
          </cell>
          <cell r="K88">
            <v>29127.950489999999</v>
          </cell>
          <cell r="L88">
            <v>0</v>
          </cell>
          <cell r="M88">
            <v>34321.136330000001</v>
          </cell>
          <cell r="N88">
            <v>162501.09299</v>
          </cell>
          <cell r="O88"/>
          <cell r="P88">
            <v>30767.550179999998</v>
          </cell>
          <cell r="Q88">
            <v>0</v>
          </cell>
          <cell r="R88">
            <v>28496.160789999998</v>
          </cell>
          <cell r="S88">
            <v>0</v>
          </cell>
          <cell r="T88">
            <v>38479.939469999998</v>
          </cell>
          <cell r="U88">
            <v>0</v>
          </cell>
          <cell r="V88">
            <v>30837.04766</v>
          </cell>
          <cell r="W88">
            <v>0</v>
          </cell>
          <cell r="X88">
            <v>30270.840510000002</v>
          </cell>
          <cell r="Y88">
            <v>0</v>
          </cell>
          <cell r="Z88">
            <v>36388.776600000005</v>
          </cell>
          <cell r="AA88">
            <v>195240.31521</v>
          </cell>
        </row>
        <row r="89">
          <cell r="A89" t="str">
            <v>COC5220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>
            <v>16525.845000000001</v>
          </cell>
          <cell r="P89">
            <v>15468.128000000001</v>
          </cell>
          <cell r="Q89">
            <v>15953.851000000001</v>
          </cell>
          <cell r="R89">
            <v>15953.851000000001</v>
          </cell>
          <cell r="S89">
            <v>15953.851000000001</v>
          </cell>
          <cell r="T89">
            <v>17981.444</v>
          </cell>
          <cell r="U89">
            <v>18557.739000000001</v>
          </cell>
          <cell r="V89">
            <v>17627.414000000001</v>
          </cell>
          <cell r="W89">
            <v>15953.851000000001</v>
          </cell>
          <cell r="X89">
            <v>15953.851000000001</v>
          </cell>
          <cell r="Y89">
            <v>16581.832999999999</v>
          </cell>
          <cell r="Z89">
            <v>19249.025000000001</v>
          </cell>
          <cell r="AA89">
            <v>201760.68299999999</v>
          </cell>
        </row>
        <row r="90">
          <cell r="A90" t="str">
            <v>COC5230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>
            <v>590.18399999999997</v>
          </cell>
          <cell r="Z90">
            <v>499.19799999999998</v>
          </cell>
          <cell r="AA90">
            <v>1089.3820000000001</v>
          </cell>
        </row>
        <row r="91">
          <cell r="A91" t="str">
            <v>COC5235</v>
          </cell>
          <cell r="B91">
            <v>113.6</v>
          </cell>
          <cell r="C91">
            <v>1097.2750000000001</v>
          </cell>
          <cell r="D91">
            <v>1469.9880000000001</v>
          </cell>
          <cell r="E91">
            <v>504.85</v>
          </cell>
          <cell r="F91">
            <v>977.55</v>
          </cell>
          <cell r="G91">
            <v>1112.23</v>
          </cell>
          <cell r="H91">
            <v>587.245</v>
          </cell>
          <cell r="I91">
            <v>868.10500000000002</v>
          </cell>
          <cell r="J91">
            <v>799.33299999999997</v>
          </cell>
          <cell r="K91">
            <v>510.23700000000002</v>
          </cell>
          <cell r="L91">
            <v>941.70699999999999</v>
          </cell>
          <cell r="M91">
            <v>858.91700000000003</v>
          </cell>
          <cell r="N91">
            <v>9841.0370000000003</v>
          </cell>
          <cell r="O91">
            <v>24420.078000000001</v>
          </cell>
          <cell r="P91">
            <v>12359.56</v>
          </cell>
          <cell r="Q91">
            <v>18504.966</v>
          </cell>
          <cell r="R91">
            <v>15353.227999999999</v>
          </cell>
          <cell r="S91">
            <v>17215.717000000001</v>
          </cell>
          <cell r="T91">
            <v>16330.634</v>
          </cell>
          <cell r="U91">
            <v>22626.739000000001</v>
          </cell>
          <cell r="V91">
            <v>16422.134999999998</v>
          </cell>
          <cell r="W91">
            <v>17712.187399999999</v>
          </cell>
          <cell r="X91">
            <v>17487.482219999998</v>
          </cell>
          <cell r="Y91">
            <v>16645.851760000005</v>
          </cell>
          <cell r="Z91">
            <v>16692.68737</v>
          </cell>
          <cell r="AA91">
            <v>211771.26575000002</v>
          </cell>
        </row>
        <row r="92">
          <cell r="A92" t="str">
            <v>COC5245</v>
          </cell>
          <cell r="B92"/>
          <cell r="C92"/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>
            <v>1916.4880000000001</v>
          </cell>
          <cell r="P92">
            <v>951.36199999999997</v>
          </cell>
          <cell r="Q92">
            <v>1761.8320000000001</v>
          </cell>
          <cell r="R92">
            <v>1479.8309999999999</v>
          </cell>
          <cell r="S92">
            <v>1919.663</v>
          </cell>
          <cell r="T92">
            <v>2946.8209999999999</v>
          </cell>
          <cell r="U92">
            <v>2904.6950000000002</v>
          </cell>
          <cell r="V92">
            <v>1290.412</v>
          </cell>
          <cell r="W92">
            <v>4893.4934299999995</v>
          </cell>
          <cell r="X92">
            <v>1095</v>
          </cell>
          <cell r="Y92">
            <v>1319.4</v>
          </cell>
          <cell r="Z92">
            <v>2567.3025200000002</v>
          </cell>
          <cell r="AA92">
            <v>25046.299950000001</v>
          </cell>
        </row>
        <row r="93">
          <cell r="A93" t="str">
            <v>COC5250</v>
          </cell>
          <cell r="B93"/>
          <cell r="C93"/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>
            <v>40</v>
          </cell>
          <cell r="U93">
            <v>185.798</v>
          </cell>
          <cell r="V93">
            <v>0</v>
          </cell>
          <cell r="W93">
            <v>95.630250000000004</v>
          </cell>
          <cell r="X93">
            <v>1050</v>
          </cell>
          <cell r="Y93">
            <v>0</v>
          </cell>
          <cell r="Z93">
            <v>150</v>
          </cell>
          <cell r="AA93">
            <v>1521.4282499999999</v>
          </cell>
        </row>
        <row r="94">
          <cell r="A94" t="str">
            <v>COC5255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>
            <v>912.76400000000001</v>
          </cell>
          <cell r="T94">
            <v>0</v>
          </cell>
          <cell r="U94">
            <v>0</v>
          </cell>
          <cell r="V94">
            <v>0</v>
          </cell>
          <cell r="W94">
            <v>899.12</v>
          </cell>
          <cell r="X94">
            <v>0</v>
          </cell>
          <cell r="Y94">
            <v>0</v>
          </cell>
          <cell r="Z94">
            <v>0</v>
          </cell>
          <cell r="AA94">
            <v>1811.884</v>
          </cell>
        </row>
        <row r="95">
          <cell r="A95" t="str">
            <v>COC5295</v>
          </cell>
          <cell r="B95">
            <v>9589.6929999999993</v>
          </cell>
          <cell r="C95">
            <v>11932.412</v>
          </cell>
          <cell r="D95">
            <v>9158.5920000000006</v>
          </cell>
          <cell r="E95">
            <v>5968.5660000000007</v>
          </cell>
          <cell r="F95">
            <v>10753.75</v>
          </cell>
          <cell r="G95">
            <v>9203.1810000000005</v>
          </cell>
          <cell r="H95">
            <v>10120.154</v>
          </cell>
          <cell r="I95">
            <v>7356.1209999999992</v>
          </cell>
          <cell r="J95">
            <v>8449.1729999999989</v>
          </cell>
          <cell r="K95">
            <v>8946.9420000000009</v>
          </cell>
          <cell r="L95">
            <v>9195.5360000000001</v>
          </cell>
          <cell r="M95">
            <v>9023.2659999999996</v>
          </cell>
          <cell r="N95">
            <v>109697.386</v>
          </cell>
          <cell r="O95">
            <v>13782.987000000001</v>
          </cell>
          <cell r="P95">
            <v>9517.1750000000011</v>
          </cell>
          <cell r="Q95">
            <v>13985.822</v>
          </cell>
          <cell r="R95">
            <v>9955.9490000000005</v>
          </cell>
          <cell r="S95">
            <v>17694.478999999999</v>
          </cell>
          <cell r="T95">
            <v>16254.360999999999</v>
          </cell>
          <cell r="U95">
            <v>14734.048889999998</v>
          </cell>
          <cell r="V95">
            <v>14682.485000000001</v>
          </cell>
          <cell r="W95">
            <v>14483.832840000001</v>
          </cell>
          <cell r="X95">
            <v>15235.56597</v>
          </cell>
          <cell r="Y95">
            <v>14814.346439999999</v>
          </cell>
          <cell r="Z95">
            <v>19813.631519999999</v>
          </cell>
          <cell r="AA95">
            <v>174954.68365999998</v>
          </cell>
        </row>
        <row r="96">
          <cell r="A96" t="str">
            <v>COC5305</v>
          </cell>
          <cell r="B96">
            <v>41862.089880000007</v>
          </cell>
          <cell r="C96">
            <v>35138.434250000006</v>
          </cell>
          <cell r="D96">
            <v>36853.17884</v>
          </cell>
          <cell r="E96">
            <v>37366.79714000001</v>
          </cell>
          <cell r="F96">
            <v>40255.068930000009</v>
          </cell>
          <cell r="G96">
            <v>35161.512090000004</v>
          </cell>
          <cell r="H96">
            <v>42262.035220000005</v>
          </cell>
          <cell r="I96">
            <v>34769.566019999998</v>
          </cell>
          <cell r="J96">
            <v>30899.73864</v>
          </cell>
          <cell r="K96">
            <v>32429.755349999999</v>
          </cell>
          <cell r="L96">
            <v>28877.803640000002</v>
          </cell>
          <cell r="M96">
            <v>39830.446060000002</v>
          </cell>
          <cell r="N96">
            <v>435706.42606000003</v>
          </cell>
          <cell r="O96">
            <v>33342.985429999993</v>
          </cell>
          <cell r="P96">
            <v>32886.491330000004</v>
          </cell>
          <cell r="Q96">
            <v>28129.318339999998</v>
          </cell>
          <cell r="R96">
            <v>31298.911500000002</v>
          </cell>
          <cell r="S96">
            <v>79761.405100000018</v>
          </cell>
          <cell r="T96">
            <v>23583.933529999998</v>
          </cell>
          <cell r="U96">
            <v>50551.612790000006</v>
          </cell>
          <cell r="V96">
            <v>32051.309659999995</v>
          </cell>
          <cell r="W96">
            <v>18384.802920000002</v>
          </cell>
          <cell r="X96">
            <v>48260.42022</v>
          </cell>
          <cell r="Y96">
            <v>15349.30488</v>
          </cell>
          <cell r="Z96">
            <v>46331.046939999993</v>
          </cell>
          <cell r="AA96">
            <v>439931.54264</v>
          </cell>
        </row>
        <row r="97">
          <cell r="A97" t="str">
            <v>COC5310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>
            <v>209</v>
          </cell>
          <cell r="AA97">
            <v>209</v>
          </cell>
        </row>
        <row r="98">
          <cell r="A98" t="str">
            <v>COC5315</v>
          </cell>
          <cell r="B98">
            <v>10842.806</v>
          </cell>
          <cell r="C98">
            <v>-1.1321999999999999</v>
          </cell>
          <cell r="D98">
            <v>320.21600000000001</v>
          </cell>
          <cell r="E98">
            <v>0.221</v>
          </cell>
          <cell r="F98">
            <v>0.216</v>
          </cell>
          <cell r="G98">
            <v>264.416</v>
          </cell>
          <cell r="H98">
            <v>0.80200000000000005</v>
          </cell>
          <cell r="I98">
            <v>952.25599999999997</v>
          </cell>
          <cell r="J98">
            <v>701.00603000000001</v>
          </cell>
          <cell r="K98">
            <v>1209.3910000000001</v>
          </cell>
          <cell r="L98">
            <v>10877.135</v>
          </cell>
          <cell r="M98">
            <v>0.216</v>
          </cell>
          <cell r="N98">
            <v>25167.54883</v>
          </cell>
          <cell r="O98">
            <v>672</v>
          </cell>
          <cell r="P98">
            <v>598.83748000000003</v>
          </cell>
          <cell r="Q98">
            <v>65.218999999999994</v>
          </cell>
          <cell r="R98">
            <v>1207.05863</v>
          </cell>
          <cell r="S98">
            <v>0.14899999999999999</v>
          </cell>
          <cell r="T98">
            <v>183.11760000000001</v>
          </cell>
          <cell r="U98">
            <v>639.81500000000005</v>
          </cell>
          <cell r="V98">
            <v>68.325059999999993</v>
          </cell>
          <cell r="W98">
            <v>196.10300000000001</v>
          </cell>
          <cell r="X98">
            <v>0.20004</v>
          </cell>
          <cell r="Y98">
            <v>65.772790000000001</v>
          </cell>
          <cell r="Z98">
            <v>828.93685000000005</v>
          </cell>
          <cell r="AA98">
            <v>4525.534450000001</v>
          </cell>
        </row>
        <row r="99">
          <cell r="A99" t="str">
            <v>COC5405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>
            <v>29444.70177</v>
          </cell>
          <cell r="N99">
            <v>29444.70177</v>
          </cell>
          <cell r="O99"/>
          <cell r="P99"/>
          <cell r="Q99"/>
          <cell r="R99"/>
          <cell r="S99"/>
          <cell r="T99">
            <v>13637.23993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68253.494160000002</v>
          </cell>
          <cell r="AA99">
            <v>81890.734089999998</v>
          </cell>
        </row>
        <row r="100">
          <cell r="A100" t="str">
            <v>COC6135</v>
          </cell>
          <cell r="B100">
            <v>320635.46500000003</v>
          </cell>
          <cell r="C100">
            <v>245222.98000000004</v>
          </cell>
          <cell r="D100">
            <v>214985.86300000001</v>
          </cell>
          <cell r="E100">
            <v>261751.429</v>
          </cell>
          <cell r="F100">
            <v>279277.554</v>
          </cell>
          <cell r="G100">
            <v>189902.17199999999</v>
          </cell>
          <cell r="H100">
            <v>329475.28100000002</v>
          </cell>
          <cell r="I100">
            <v>311847.05900000001</v>
          </cell>
          <cell r="J100">
            <v>295833.59330999997</v>
          </cell>
          <cell r="K100">
            <v>285873.245</v>
          </cell>
          <cell r="L100">
            <v>306011.57088000001</v>
          </cell>
          <cell r="M100">
            <v>336011.28271</v>
          </cell>
          <cell r="N100">
            <v>3376827.4949000003</v>
          </cell>
          <cell r="O100">
            <v>309710.81006999995</v>
          </cell>
          <cell r="P100">
            <v>299104.95465999999</v>
          </cell>
          <cell r="Q100">
            <v>243112.48256</v>
          </cell>
          <cell r="R100">
            <v>263592.90344999998</v>
          </cell>
          <cell r="S100">
            <v>285332.42169000005</v>
          </cell>
          <cell r="T100">
            <v>247175.42465</v>
          </cell>
          <cell r="U100">
            <v>353903.43546999997</v>
          </cell>
          <cell r="V100">
            <v>283289.81135000003</v>
          </cell>
          <cell r="W100">
            <v>286939.43319000001</v>
          </cell>
          <cell r="X100">
            <v>293392.54057000001</v>
          </cell>
          <cell r="Y100">
            <v>271539.40841999999</v>
          </cell>
          <cell r="Z100">
            <v>378157.87225999997</v>
          </cell>
          <cell r="AA100">
            <v>3515251.4983399999</v>
          </cell>
        </row>
        <row r="101">
          <cell r="A101" t="str">
            <v>#¡VALOR!</v>
          </cell>
          <cell r="B101"/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</row>
        <row r="102">
          <cell r="A102" t="str">
            <v>(en blanco)</v>
          </cell>
          <cell r="B102"/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</row>
        <row r="103">
          <cell r="A103" t="str">
            <v>Total general</v>
          </cell>
          <cell r="B103">
            <v>-2.7357600629329681E-9</v>
          </cell>
          <cell r="C103">
            <v>-9.3132257461547852E-10</v>
          </cell>
          <cell r="D103">
            <v>-4.9476511776447296E-10</v>
          </cell>
          <cell r="E103">
            <v>-9.8953023552894592E-10</v>
          </cell>
          <cell r="F103">
            <v>0</v>
          </cell>
          <cell r="G103">
            <v>6.9849193096160889E-10</v>
          </cell>
          <cell r="H103">
            <v>1.0477378964424133E-9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1.1059455573558807E-9</v>
          </cell>
          <cell r="N103">
            <v>-1.3969838619232178E-9</v>
          </cell>
          <cell r="O103">
            <v>0</v>
          </cell>
          <cell r="P103">
            <v>2.0372681319713593E-9</v>
          </cell>
          <cell r="Q103">
            <v>6.4028427004814148E-10</v>
          </cell>
          <cell r="R103">
            <v>1.1641532182693481E-9</v>
          </cell>
          <cell r="S103">
            <v>2.7939677238464355E-9</v>
          </cell>
          <cell r="T103">
            <v>2.9103830456733704E-10</v>
          </cell>
          <cell r="U103">
            <v>1.8044374883174896E-9</v>
          </cell>
          <cell r="V103">
            <v>-4.6566128730773926E-10</v>
          </cell>
          <cell r="W103">
            <v>5.8207660913467407E-10</v>
          </cell>
          <cell r="X103">
            <v>3.2014213502407074E-9</v>
          </cell>
          <cell r="Y103">
            <v>7.5669959187507629E-10</v>
          </cell>
          <cell r="Z103">
            <v>-5.8207660913467407E-10</v>
          </cell>
          <cell r="AA103">
            <v>1.0244548320770264E-8</v>
          </cell>
        </row>
        <row r="104">
          <cell r="F104"/>
          <cell r="G104"/>
          <cell r="H104"/>
          <cell r="I104"/>
          <cell r="J104"/>
          <cell r="K104"/>
          <cell r="L104"/>
          <cell r="M104"/>
          <cell r="N104"/>
        </row>
        <row r="105">
          <cell r="F105"/>
          <cell r="G105"/>
          <cell r="H105"/>
          <cell r="I105"/>
          <cell r="J105"/>
          <cell r="K105"/>
          <cell r="L105"/>
          <cell r="M105"/>
          <cell r="N105"/>
        </row>
        <row r="106">
          <cell r="F106"/>
          <cell r="G106"/>
          <cell r="H106"/>
          <cell r="I106"/>
          <cell r="J106"/>
          <cell r="K106"/>
          <cell r="L106"/>
          <cell r="M106"/>
          <cell r="N106"/>
        </row>
        <row r="107">
          <cell r="F107"/>
          <cell r="G107"/>
          <cell r="H107"/>
          <cell r="I107"/>
          <cell r="J107"/>
          <cell r="K107"/>
          <cell r="L107"/>
          <cell r="M107"/>
          <cell r="N107"/>
        </row>
        <row r="108">
          <cell r="F108"/>
          <cell r="G108"/>
          <cell r="H108"/>
          <cell r="I108"/>
          <cell r="J108"/>
          <cell r="K108"/>
          <cell r="L108"/>
          <cell r="M108"/>
          <cell r="N108"/>
        </row>
        <row r="109">
          <cell r="F109"/>
          <cell r="G109"/>
          <cell r="H109"/>
          <cell r="I109"/>
          <cell r="J109"/>
          <cell r="K109"/>
          <cell r="L109"/>
          <cell r="M109"/>
          <cell r="N109"/>
        </row>
        <row r="110">
          <cell r="F110"/>
          <cell r="G110"/>
          <cell r="H110"/>
          <cell r="I110"/>
          <cell r="J110"/>
          <cell r="K110"/>
          <cell r="L110"/>
          <cell r="M110"/>
          <cell r="N110"/>
        </row>
        <row r="111">
          <cell r="F111"/>
          <cell r="G111"/>
          <cell r="H111"/>
          <cell r="I111"/>
          <cell r="J111"/>
          <cell r="K111"/>
          <cell r="L111"/>
          <cell r="M111"/>
          <cell r="N111"/>
        </row>
        <row r="112">
          <cell r="F112"/>
          <cell r="G112"/>
          <cell r="H112"/>
          <cell r="I112"/>
          <cell r="J112"/>
          <cell r="K112"/>
          <cell r="L112"/>
          <cell r="M112"/>
          <cell r="N112"/>
        </row>
        <row r="209">
          <cell r="F209"/>
          <cell r="G209"/>
          <cell r="H209"/>
          <cell r="I209"/>
          <cell r="J209"/>
          <cell r="K209"/>
          <cell r="L209"/>
          <cell r="M209"/>
          <cell r="N209"/>
        </row>
        <row r="210">
          <cell r="F210"/>
          <cell r="G210"/>
          <cell r="H210"/>
          <cell r="I210"/>
          <cell r="J210"/>
          <cell r="K210"/>
          <cell r="L210"/>
          <cell r="M210"/>
          <cell r="N210"/>
        </row>
        <row r="211">
          <cell r="F211"/>
          <cell r="G211"/>
          <cell r="H211"/>
          <cell r="I211"/>
          <cell r="J211"/>
          <cell r="K211"/>
          <cell r="L211"/>
          <cell r="M211"/>
          <cell r="N211"/>
        </row>
        <row r="212">
          <cell r="F212"/>
          <cell r="G212"/>
          <cell r="H212"/>
          <cell r="I212"/>
          <cell r="J212"/>
          <cell r="K212"/>
          <cell r="L212"/>
          <cell r="M212"/>
          <cell r="N212"/>
        </row>
        <row r="213">
          <cell r="A213"/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</row>
        <row r="214">
          <cell r="F214"/>
          <cell r="G214"/>
          <cell r="H214"/>
          <cell r="I214"/>
          <cell r="J214"/>
          <cell r="K214"/>
          <cell r="L214"/>
          <cell r="M214"/>
          <cell r="N214"/>
        </row>
        <row r="215">
          <cell r="F215"/>
          <cell r="G215"/>
          <cell r="H215"/>
          <cell r="I215"/>
          <cell r="J215"/>
          <cell r="K215"/>
          <cell r="L215"/>
          <cell r="M215"/>
          <cell r="N215"/>
        </row>
        <row r="216">
          <cell r="F216"/>
          <cell r="G216"/>
          <cell r="H216"/>
          <cell r="I216"/>
          <cell r="J216"/>
          <cell r="K216"/>
          <cell r="L216"/>
          <cell r="M216"/>
          <cell r="N216"/>
        </row>
        <row r="217">
          <cell r="A217"/>
          <cell r="B217"/>
          <cell r="C217"/>
          <cell r="D217"/>
          <cell r="E217"/>
          <cell r="F217"/>
          <cell r="G217"/>
          <cell r="H217"/>
          <cell r="I217"/>
          <cell r="J217"/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</row>
        <row r="218">
          <cell r="F218"/>
          <cell r="G218"/>
          <cell r="H218"/>
          <cell r="I218"/>
          <cell r="J218"/>
          <cell r="K218"/>
          <cell r="L218"/>
          <cell r="M218"/>
          <cell r="N218"/>
        </row>
        <row r="219">
          <cell r="F219"/>
          <cell r="G219"/>
          <cell r="H219"/>
          <cell r="I219"/>
          <cell r="J219"/>
          <cell r="K219"/>
          <cell r="L219"/>
          <cell r="M219"/>
          <cell r="N219"/>
        </row>
        <row r="220">
          <cell r="F220"/>
          <cell r="G220"/>
          <cell r="H220"/>
          <cell r="I220"/>
          <cell r="J220"/>
          <cell r="K220"/>
          <cell r="L220"/>
          <cell r="M220"/>
          <cell r="N220"/>
        </row>
        <row r="221">
          <cell r="A221"/>
          <cell r="B221"/>
          <cell r="C221"/>
          <cell r="D221"/>
          <cell r="E221"/>
          <cell r="F221"/>
          <cell r="G221"/>
          <cell r="H221"/>
          <cell r="I221"/>
          <cell r="J221"/>
          <cell r="K221"/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</row>
        <row r="222">
          <cell r="A222"/>
          <cell r="B222"/>
          <cell r="C222"/>
          <cell r="D222"/>
          <cell r="E222"/>
          <cell r="F222"/>
          <cell r="G222"/>
          <cell r="H222"/>
          <cell r="I222"/>
          <cell r="J222"/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</row>
        <row r="223">
          <cell r="F223"/>
          <cell r="G223"/>
          <cell r="H223"/>
          <cell r="I223"/>
          <cell r="J223"/>
          <cell r="K223"/>
          <cell r="L223"/>
          <cell r="M223"/>
          <cell r="N223"/>
        </row>
        <row r="224">
          <cell r="F224"/>
          <cell r="G224"/>
          <cell r="H224"/>
          <cell r="I224"/>
          <cell r="J224"/>
          <cell r="K224"/>
          <cell r="L224"/>
          <cell r="M224"/>
          <cell r="N224"/>
        </row>
        <row r="225">
          <cell r="F225"/>
          <cell r="G225"/>
          <cell r="H225"/>
          <cell r="I225"/>
          <cell r="J225"/>
          <cell r="K225"/>
          <cell r="L225"/>
          <cell r="M225"/>
          <cell r="N225"/>
        </row>
        <row r="226">
          <cell r="F226"/>
          <cell r="G226"/>
          <cell r="H226"/>
          <cell r="I226"/>
          <cell r="J226"/>
          <cell r="K226"/>
          <cell r="L226"/>
          <cell r="M226"/>
          <cell r="N226"/>
        </row>
        <row r="227">
          <cell r="F227"/>
          <cell r="G227"/>
          <cell r="H227"/>
          <cell r="I227"/>
          <cell r="J227"/>
          <cell r="K227"/>
          <cell r="L227"/>
          <cell r="M227"/>
          <cell r="N227"/>
        </row>
        <row r="228">
          <cell r="F228"/>
          <cell r="G228"/>
          <cell r="H228"/>
          <cell r="I228"/>
          <cell r="J228"/>
          <cell r="K228"/>
          <cell r="L228"/>
          <cell r="M228"/>
          <cell r="N228"/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</row>
        <row r="230">
          <cell r="F230"/>
          <cell r="G230"/>
          <cell r="H230"/>
          <cell r="I230"/>
          <cell r="J230"/>
          <cell r="K230"/>
          <cell r="L230"/>
          <cell r="M230"/>
          <cell r="N230"/>
        </row>
        <row r="231">
          <cell r="F231"/>
          <cell r="G231"/>
          <cell r="H231"/>
          <cell r="I231"/>
          <cell r="J231"/>
          <cell r="K231"/>
          <cell r="L231"/>
          <cell r="M231"/>
          <cell r="N231"/>
        </row>
        <row r="232">
          <cell r="F232"/>
          <cell r="G232"/>
          <cell r="H232"/>
          <cell r="I232"/>
          <cell r="J232"/>
          <cell r="K232"/>
          <cell r="L232"/>
          <cell r="M232"/>
          <cell r="N232"/>
        </row>
        <row r="233">
          <cell r="F233"/>
          <cell r="G233"/>
          <cell r="H233"/>
          <cell r="I233"/>
          <cell r="J233"/>
          <cell r="K233"/>
          <cell r="L233"/>
          <cell r="M233"/>
          <cell r="N233"/>
        </row>
        <row r="234">
          <cell r="F234"/>
          <cell r="G234"/>
          <cell r="H234"/>
          <cell r="I234"/>
          <cell r="J234"/>
          <cell r="K234"/>
          <cell r="L234"/>
          <cell r="M234"/>
          <cell r="N234"/>
        </row>
        <row r="235">
          <cell r="F235"/>
          <cell r="G235"/>
          <cell r="H235"/>
          <cell r="I235"/>
          <cell r="J235"/>
          <cell r="K235"/>
          <cell r="L235"/>
          <cell r="M235"/>
          <cell r="N235"/>
        </row>
        <row r="236">
          <cell r="F236"/>
          <cell r="G236"/>
          <cell r="H236"/>
          <cell r="I236"/>
          <cell r="J236"/>
          <cell r="K236"/>
          <cell r="L236"/>
          <cell r="M236"/>
          <cell r="N236"/>
        </row>
        <row r="237">
          <cell r="F237"/>
          <cell r="G237"/>
          <cell r="H237"/>
          <cell r="I237"/>
          <cell r="J237"/>
          <cell r="K237"/>
          <cell r="L237"/>
          <cell r="M237"/>
          <cell r="N237"/>
        </row>
        <row r="238">
          <cell r="F238"/>
          <cell r="G238"/>
          <cell r="H238"/>
          <cell r="I238"/>
          <cell r="J238"/>
          <cell r="K238"/>
          <cell r="L238"/>
          <cell r="M238"/>
          <cell r="N238"/>
        </row>
        <row r="239">
          <cell r="F239"/>
          <cell r="G239"/>
          <cell r="H239"/>
          <cell r="I239"/>
          <cell r="J239"/>
          <cell r="K239"/>
          <cell r="L239"/>
          <cell r="M239"/>
          <cell r="N239"/>
        </row>
        <row r="240">
          <cell r="F240"/>
          <cell r="G240"/>
          <cell r="H240"/>
          <cell r="I240"/>
          <cell r="J240"/>
          <cell r="K240"/>
          <cell r="L240"/>
          <cell r="M240"/>
          <cell r="N240"/>
        </row>
        <row r="241">
          <cell r="F241"/>
          <cell r="G241"/>
          <cell r="H241"/>
          <cell r="I241"/>
          <cell r="J241"/>
          <cell r="K241"/>
          <cell r="L241"/>
          <cell r="M241"/>
          <cell r="N241"/>
        </row>
        <row r="242">
          <cell r="F242"/>
          <cell r="G242"/>
          <cell r="H242"/>
          <cell r="I242"/>
          <cell r="J242"/>
          <cell r="K242"/>
          <cell r="L242"/>
          <cell r="M242"/>
          <cell r="N242"/>
        </row>
        <row r="243">
          <cell r="F243"/>
          <cell r="G243"/>
          <cell r="H243"/>
          <cell r="I243"/>
          <cell r="J243"/>
          <cell r="K243"/>
          <cell r="L243"/>
          <cell r="M243"/>
          <cell r="N243"/>
        </row>
        <row r="244">
          <cell r="F244"/>
          <cell r="G244"/>
          <cell r="H244"/>
          <cell r="I244"/>
          <cell r="J244"/>
          <cell r="K244"/>
          <cell r="L244"/>
          <cell r="M244"/>
          <cell r="N244"/>
        </row>
        <row r="245">
          <cell r="F245"/>
          <cell r="G245"/>
          <cell r="H245"/>
          <cell r="I245"/>
          <cell r="J245"/>
          <cell r="K245"/>
          <cell r="L245"/>
          <cell r="M245"/>
          <cell r="N245"/>
        </row>
        <row r="246">
          <cell r="F246"/>
          <cell r="G246"/>
          <cell r="H246"/>
          <cell r="I246"/>
          <cell r="J246"/>
          <cell r="K246"/>
          <cell r="L246"/>
          <cell r="M246"/>
          <cell r="N246"/>
        </row>
        <row r="247">
          <cell r="F247"/>
          <cell r="G247"/>
          <cell r="H247"/>
          <cell r="I247"/>
          <cell r="J247"/>
          <cell r="K247"/>
          <cell r="L247"/>
          <cell r="M247"/>
          <cell r="N247"/>
        </row>
        <row r="248">
          <cell r="F248"/>
          <cell r="G248"/>
          <cell r="H248"/>
          <cell r="I248"/>
          <cell r="J248"/>
          <cell r="K248"/>
          <cell r="L248"/>
          <cell r="M248"/>
          <cell r="N248"/>
        </row>
        <row r="249">
          <cell r="F249"/>
          <cell r="G249"/>
          <cell r="H249"/>
          <cell r="I249"/>
          <cell r="J249"/>
          <cell r="K249"/>
          <cell r="L249"/>
          <cell r="M249"/>
          <cell r="N249"/>
        </row>
        <row r="250">
          <cell r="F250"/>
          <cell r="G250"/>
          <cell r="H250"/>
          <cell r="I250"/>
          <cell r="J250"/>
          <cell r="K250"/>
          <cell r="L250"/>
          <cell r="M250"/>
          <cell r="N250"/>
        </row>
        <row r="251">
          <cell r="F251"/>
          <cell r="G251"/>
          <cell r="H251"/>
          <cell r="I251"/>
          <cell r="J251"/>
          <cell r="K251"/>
          <cell r="L251"/>
          <cell r="M251"/>
          <cell r="N251"/>
        </row>
        <row r="252">
          <cell r="F252"/>
          <cell r="G252"/>
          <cell r="H252"/>
          <cell r="I252"/>
          <cell r="J252"/>
          <cell r="K252"/>
          <cell r="L252"/>
          <cell r="M252"/>
          <cell r="N252"/>
        </row>
        <row r="253">
          <cell r="F253"/>
          <cell r="G253"/>
          <cell r="H253"/>
          <cell r="I253"/>
          <cell r="J253"/>
          <cell r="K253"/>
          <cell r="L253"/>
          <cell r="M253"/>
          <cell r="N253"/>
        </row>
        <row r="254">
          <cell r="F254"/>
          <cell r="G254"/>
          <cell r="H254"/>
          <cell r="I254"/>
          <cell r="J254"/>
          <cell r="K254"/>
          <cell r="L254"/>
          <cell r="M254"/>
          <cell r="N254"/>
        </row>
        <row r="255">
          <cell r="F255"/>
          <cell r="G255"/>
          <cell r="H255"/>
          <cell r="I255"/>
          <cell r="J255"/>
          <cell r="K255"/>
          <cell r="L255"/>
          <cell r="M255"/>
          <cell r="N255"/>
        </row>
        <row r="256">
          <cell r="F256"/>
          <cell r="G256"/>
          <cell r="H256"/>
          <cell r="I256"/>
          <cell r="J256"/>
          <cell r="K256"/>
          <cell r="L256"/>
          <cell r="M256"/>
          <cell r="N256"/>
        </row>
        <row r="257">
          <cell r="F257"/>
          <cell r="G257"/>
          <cell r="H257"/>
          <cell r="I257"/>
          <cell r="J257"/>
          <cell r="K257"/>
          <cell r="L257"/>
          <cell r="M257"/>
          <cell r="N257"/>
        </row>
        <row r="258">
          <cell r="F258"/>
          <cell r="G258"/>
          <cell r="H258"/>
          <cell r="I258"/>
          <cell r="J258"/>
          <cell r="K258"/>
          <cell r="L258"/>
          <cell r="M258"/>
          <cell r="N258"/>
        </row>
        <row r="259">
          <cell r="F259"/>
          <cell r="G259"/>
          <cell r="H259"/>
          <cell r="I259"/>
          <cell r="J259"/>
          <cell r="K259"/>
          <cell r="L259"/>
          <cell r="M259"/>
          <cell r="N259"/>
        </row>
        <row r="260">
          <cell r="F260"/>
          <cell r="G260"/>
          <cell r="H260"/>
          <cell r="I260"/>
          <cell r="J260"/>
          <cell r="K260"/>
          <cell r="L260"/>
          <cell r="M260"/>
          <cell r="N260"/>
        </row>
        <row r="261">
          <cell r="F261"/>
          <cell r="G261"/>
          <cell r="H261"/>
          <cell r="I261"/>
          <cell r="J261"/>
          <cell r="K261"/>
          <cell r="L261"/>
          <cell r="M261"/>
          <cell r="N261"/>
        </row>
        <row r="262">
          <cell r="F262"/>
          <cell r="G262"/>
          <cell r="H262"/>
          <cell r="I262"/>
          <cell r="J262"/>
          <cell r="K262"/>
          <cell r="L262"/>
          <cell r="M262"/>
          <cell r="N262"/>
        </row>
        <row r="263">
          <cell r="F263"/>
          <cell r="G263"/>
          <cell r="H263"/>
          <cell r="I263"/>
          <cell r="J263"/>
          <cell r="K263"/>
          <cell r="L263"/>
          <cell r="M263"/>
          <cell r="N263"/>
        </row>
        <row r="264">
          <cell r="F264"/>
          <cell r="G264"/>
          <cell r="H264"/>
          <cell r="I264"/>
          <cell r="J264"/>
          <cell r="K264"/>
          <cell r="L264"/>
          <cell r="M264"/>
          <cell r="N264"/>
        </row>
        <row r="265">
          <cell r="F265"/>
          <cell r="G265"/>
          <cell r="H265"/>
          <cell r="I265"/>
          <cell r="J265"/>
          <cell r="K265"/>
          <cell r="L265"/>
          <cell r="M265"/>
          <cell r="N265"/>
        </row>
        <row r="266">
          <cell r="F266"/>
          <cell r="G266"/>
          <cell r="H266"/>
          <cell r="I266"/>
          <cell r="J266"/>
          <cell r="K266"/>
          <cell r="L266"/>
          <cell r="M266"/>
          <cell r="N266"/>
        </row>
        <row r="267">
          <cell r="F267"/>
          <cell r="G267"/>
          <cell r="H267"/>
          <cell r="I267"/>
          <cell r="J267"/>
          <cell r="K267"/>
          <cell r="L267"/>
          <cell r="M267"/>
          <cell r="N267"/>
        </row>
        <row r="268">
          <cell r="F268"/>
          <cell r="G268"/>
          <cell r="H268"/>
          <cell r="I268"/>
          <cell r="J268"/>
          <cell r="K268"/>
          <cell r="L268"/>
          <cell r="M268"/>
          <cell r="N268"/>
        </row>
        <row r="269">
          <cell r="F269"/>
          <cell r="G269"/>
          <cell r="H269"/>
          <cell r="I269"/>
          <cell r="J269"/>
          <cell r="K269"/>
          <cell r="L269"/>
          <cell r="M269"/>
          <cell r="N269"/>
        </row>
        <row r="270">
          <cell r="F270"/>
          <cell r="G270"/>
          <cell r="H270"/>
          <cell r="I270"/>
          <cell r="J270"/>
          <cell r="K270"/>
          <cell r="L270"/>
          <cell r="M270"/>
          <cell r="N270"/>
        </row>
        <row r="271">
          <cell r="F271"/>
          <cell r="G271"/>
          <cell r="H271"/>
          <cell r="I271"/>
          <cell r="J271"/>
          <cell r="K271"/>
          <cell r="L271"/>
          <cell r="M271"/>
          <cell r="N271"/>
        </row>
        <row r="272">
          <cell r="F272"/>
          <cell r="G272"/>
          <cell r="H272"/>
          <cell r="I272"/>
          <cell r="J272"/>
          <cell r="K272"/>
          <cell r="L272"/>
          <cell r="M272"/>
          <cell r="N272"/>
        </row>
        <row r="273">
          <cell r="F273"/>
          <cell r="G273"/>
          <cell r="H273"/>
          <cell r="I273"/>
          <cell r="J273"/>
          <cell r="K273"/>
          <cell r="L273"/>
          <cell r="M273"/>
          <cell r="N273"/>
        </row>
        <row r="274">
          <cell r="F274"/>
          <cell r="G274"/>
          <cell r="H274"/>
          <cell r="I274"/>
          <cell r="J274"/>
          <cell r="K274"/>
          <cell r="L274"/>
          <cell r="M274"/>
          <cell r="N274"/>
        </row>
        <row r="275">
          <cell r="F275"/>
          <cell r="G275"/>
          <cell r="H275"/>
          <cell r="I275"/>
          <cell r="J275"/>
          <cell r="K275"/>
          <cell r="L275"/>
          <cell r="M275"/>
          <cell r="N275"/>
        </row>
        <row r="276">
          <cell r="F276"/>
          <cell r="G276"/>
          <cell r="H276"/>
          <cell r="I276"/>
          <cell r="J276"/>
          <cell r="K276"/>
          <cell r="L276"/>
          <cell r="M276"/>
          <cell r="N276"/>
        </row>
        <row r="277">
          <cell r="F277"/>
          <cell r="G277"/>
          <cell r="H277"/>
          <cell r="I277"/>
          <cell r="J277"/>
          <cell r="K277"/>
          <cell r="L277"/>
          <cell r="M277"/>
          <cell r="N277"/>
        </row>
        <row r="278">
          <cell r="F278"/>
          <cell r="G278"/>
          <cell r="H278"/>
          <cell r="I278"/>
          <cell r="J278"/>
          <cell r="K278"/>
          <cell r="L278"/>
          <cell r="M278"/>
          <cell r="N278"/>
        </row>
        <row r="279">
          <cell r="F279"/>
          <cell r="G279"/>
          <cell r="H279"/>
          <cell r="I279"/>
          <cell r="J279"/>
          <cell r="K279"/>
          <cell r="L279"/>
          <cell r="M279"/>
          <cell r="N279"/>
        </row>
        <row r="280">
          <cell r="F280"/>
          <cell r="G280"/>
          <cell r="H280"/>
          <cell r="I280"/>
          <cell r="J280"/>
          <cell r="K280"/>
          <cell r="L280"/>
          <cell r="M280"/>
          <cell r="N280"/>
        </row>
        <row r="281">
          <cell r="F281"/>
          <cell r="G281"/>
          <cell r="H281"/>
          <cell r="I281"/>
          <cell r="J281"/>
          <cell r="K281"/>
          <cell r="L281"/>
          <cell r="M281"/>
          <cell r="N281"/>
        </row>
        <row r="282">
          <cell r="F282"/>
          <cell r="G282"/>
          <cell r="H282"/>
          <cell r="I282"/>
          <cell r="J282"/>
          <cell r="K282"/>
          <cell r="L282"/>
          <cell r="M282"/>
          <cell r="N282"/>
        </row>
        <row r="283">
          <cell r="F283"/>
          <cell r="G283"/>
          <cell r="H283"/>
          <cell r="I283"/>
          <cell r="J283"/>
          <cell r="K283"/>
          <cell r="L283"/>
          <cell r="M283"/>
          <cell r="N283"/>
        </row>
        <row r="284">
          <cell r="F284"/>
          <cell r="G284"/>
          <cell r="H284"/>
          <cell r="I284"/>
          <cell r="J284"/>
          <cell r="K284"/>
          <cell r="L284"/>
          <cell r="M284"/>
          <cell r="N284"/>
        </row>
        <row r="285">
          <cell r="F285"/>
          <cell r="G285"/>
          <cell r="H285"/>
          <cell r="I285"/>
          <cell r="J285"/>
          <cell r="K285"/>
          <cell r="L285"/>
          <cell r="M285"/>
          <cell r="N285"/>
        </row>
        <row r="286">
          <cell r="F286"/>
          <cell r="G286"/>
          <cell r="H286"/>
          <cell r="I286"/>
          <cell r="J286"/>
          <cell r="K286"/>
          <cell r="L286"/>
          <cell r="M286"/>
          <cell r="N286"/>
        </row>
        <row r="287">
          <cell r="F287"/>
          <cell r="G287"/>
          <cell r="H287"/>
          <cell r="I287"/>
          <cell r="J287"/>
          <cell r="K287"/>
          <cell r="L287"/>
          <cell r="M287"/>
          <cell r="N287"/>
        </row>
        <row r="288">
          <cell r="F288"/>
          <cell r="G288"/>
          <cell r="H288"/>
          <cell r="I288"/>
          <cell r="J288"/>
          <cell r="K288"/>
          <cell r="L288"/>
          <cell r="M288"/>
          <cell r="N288"/>
        </row>
        <row r="289">
          <cell r="F289"/>
          <cell r="G289"/>
          <cell r="H289"/>
          <cell r="I289"/>
          <cell r="J289"/>
          <cell r="K289"/>
          <cell r="L289"/>
          <cell r="M289"/>
          <cell r="N289"/>
        </row>
        <row r="290">
          <cell r="F290"/>
          <cell r="G290"/>
          <cell r="H290"/>
          <cell r="I290"/>
          <cell r="J290"/>
          <cell r="K290"/>
          <cell r="L290"/>
          <cell r="M290"/>
          <cell r="N290"/>
        </row>
        <row r="291">
          <cell r="F291"/>
          <cell r="G291"/>
          <cell r="H291"/>
          <cell r="I291"/>
          <cell r="J291"/>
          <cell r="K291"/>
          <cell r="L291"/>
          <cell r="M291"/>
          <cell r="N291"/>
        </row>
        <row r="292">
          <cell r="F292"/>
          <cell r="G292"/>
          <cell r="H292"/>
          <cell r="I292"/>
          <cell r="J292"/>
          <cell r="K292"/>
          <cell r="L292"/>
          <cell r="M292"/>
          <cell r="N292"/>
        </row>
        <row r="293">
          <cell r="F293"/>
          <cell r="G293"/>
          <cell r="H293"/>
          <cell r="I293"/>
          <cell r="J293"/>
          <cell r="K293"/>
          <cell r="L293"/>
          <cell r="M293"/>
          <cell r="N293"/>
        </row>
        <row r="294">
          <cell r="F294"/>
          <cell r="G294"/>
          <cell r="H294"/>
          <cell r="I294"/>
          <cell r="J294"/>
          <cell r="K294"/>
          <cell r="L294"/>
          <cell r="M294"/>
          <cell r="N294"/>
        </row>
        <row r="295">
          <cell r="F295"/>
          <cell r="G295"/>
          <cell r="H295"/>
          <cell r="I295"/>
          <cell r="J295"/>
          <cell r="K295"/>
          <cell r="L295"/>
          <cell r="M295"/>
          <cell r="N295"/>
        </row>
        <row r="296">
          <cell r="F296"/>
          <cell r="G296"/>
          <cell r="H296"/>
          <cell r="I296"/>
          <cell r="J296"/>
          <cell r="K296"/>
          <cell r="L296"/>
          <cell r="M296"/>
          <cell r="N296"/>
        </row>
        <row r="297">
          <cell r="F297"/>
          <cell r="G297"/>
          <cell r="H297"/>
          <cell r="I297"/>
          <cell r="J297"/>
          <cell r="K297"/>
          <cell r="L297"/>
          <cell r="M297"/>
          <cell r="N297"/>
        </row>
        <row r="298">
          <cell r="F298"/>
          <cell r="G298"/>
          <cell r="H298"/>
          <cell r="I298"/>
          <cell r="J298"/>
          <cell r="K298"/>
          <cell r="L298"/>
          <cell r="M298"/>
          <cell r="N298"/>
        </row>
        <row r="299">
          <cell r="F299"/>
          <cell r="G299"/>
          <cell r="H299"/>
          <cell r="I299"/>
          <cell r="J299"/>
          <cell r="K299"/>
          <cell r="L299"/>
          <cell r="M299"/>
          <cell r="N299"/>
        </row>
        <row r="300">
          <cell r="F300"/>
          <cell r="G300"/>
          <cell r="H300"/>
          <cell r="I300"/>
          <cell r="J300"/>
          <cell r="K300"/>
          <cell r="L300"/>
          <cell r="M300"/>
          <cell r="N300"/>
        </row>
        <row r="301">
          <cell r="F301"/>
          <cell r="G301"/>
          <cell r="H301"/>
          <cell r="I301"/>
          <cell r="J301"/>
          <cell r="K301"/>
          <cell r="L301"/>
          <cell r="M301"/>
          <cell r="N301"/>
        </row>
        <row r="302">
          <cell r="F302"/>
          <cell r="G302"/>
          <cell r="H302"/>
          <cell r="I302"/>
          <cell r="J302"/>
          <cell r="K302"/>
          <cell r="L302"/>
          <cell r="M302"/>
          <cell r="N302"/>
        </row>
        <row r="303">
          <cell r="F303"/>
          <cell r="G303"/>
          <cell r="H303"/>
          <cell r="I303"/>
          <cell r="J303"/>
          <cell r="K303"/>
          <cell r="L303"/>
          <cell r="M303"/>
          <cell r="N303"/>
        </row>
        <row r="304">
          <cell r="F304"/>
          <cell r="G304"/>
          <cell r="H304"/>
          <cell r="I304"/>
          <cell r="J304"/>
          <cell r="K304"/>
          <cell r="L304"/>
          <cell r="M304"/>
          <cell r="N304"/>
        </row>
        <row r="305">
          <cell r="F305"/>
          <cell r="G305"/>
          <cell r="H305"/>
          <cell r="I305"/>
          <cell r="J305"/>
          <cell r="K305"/>
          <cell r="L305"/>
          <cell r="M305"/>
          <cell r="N305"/>
        </row>
        <row r="306">
          <cell r="F306"/>
          <cell r="G306"/>
          <cell r="H306"/>
          <cell r="I306"/>
          <cell r="J306"/>
          <cell r="K306"/>
          <cell r="L306"/>
          <cell r="M306"/>
          <cell r="N306"/>
        </row>
        <row r="307">
          <cell r="F307"/>
          <cell r="G307"/>
          <cell r="H307"/>
          <cell r="I307"/>
          <cell r="J307"/>
          <cell r="K307"/>
          <cell r="L307"/>
          <cell r="M307"/>
          <cell r="N307"/>
        </row>
        <row r="308">
          <cell r="F308"/>
          <cell r="G308"/>
          <cell r="H308"/>
          <cell r="I308"/>
          <cell r="J308"/>
          <cell r="K308"/>
          <cell r="L308"/>
          <cell r="M308"/>
          <cell r="N308"/>
        </row>
        <row r="309">
          <cell r="F309"/>
          <cell r="G309"/>
          <cell r="H309"/>
          <cell r="I309"/>
          <cell r="J309"/>
          <cell r="K309"/>
          <cell r="L309"/>
          <cell r="M309"/>
          <cell r="N309"/>
        </row>
        <row r="310">
          <cell r="F310"/>
          <cell r="G310"/>
          <cell r="H310"/>
          <cell r="I310"/>
          <cell r="J310"/>
          <cell r="K310"/>
          <cell r="L310"/>
          <cell r="M310"/>
          <cell r="N310"/>
        </row>
        <row r="311">
          <cell r="F311"/>
          <cell r="G311"/>
          <cell r="H311"/>
          <cell r="I311"/>
          <cell r="J311"/>
          <cell r="K311"/>
          <cell r="L311"/>
          <cell r="M311"/>
          <cell r="N311"/>
        </row>
        <row r="312">
          <cell r="F312"/>
          <cell r="G312"/>
          <cell r="H312"/>
          <cell r="I312"/>
          <cell r="J312"/>
          <cell r="K312"/>
          <cell r="L312"/>
          <cell r="M312"/>
          <cell r="N312"/>
        </row>
        <row r="313">
          <cell r="F313"/>
          <cell r="G313"/>
          <cell r="H313"/>
          <cell r="I313"/>
          <cell r="J313"/>
          <cell r="K313"/>
          <cell r="L313"/>
          <cell r="M313"/>
          <cell r="N313"/>
        </row>
        <row r="314">
          <cell r="F314"/>
          <cell r="G314"/>
          <cell r="H314"/>
          <cell r="I314"/>
          <cell r="J314"/>
          <cell r="K314"/>
          <cell r="L314"/>
          <cell r="M314"/>
          <cell r="N314"/>
        </row>
        <row r="315">
          <cell r="F315"/>
          <cell r="G315"/>
          <cell r="H315"/>
          <cell r="I315"/>
          <cell r="J315"/>
          <cell r="K315"/>
          <cell r="L315"/>
          <cell r="M315"/>
          <cell r="N315"/>
        </row>
        <row r="316">
          <cell r="F316"/>
          <cell r="G316"/>
          <cell r="H316"/>
          <cell r="I316"/>
          <cell r="J316"/>
          <cell r="K316"/>
          <cell r="L316"/>
          <cell r="M316"/>
          <cell r="N316"/>
        </row>
        <row r="317">
          <cell r="F317"/>
          <cell r="G317"/>
          <cell r="H317"/>
          <cell r="I317"/>
          <cell r="J317"/>
          <cell r="K317"/>
          <cell r="L317"/>
          <cell r="M317"/>
          <cell r="N317"/>
        </row>
        <row r="318">
          <cell r="F318"/>
          <cell r="G318"/>
          <cell r="H318"/>
          <cell r="I318"/>
          <cell r="J318"/>
          <cell r="K318"/>
          <cell r="L318"/>
          <cell r="M318"/>
          <cell r="N318"/>
        </row>
        <row r="319">
          <cell r="F319"/>
          <cell r="G319"/>
          <cell r="H319"/>
          <cell r="I319"/>
          <cell r="J319"/>
          <cell r="K319"/>
          <cell r="L319"/>
          <cell r="M319"/>
          <cell r="N319"/>
        </row>
        <row r="320">
          <cell r="F320"/>
          <cell r="G320"/>
          <cell r="H320"/>
          <cell r="I320"/>
          <cell r="J320"/>
          <cell r="K320"/>
          <cell r="L320"/>
          <cell r="M320"/>
          <cell r="N320"/>
        </row>
        <row r="321">
          <cell r="F321"/>
          <cell r="G321"/>
          <cell r="H321"/>
          <cell r="I321"/>
          <cell r="J321"/>
          <cell r="K321"/>
          <cell r="L321"/>
          <cell r="M321"/>
          <cell r="N321"/>
        </row>
        <row r="322">
          <cell r="F322"/>
          <cell r="G322"/>
          <cell r="H322"/>
          <cell r="I322"/>
          <cell r="J322"/>
          <cell r="K322"/>
          <cell r="L322"/>
          <cell r="M322"/>
          <cell r="N322"/>
        </row>
        <row r="323">
          <cell r="F323"/>
          <cell r="G323"/>
          <cell r="H323"/>
          <cell r="I323"/>
          <cell r="J323"/>
          <cell r="K323"/>
          <cell r="L323"/>
          <cell r="M323"/>
          <cell r="N323"/>
        </row>
        <row r="324">
          <cell r="F324"/>
          <cell r="G324"/>
          <cell r="H324"/>
          <cell r="I324"/>
          <cell r="J324"/>
          <cell r="K324"/>
          <cell r="L324"/>
          <cell r="M324"/>
          <cell r="N324"/>
        </row>
        <row r="325">
          <cell r="F325"/>
          <cell r="G325"/>
          <cell r="H325"/>
          <cell r="I325"/>
          <cell r="J325"/>
          <cell r="K325"/>
          <cell r="L325"/>
          <cell r="M325"/>
          <cell r="N325"/>
        </row>
        <row r="326">
          <cell r="F326"/>
          <cell r="G326"/>
          <cell r="H326"/>
          <cell r="I326"/>
          <cell r="J326"/>
          <cell r="K326"/>
          <cell r="L326"/>
          <cell r="M326"/>
          <cell r="N326"/>
        </row>
        <row r="327">
          <cell r="F327"/>
          <cell r="G327"/>
          <cell r="H327"/>
          <cell r="I327"/>
          <cell r="J327"/>
          <cell r="K327"/>
          <cell r="L327"/>
          <cell r="M327"/>
          <cell r="N327"/>
        </row>
        <row r="328">
          <cell r="F328"/>
          <cell r="G328"/>
          <cell r="H328"/>
          <cell r="I328"/>
          <cell r="J328"/>
          <cell r="K328"/>
          <cell r="L328"/>
          <cell r="M328"/>
          <cell r="N328"/>
        </row>
        <row r="329">
          <cell r="F329"/>
          <cell r="G329"/>
          <cell r="H329"/>
          <cell r="I329"/>
          <cell r="J329"/>
          <cell r="K329"/>
          <cell r="L329"/>
          <cell r="M329"/>
          <cell r="N329"/>
        </row>
        <row r="330">
          <cell r="F330"/>
          <cell r="G330"/>
          <cell r="H330"/>
          <cell r="I330"/>
          <cell r="J330"/>
          <cell r="K330"/>
          <cell r="L330"/>
          <cell r="M330"/>
          <cell r="N330"/>
        </row>
        <row r="331">
          <cell r="F331"/>
          <cell r="G331"/>
          <cell r="H331"/>
          <cell r="I331"/>
          <cell r="J331"/>
          <cell r="K331"/>
          <cell r="L331"/>
          <cell r="M331"/>
          <cell r="N331"/>
        </row>
        <row r="332">
          <cell r="F332"/>
          <cell r="G332"/>
          <cell r="H332"/>
          <cell r="I332"/>
          <cell r="J332"/>
          <cell r="K332"/>
          <cell r="L332"/>
          <cell r="M332"/>
          <cell r="N332"/>
        </row>
        <row r="333">
          <cell r="F333"/>
          <cell r="G333"/>
          <cell r="H333"/>
          <cell r="I333"/>
          <cell r="J333"/>
          <cell r="K333"/>
          <cell r="L333"/>
          <cell r="M333"/>
          <cell r="N333"/>
        </row>
        <row r="334">
          <cell r="F334"/>
          <cell r="G334"/>
          <cell r="H334"/>
          <cell r="I334"/>
          <cell r="J334"/>
          <cell r="K334"/>
          <cell r="L334"/>
          <cell r="M334"/>
          <cell r="N334"/>
        </row>
        <row r="335">
          <cell r="F335"/>
          <cell r="G335"/>
          <cell r="H335"/>
          <cell r="I335"/>
          <cell r="J335"/>
          <cell r="K335"/>
          <cell r="L335"/>
          <cell r="M335"/>
          <cell r="N335"/>
        </row>
        <row r="336">
          <cell r="F336"/>
          <cell r="G336"/>
          <cell r="H336"/>
          <cell r="I336"/>
          <cell r="J336"/>
          <cell r="K336"/>
          <cell r="L336"/>
          <cell r="M336"/>
          <cell r="N336"/>
        </row>
        <row r="337">
          <cell r="F337"/>
          <cell r="G337"/>
          <cell r="H337"/>
          <cell r="I337"/>
          <cell r="J337"/>
          <cell r="K337"/>
          <cell r="L337"/>
          <cell r="M337"/>
          <cell r="N337"/>
        </row>
        <row r="338">
          <cell r="F338"/>
          <cell r="G338"/>
          <cell r="H338"/>
          <cell r="I338"/>
          <cell r="J338"/>
          <cell r="K338"/>
          <cell r="L338"/>
          <cell r="M338"/>
          <cell r="N338"/>
        </row>
        <row r="339">
          <cell r="F339"/>
          <cell r="G339"/>
          <cell r="H339"/>
          <cell r="I339"/>
          <cell r="J339"/>
          <cell r="K339"/>
          <cell r="L339"/>
          <cell r="M339"/>
          <cell r="N339"/>
        </row>
        <row r="340">
          <cell r="F340"/>
          <cell r="G340"/>
          <cell r="H340"/>
          <cell r="I340"/>
          <cell r="J340"/>
          <cell r="K340"/>
          <cell r="L340"/>
          <cell r="M340"/>
          <cell r="N340"/>
        </row>
        <row r="341">
          <cell r="F341"/>
          <cell r="G341"/>
          <cell r="H341"/>
          <cell r="I341"/>
          <cell r="J341"/>
          <cell r="K341"/>
          <cell r="L341"/>
          <cell r="M341"/>
          <cell r="N341"/>
        </row>
        <row r="342">
          <cell r="F342"/>
          <cell r="G342"/>
          <cell r="H342"/>
          <cell r="I342"/>
          <cell r="J342"/>
          <cell r="K342"/>
          <cell r="L342"/>
          <cell r="M342"/>
          <cell r="N342"/>
        </row>
        <row r="343">
          <cell r="F343"/>
          <cell r="G343"/>
          <cell r="H343"/>
          <cell r="I343"/>
          <cell r="J343"/>
          <cell r="K343"/>
          <cell r="L343"/>
          <cell r="M343"/>
          <cell r="N343"/>
        </row>
        <row r="344">
          <cell r="F344"/>
          <cell r="G344"/>
          <cell r="H344"/>
          <cell r="I344"/>
          <cell r="J344"/>
          <cell r="K344"/>
          <cell r="L344"/>
          <cell r="M344"/>
          <cell r="N344"/>
        </row>
        <row r="345">
          <cell r="F345"/>
          <cell r="G345"/>
          <cell r="H345"/>
          <cell r="I345"/>
          <cell r="J345"/>
          <cell r="K345"/>
          <cell r="L345"/>
          <cell r="M345"/>
          <cell r="N345"/>
        </row>
        <row r="346">
          <cell r="F346"/>
          <cell r="G346"/>
          <cell r="H346"/>
          <cell r="I346"/>
          <cell r="J346"/>
          <cell r="K346"/>
          <cell r="L346"/>
          <cell r="M346"/>
          <cell r="N346"/>
        </row>
        <row r="347">
          <cell r="F347"/>
          <cell r="G347"/>
          <cell r="H347"/>
          <cell r="I347"/>
          <cell r="J347"/>
          <cell r="K347"/>
          <cell r="L347"/>
          <cell r="M347"/>
          <cell r="N347"/>
        </row>
        <row r="348">
          <cell r="F348"/>
          <cell r="G348"/>
          <cell r="H348"/>
          <cell r="I348"/>
          <cell r="J348"/>
          <cell r="K348"/>
          <cell r="L348"/>
          <cell r="M348"/>
          <cell r="N348"/>
        </row>
        <row r="349">
          <cell r="F349"/>
          <cell r="G349"/>
          <cell r="H349"/>
          <cell r="I349"/>
          <cell r="J349"/>
          <cell r="K349"/>
          <cell r="L349"/>
          <cell r="M349"/>
          <cell r="N349"/>
        </row>
        <row r="350">
          <cell r="F350"/>
          <cell r="G350"/>
          <cell r="H350"/>
          <cell r="I350"/>
          <cell r="J350"/>
          <cell r="K350"/>
          <cell r="L350"/>
          <cell r="M350"/>
          <cell r="N350"/>
        </row>
        <row r="351">
          <cell r="F351"/>
          <cell r="G351"/>
          <cell r="H351"/>
          <cell r="I351"/>
          <cell r="J351"/>
          <cell r="K351"/>
          <cell r="L351"/>
          <cell r="M351"/>
          <cell r="N351"/>
        </row>
        <row r="352">
          <cell r="F352"/>
          <cell r="G352"/>
          <cell r="H352"/>
          <cell r="I352"/>
          <cell r="J352"/>
          <cell r="K352"/>
          <cell r="L352"/>
          <cell r="M352"/>
          <cell r="N352"/>
        </row>
        <row r="353">
          <cell r="F353"/>
          <cell r="G353"/>
          <cell r="H353"/>
          <cell r="I353"/>
          <cell r="J353"/>
          <cell r="K353"/>
          <cell r="L353"/>
          <cell r="M353"/>
          <cell r="N353"/>
        </row>
        <row r="354">
          <cell r="F354"/>
          <cell r="G354"/>
          <cell r="H354"/>
          <cell r="I354"/>
          <cell r="J354"/>
          <cell r="K354"/>
          <cell r="L354"/>
          <cell r="M354"/>
          <cell r="N354"/>
        </row>
        <row r="355">
          <cell r="F355"/>
          <cell r="G355"/>
          <cell r="H355"/>
          <cell r="I355"/>
          <cell r="J355"/>
          <cell r="K355"/>
          <cell r="L355"/>
          <cell r="M355"/>
          <cell r="N355"/>
        </row>
        <row r="356">
          <cell r="F356"/>
          <cell r="G356"/>
          <cell r="H356"/>
          <cell r="I356"/>
          <cell r="J356"/>
          <cell r="K356"/>
          <cell r="L356"/>
          <cell r="M356"/>
          <cell r="N356"/>
        </row>
        <row r="357">
          <cell r="F357"/>
          <cell r="G357"/>
          <cell r="H357"/>
          <cell r="I357"/>
          <cell r="J357"/>
          <cell r="K357"/>
          <cell r="L357"/>
          <cell r="M357"/>
          <cell r="N357"/>
        </row>
        <row r="358">
          <cell r="F358"/>
          <cell r="G358"/>
          <cell r="H358"/>
          <cell r="I358"/>
          <cell r="J358"/>
          <cell r="K358"/>
          <cell r="L358"/>
          <cell r="M358"/>
          <cell r="N358"/>
        </row>
        <row r="359">
          <cell r="F359"/>
          <cell r="G359"/>
          <cell r="H359"/>
          <cell r="I359"/>
          <cell r="J359"/>
          <cell r="K359"/>
          <cell r="L359"/>
          <cell r="M359"/>
          <cell r="N359"/>
        </row>
        <row r="360">
          <cell r="F360"/>
          <cell r="G360"/>
          <cell r="H360"/>
          <cell r="I360"/>
          <cell r="J360"/>
          <cell r="K360"/>
          <cell r="L360"/>
          <cell r="M360"/>
          <cell r="N360"/>
        </row>
        <row r="361">
          <cell r="F361"/>
          <cell r="G361"/>
          <cell r="H361"/>
          <cell r="I361"/>
          <cell r="J361"/>
          <cell r="K361"/>
          <cell r="L361"/>
          <cell r="M361"/>
          <cell r="N361"/>
        </row>
        <row r="362">
          <cell r="F362"/>
          <cell r="G362"/>
          <cell r="H362"/>
          <cell r="I362"/>
          <cell r="J362"/>
          <cell r="K362"/>
          <cell r="L362"/>
          <cell r="M362"/>
          <cell r="N362"/>
        </row>
        <row r="363">
          <cell r="F363"/>
          <cell r="G363"/>
          <cell r="H363"/>
          <cell r="I363"/>
          <cell r="J363"/>
          <cell r="K363"/>
          <cell r="L363"/>
          <cell r="M363"/>
          <cell r="N363"/>
        </row>
        <row r="364">
          <cell r="F364"/>
          <cell r="G364"/>
          <cell r="H364"/>
          <cell r="I364"/>
          <cell r="J364"/>
          <cell r="K364"/>
          <cell r="L364"/>
          <cell r="M364"/>
          <cell r="N364"/>
        </row>
        <row r="365">
          <cell r="F365"/>
          <cell r="G365"/>
          <cell r="H365"/>
          <cell r="I365"/>
          <cell r="J365"/>
          <cell r="K365"/>
          <cell r="L365"/>
          <cell r="M365"/>
          <cell r="N365"/>
        </row>
        <row r="366">
          <cell r="F366"/>
          <cell r="G366"/>
          <cell r="H366"/>
          <cell r="I366"/>
          <cell r="J366"/>
          <cell r="K366"/>
          <cell r="L366"/>
          <cell r="M366"/>
          <cell r="N366"/>
        </row>
        <row r="367">
          <cell r="F367"/>
          <cell r="G367"/>
          <cell r="H367"/>
          <cell r="I367"/>
          <cell r="J367"/>
          <cell r="K367"/>
          <cell r="L367"/>
          <cell r="M367"/>
          <cell r="N367"/>
        </row>
        <row r="368">
          <cell r="F368"/>
          <cell r="G368"/>
          <cell r="H368"/>
          <cell r="I368"/>
          <cell r="J368"/>
          <cell r="K368"/>
          <cell r="L368"/>
          <cell r="M368"/>
          <cell r="N368"/>
        </row>
        <row r="369">
          <cell r="F369"/>
          <cell r="G369"/>
          <cell r="H369"/>
          <cell r="I369"/>
          <cell r="J369"/>
          <cell r="K369"/>
          <cell r="L369"/>
          <cell r="M369"/>
          <cell r="N369"/>
        </row>
        <row r="370">
          <cell r="F370"/>
          <cell r="G370"/>
          <cell r="H370"/>
          <cell r="I370"/>
          <cell r="J370"/>
          <cell r="K370"/>
          <cell r="L370"/>
          <cell r="M370"/>
          <cell r="N370"/>
        </row>
        <row r="371">
          <cell r="F371"/>
          <cell r="G371"/>
          <cell r="H371"/>
          <cell r="I371"/>
          <cell r="J371"/>
          <cell r="K371"/>
          <cell r="L371"/>
          <cell r="M371"/>
          <cell r="N371"/>
        </row>
        <row r="372">
          <cell r="F372"/>
          <cell r="G372"/>
          <cell r="H372"/>
          <cell r="I372"/>
          <cell r="J372"/>
          <cell r="K372"/>
          <cell r="L372"/>
          <cell r="M372"/>
          <cell r="N372"/>
        </row>
        <row r="373">
          <cell r="F373"/>
          <cell r="G373"/>
          <cell r="H373"/>
          <cell r="I373"/>
          <cell r="J373"/>
          <cell r="K373"/>
          <cell r="L373"/>
          <cell r="M373"/>
          <cell r="N373"/>
        </row>
        <row r="374">
          <cell r="F374"/>
          <cell r="G374"/>
          <cell r="H374"/>
          <cell r="I374"/>
          <cell r="J374"/>
          <cell r="K374"/>
          <cell r="L374"/>
          <cell r="M374"/>
          <cell r="N374"/>
        </row>
        <row r="375">
          <cell r="F375"/>
          <cell r="G375"/>
          <cell r="H375"/>
          <cell r="I375"/>
          <cell r="J375"/>
          <cell r="K375"/>
          <cell r="L375"/>
          <cell r="M375"/>
          <cell r="N375"/>
        </row>
        <row r="376">
          <cell r="F376"/>
          <cell r="G376"/>
          <cell r="H376"/>
          <cell r="I376"/>
          <cell r="J376"/>
          <cell r="K376"/>
          <cell r="L376"/>
          <cell r="M376"/>
          <cell r="N376"/>
        </row>
        <row r="377">
          <cell r="F377"/>
          <cell r="G377"/>
          <cell r="H377"/>
          <cell r="I377"/>
          <cell r="J377"/>
          <cell r="K377"/>
          <cell r="L377"/>
          <cell r="M377"/>
          <cell r="N377"/>
        </row>
        <row r="378">
          <cell r="F378"/>
          <cell r="G378"/>
          <cell r="H378"/>
          <cell r="I378"/>
          <cell r="J378"/>
          <cell r="K378"/>
          <cell r="L378"/>
          <cell r="M378"/>
          <cell r="N378"/>
        </row>
        <row r="379">
          <cell r="F379"/>
          <cell r="G379"/>
          <cell r="H379"/>
          <cell r="I379"/>
          <cell r="J379"/>
          <cell r="K379"/>
          <cell r="L379"/>
          <cell r="M379"/>
          <cell r="N379"/>
        </row>
        <row r="380">
          <cell r="F380"/>
          <cell r="G380"/>
          <cell r="H380"/>
          <cell r="I380"/>
          <cell r="J380"/>
          <cell r="K380"/>
          <cell r="L380"/>
          <cell r="M380"/>
          <cell r="N380"/>
        </row>
        <row r="381">
          <cell r="F381"/>
          <cell r="G381"/>
          <cell r="H381"/>
          <cell r="I381"/>
          <cell r="J381"/>
          <cell r="K381"/>
          <cell r="L381"/>
          <cell r="M381"/>
          <cell r="N381"/>
        </row>
        <row r="382">
          <cell r="F382"/>
          <cell r="G382"/>
          <cell r="H382"/>
          <cell r="I382"/>
          <cell r="J382"/>
          <cell r="K382"/>
          <cell r="L382"/>
          <cell r="M382"/>
          <cell r="N382"/>
        </row>
        <row r="383">
          <cell r="F383"/>
          <cell r="G383"/>
          <cell r="H383"/>
          <cell r="I383"/>
          <cell r="J383"/>
          <cell r="K383"/>
          <cell r="L383"/>
          <cell r="M383"/>
          <cell r="N383"/>
        </row>
        <row r="384">
          <cell r="F384"/>
          <cell r="G384"/>
          <cell r="H384"/>
          <cell r="I384"/>
          <cell r="J384"/>
          <cell r="K384"/>
          <cell r="L384"/>
          <cell r="M384"/>
          <cell r="N384"/>
        </row>
        <row r="385">
          <cell r="F385"/>
          <cell r="G385"/>
          <cell r="H385"/>
          <cell r="I385"/>
          <cell r="J385"/>
          <cell r="K385"/>
          <cell r="L385"/>
          <cell r="M385"/>
          <cell r="N385"/>
        </row>
        <row r="386">
          <cell r="F386"/>
          <cell r="G386"/>
          <cell r="H386"/>
          <cell r="I386"/>
          <cell r="J386"/>
          <cell r="K386"/>
          <cell r="L386"/>
          <cell r="M386"/>
          <cell r="N386"/>
        </row>
        <row r="387">
          <cell r="F387"/>
          <cell r="G387"/>
          <cell r="H387"/>
          <cell r="I387"/>
          <cell r="J387"/>
          <cell r="K387"/>
          <cell r="L387"/>
          <cell r="M387"/>
          <cell r="N387"/>
        </row>
        <row r="388">
          <cell r="F388"/>
          <cell r="G388"/>
          <cell r="H388"/>
          <cell r="I388"/>
          <cell r="J388"/>
          <cell r="K388"/>
          <cell r="L388"/>
          <cell r="M388"/>
          <cell r="N388"/>
        </row>
        <row r="389">
          <cell r="F389"/>
          <cell r="G389"/>
          <cell r="H389"/>
          <cell r="I389"/>
          <cell r="J389"/>
          <cell r="K389"/>
          <cell r="L389"/>
          <cell r="M389"/>
          <cell r="N389"/>
        </row>
        <row r="390">
          <cell r="F390"/>
          <cell r="G390"/>
          <cell r="H390"/>
          <cell r="I390"/>
          <cell r="J390"/>
          <cell r="K390"/>
          <cell r="L390"/>
          <cell r="M390"/>
          <cell r="N390"/>
        </row>
        <row r="391">
          <cell r="F391"/>
          <cell r="G391"/>
          <cell r="H391"/>
          <cell r="I391"/>
          <cell r="J391"/>
          <cell r="K391"/>
          <cell r="L391"/>
          <cell r="M391"/>
          <cell r="N391"/>
        </row>
        <row r="392">
          <cell r="F392"/>
          <cell r="G392"/>
          <cell r="H392"/>
          <cell r="I392"/>
          <cell r="J392"/>
          <cell r="K392"/>
          <cell r="L392"/>
          <cell r="M392"/>
          <cell r="N392"/>
        </row>
        <row r="393">
          <cell r="F393"/>
          <cell r="G393"/>
          <cell r="H393"/>
          <cell r="I393"/>
          <cell r="J393"/>
          <cell r="K393"/>
          <cell r="L393"/>
          <cell r="M393"/>
          <cell r="N393"/>
        </row>
        <row r="394">
          <cell r="F394"/>
          <cell r="G394"/>
          <cell r="H394"/>
          <cell r="I394"/>
          <cell r="J394"/>
          <cell r="K394"/>
          <cell r="L394"/>
          <cell r="M394"/>
          <cell r="N394"/>
        </row>
        <row r="395">
          <cell r="F395"/>
          <cell r="G395"/>
          <cell r="H395"/>
          <cell r="I395"/>
          <cell r="J395"/>
          <cell r="K395"/>
          <cell r="L395"/>
          <cell r="M395"/>
          <cell r="N395"/>
        </row>
        <row r="396">
          <cell r="F396"/>
          <cell r="G396"/>
          <cell r="H396"/>
          <cell r="I396"/>
          <cell r="J396"/>
          <cell r="K396"/>
          <cell r="L396"/>
          <cell r="M396"/>
          <cell r="N396"/>
        </row>
        <row r="397">
          <cell r="F397"/>
          <cell r="G397"/>
          <cell r="H397"/>
          <cell r="I397"/>
          <cell r="J397"/>
          <cell r="K397"/>
          <cell r="L397"/>
          <cell r="M397"/>
          <cell r="N397"/>
        </row>
        <row r="398">
          <cell r="F398"/>
          <cell r="G398"/>
          <cell r="H398"/>
          <cell r="I398"/>
          <cell r="J398"/>
          <cell r="K398"/>
          <cell r="L398"/>
          <cell r="M398"/>
          <cell r="N398"/>
        </row>
        <row r="399">
          <cell r="F399"/>
          <cell r="G399"/>
          <cell r="H399"/>
          <cell r="I399"/>
          <cell r="J399"/>
          <cell r="K399"/>
          <cell r="L399"/>
          <cell r="M399"/>
          <cell r="N399"/>
        </row>
        <row r="400">
          <cell r="F400"/>
          <cell r="G400"/>
          <cell r="H400"/>
          <cell r="I400"/>
          <cell r="J400"/>
          <cell r="K400"/>
          <cell r="L400"/>
          <cell r="M400"/>
          <cell r="N400"/>
        </row>
        <row r="401">
          <cell r="F401"/>
          <cell r="G401"/>
          <cell r="H401"/>
          <cell r="I401"/>
          <cell r="J401"/>
          <cell r="K401"/>
          <cell r="L401"/>
          <cell r="M401"/>
          <cell r="N401"/>
        </row>
        <row r="402">
          <cell r="F402"/>
          <cell r="G402"/>
          <cell r="H402"/>
          <cell r="I402"/>
          <cell r="J402"/>
          <cell r="K402"/>
          <cell r="L402"/>
          <cell r="M402"/>
          <cell r="N402"/>
        </row>
        <row r="403">
          <cell r="F403"/>
          <cell r="G403"/>
          <cell r="H403"/>
          <cell r="I403"/>
          <cell r="J403"/>
          <cell r="K403"/>
          <cell r="L403"/>
          <cell r="M403"/>
          <cell r="N403"/>
        </row>
        <row r="404">
          <cell r="F404"/>
          <cell r="G404"/>
          <cell r="H404"/>
          <cell r="I404"/>
          <cell r="J404"/>
          <cell r="K404"/>
          <cell r="L404"/>
          <cell r="M404"/>
          <cell r="N404"/>
        </row>
        <row r="405">
          <cell r="F405"/>
          <cell r="G405"/>
          <cell r="H405"/>
          <cell r="I405"/>
          <cell r="J405"/>
          <cell r="K405"/>
          <cell r="L405"/>
          <cell r="M405"/>
          <cell r="N405"/>
        </row>
        <row r="406">
          <cell r="F406"/>
          <cell r="G406"/>
          <cell r="H406"/>
          <cell r="I406"/>
          <cell r="J406"/>
          <cell r="K406"/>
          <cell r="L406"/>
          <cell r="M406"/>
          <cell r="N406"/>
        </row>
        <row r="407">
          <cell r="F407"/>
          <cell r="G407"/>
          <cell r="H407"/>
          <cell r="I407"/>
          <cell r="J407"/>
          <cell r="K407"/>
          <cell r="L407"/>
          <cell r="M407"/>
          <cell r="N407"/>
        </row>
        <row r="408">
          <cell r="F408"/>
          <cell r="G408"/>
          <cell r="H408"/>
          <cell r="I408"/>
          <cell r="J408"/>
          <cell r="K408"/>
          <cell r="L408"/>
          <cell r="M408"/>
          <cell r="N408"/>
        </row>
        <row r="409">
          <cell r="F409"/>
          <cell r="G409"/>
          <cell r="H409"/>
          <cell r="I409"/>
          <cell r="J409"/>
          <cell r="K409"/>
          <cell r="L409"/>
          <cell r="M409"/>
          <cell r="N409"/>
        </row>
        <row r="410">
          <cell r="F410"/>
          <cell r="G410"/>
          <cell r="H410"/>
          <cell r="I410"/>
          <cell r="J410"/>
          <cell r="K410"/>
          <cell r="L410"/>
          <cell r="M410"/>
          <cell r="N410"/>
        </row>
        <row r="411">
          <cell r="F411"/>
          <cell r="G411"/>
          <cell r="H411"/>
          <cell r="I411"/>
          <cell r="J411"/>
          <cell r="K411"/>
          <cell r="L411"/>
          <cell r="M411"/>
          <cell r="N411"/>
        </row>
        <row r="412">
          <cell r="F412"/>
          <cell r="G412"/>
          <cell r="H412"/>
          <cell r="I412"/>
          <cell r="J412"/>
          <cell r="K412"/>
          <cell r="L412"/>
          <cell r="M412"/>
          <cell r="N412"/>
        </row>
        <row r="413">
          <cell r="F413"/>
          <cell r="G413"/>
          <cell r="H413"/>
          <cell r="I413"/>
          <cell r="J413"/>
          <cell r="K413"/>
          <cell r="L413"/>
          <cell r="M413"/>
          <cell r="N413"/>
        </row>
        <row r="414">
          <cell r="F414"/>
          <cell r="G414"/>
          <cell r="H414"/>
          <cell r="I414"/>
          <cell r="J414"/>
          <cell r="K414"/>
          <cell r="L414"/>
          <cell r="M414"/>
          <cell r="N414"/>
        </row>
        <row r="415">
          <cell r="F415"/>
          <cell r="G415"/>
          <cell r="H415"/>
          <cell r="I415"/>
          <cell r="J415"/>
          <cell r="K415"/>
          <cell r="L415"/>
          <cell r="M415"/>
          <cell r="N415"/>
        </row>
        <row r="416">
          <cell r="F416"/>
          <cell r="G416"/>
          <cell r="H416"/>
          <cell r="I416"/>
          <cell r="J416"/>
          <cell r="K416"/>
          <cell r="L416"/>
          <cell r="M416"/>
          <cell r="N416"/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9">
          <cell r="C9">
            <v>1</v>
          </cell>
          <cell r="D9" t="str">
            <v>Activo</v>
          </cell>
          <cell r="E9">
            <v>6775674099.1099997</v>
          </cell>
          <cell r="F9">
            <v>25628021372.639999</v>
          </cell>
          <cell r="G9">
            <v>25080225782.790001</v>
          </cell>
          <cell r="H9">
            <v>7323469688.96</v>
          </cell>
        </row>
        <row r="10">
          <cell r="C10">
            <v>11</v>
          </cell>
          <cell r="D10" t="str">
            <v>Efectivo y equivalentes de efectivo</v>
          </cell>
          <cell r="E10">
            <v>20031605.960000001</v>
          </cell>
          <cell r="F10">
            <v>10453073755.91</v>
          </cell>
          <cell r="G10">
            <v>10398299453.700001</v>
          </cell>
          <cell r="H10">
            <v>74805908.170000002</v>
          </cell>
        </row>
        <row r="11">
          <cell r="C11">
            <v>1105</v>
          </cell>
          <cell r="D11" t="str">
            <v>Caja</v>
          </cell>
          <cell r="E11">
            <v>3790071.89</v>
          </cell>
          <cell r="F11">
            <v>2528497198</v>
          </cell>
          <cell r="G11">
            <v>2520347745</v>
          </cell>
          <cell r="H11">
            <v>11939524.890000001</v>
          </cell>
        </row>
        <row r="12">
          <cell r="C12">
            <v>110505</v>
          </cell>
          <cell r="D12" t="str">
            <v>Caja general</v>
          </cell>
          <cell r="E12">
            <v>3530861.89</v>
          </cell>
          <cell r="F12">
            <v>2527597198</v>
          </cell>
          <cell r="G12">
            <v>2519188535</v>
          </cell>
          <cell r="H12">
            <v>11939524.890000001</v>
          </cell>
        </row>
        <row r="13">
          <cell r="C13">
            <v>11050501</v>
          </cell>
          <cell r="D13" t="str">
            <v>Caja general</v>
          </cell>
          <cell r="E13">
            <v>3530861.89</v>
          </cell>
          <cell r="F13">
            <v>2527597198</v>
          </cell>
          <cell r="G13">
            <v>2519188535</v>
          </cell>
          <cell r="H13">
            <v>11939524.890000001</v>
          </cell>
        </row>
        <row r="14">
          <cell r="C14">
            <v>110510</v>
          </cell>
          <cell r="D14" t="str">
            <v>Cajas menores</v>
          </cell>
          <cell r="E14">
            <v>259210</v>
          </cell>
          <cell r="F14">
            <v>900000</v>
          </cell>
          <cell r="G14">
            <v>1159210</v>
          </cell>
          <cell r="H14">
            <v>0</v>
          </cell>
        </row>
        <row r="15">
          <cell r="C15">
            <v>11051001</v>
          </cell>
          <cell r="D15" t="str">
            <v>Cajas menores</v>
          </cell>
          <cell r="E15">
            <v>259210</v>
          </cell>
          <cell r="F15">
            <v>900000</v>
          </cell>
          <cell r="G15">
            <v>1159210</v>
          </cell>
          <cell r="H15">
            <v>0</v>
          </cell>
        </row>
        <row r="16">
          <cell r="C16">
            <v>1110</v>
          </cell>
          <cell r="D16" t="str">
            <v>Bancos</v>
          </cell>
          <cell r="E16">
            <v>16190208.289999999</v>
          </cell>
          <cell r="F16">
            <v>7696387863.7600002</v>
          </cell>
          <cell r="G16">
            <v>7652740584.8900003</v>
          </cell>
          <cell r="H16">
            <v>59837487.159999996</v>
          </cell>
        </row>
        <row r="17">
          <cell r="C17">
            <v>111005</v>
          </cell>
          <cell r="D17" t="str">
            <v>Moneda nacional</v>
          </cell>
          <cell r="E17">
            <v>16190208.289999999</v>
          </cell>
          <cell r="F17">
            <v>7696387863.7600002</v>
          </cell>
          <cell r="G17">
            <v>7652740584.8900003</v>
          </cell>
          <cell r="H17">
            <v>59837487.159999996</v>
          </cell>
        </row>
        <row r="18">
          <cell r="C18">
            <v>11100501</v>
          </cell>
          <cell r="D18" t="str">
            <v>Banco Bogota</v>
          </cell>
          <cell r="E18">
            <v>1176949.01</v>
          </cell>
          <cell r="F18">
            <v>202367469</v>
          </cell>
          <cell r="G18">
            <v>196362981.47999999</v>
          </cell>
          <cell r="H18">
            <v>7181436.5300000003</v>
          </cell>
        </row>
        <row r="19">
          <cell r="C19">
            <v>11100507</v>
          </cell>
          <cell r="D19" t="str">
            <v>Bancolombia</v>
          </cell>
          <cell r="E19">
            <v>2944913.44</v>
          </cell>
          <cell r="F19">
            <v>2174162984.5</v>
          </cell>
          <cell r="G19">
            <v>2173944447.7399998</v>
          </cell>
          <cell r="H19">
            <v>3163450.2</v>
          </cell>
        </row>
        <row r="20">
          <cell r="C20">
            <v>11100513</v>
          </cell>
          <cell r="D20" t="str">
            <v>BBVA</v>
          </cell>
          <cell r="E20">
            <v>1681</v>
          </cell>
          <cell r="F20">
            <v>0</v>
          </cell>
          <cell r="G20">
            <v>0</v>
          </cell>
          <cell r="H20">
            <v>1681</v>
          </cell>
        </row>
        <row r="21">
          <cell r="C21">
            <v>11100523</v>
          </cell>
          <cell r="D21" t="str">
            <v>Banco de Occidente</v>
          </cell>
          <cell r="E21">
            <v>110675.47</v>
          </cell>
          <cell r="F21">
            <v>495960308.31999999</v>
          </cell>
          <cell r="G21">
            <v>492998124.73000002</v>
          </cell>
          <cell r="H21">
            <v>3072859.06</v>
          </cell>
        </row>
        <row r="22">
          <cell r="C22">
            <v>11100551</v>
          </cell>
          <cell r="D22" t="str">
            <v>Davivienda Cuenta Corriente</v>
          </cell>
          <cell r="E22">
            <v>11955989.369999999</v>
          </cell>
          <cell r="F22">
            <v>4823897101.9399996</v>
          </cell>
          <cell r="G22">
            <v>4789435030.9399996</v>
          </cell>
          <cell r="H22">
            <v>46418060.369999997</v>
          </cell>
        </row>
        <row r="23">
          <cell r="C23">
            <v>1120</v>
          </cell>
          <cell r="D23" t="str">
            <v>Cuentas de ahorro</v>
          </cell>
          <cell r="E23">
            <v>51325.78</v>
          </cell>
          <cell r="F23">
            <v>228188694.15000001</v>
          </cell>
          <cell r="G23">
            <v>225211123.81</v>
          </cell>
          <cell r="H23">
            <v>3028896.12</v>
          </cell>
        </row>
        <row r="24">
          <cell r="C24">
            <v>112010</v>
          </cell>
          <cell r="D24" t="str">
            <v>Bancos</v>
          </cell>
          <cell r="E24">
            <v>51325.78</v>
          </cell>
          <cell r="F24">
            <v>228188694.15000001</v>
          </cell>
          <cell r="G24">
            <v>225211123.81</v>
          </cell>
          <cell r="H24">
            <v>3028896.12</v>
          </cell>
        </row>
        <row r="25">
          <cell r="C25">
            <v>11201040</v>
          </cell>
          <cell r="D25" t="str">
            <v>Davivienda Cuenta de Ahorros</v>
          </cell>
          <cell r="E25">
            <v>51325.78</v>
          </cell>
          <cell r="F25">
            <v>228188694.15000001</v>
          </cell>
          <cell r="G25">
            <v>225211123.81</v>
          </cell>
          <cell r="H25">
            <v>3028896.12</v>
          </cell>
        </row>
        <row r="26">
          <cell r="C26">
            <v>13</v>
          </cell>
          <cell r="D26" t="str">
            <v>Deudores comerciales y otras cuentas por cobrar</v>
          </cell>
          <cell r="E26">
            <v>3043588257.96</v>
          </cell>
          <cell r="F26">
            <v>9133421532.4400005</v>
          </cell>
          <cell r="G26">
            <v>8659740900.1399994</v>
          </cell>
          <cell r="H26">
            <v>3517268890.2600002</v>
          </cell>
        </row>
        <row r="27">
          <cell r="C27">
            <v>1305</v>
          </cell>
          <cell r="D27" t="str">
            <v>Clientes nacionales</v>
          </cell>
          <cell r="E27">
            <v>195070976.97</v>
          </cell>
          <cell r="F27">
            <v>7520737731</v>
          </cell>
          <cell r="G27">
            <v>7528650415.5799999</v>
          </cell>
          <cell r="H27">
            <v>187158292.38999999</v>
          </cell>
        </row>
        <row r="28">
          <cell r="C28">
            <v>130505</v>
          </cell>
          <cell r="D28" t="str">
            <v>Clientes nacionales</v>
          </cell>
          <cell r="E28">
            <v>195070976.97</v>
          </cell>
          <cell r="F28">
            <v>7520737731</v>
          </cell>
          <cell r="G28">
            <v>7528650415.5799999</v>
          </cell>
          <cell r="H28">
            <v>187158292.38999999</v>
          </cell>
        </row>
        <row r="29">
          <cell r="C29">
            <v>13050501</v>
          </cell>
          <cell r="D29" t="str">
            <v>Cartera Clientes Particulares</v>
          </cell>
          <cell r="E29">
            <v>179931013.58000001</v>
          </cell>
          <cell r="F29">
            <v>7520712731</v>
          </cell>
          <cell r="G29">
            <v>7528625415.5799999</v>
          </cell>
          <cell r="H29">
            <v>172018329</v>
          </cell>
        </row>
        <row r="30">
          <cell r="C30">
            <v>13050502</v>
          </cell>
          <cell r="D30" t="str">
            <v>Clientes de Opticas</v>
          </cell>
          <cell r="E30">
            <v>18596961</v>
          </cell>
          <cell r="F30">
            <v>25000</v>
          </cell>
          <cell r="G30">
            <v>25000</v>
          </cell>
          <cell r="H30">
            <v>18596961</v>
          </cell>
        </row>
        <row r="31">
          <cell r="C31">
            <v>13050503</v>
          </cell>
          <cell r="D31" t="str">
            <v>Cartera (ajustes)</v>
          </cell>
          <cell r="E31">
            <v>1280816</v>
          </cell>
          <cell r="F31">
            <v>0</v>
          </cell>
          <cell r="G31">
            <v>0</v>
          </cell>
          <cell r="H31">
            <v>1280816</v>
          </cell>
        </row>
        <row r="32">
          <cell r="C32">
            <v>13050597</v>
          </cell>
          <cell r="D32" t="str">
            <v>D. fiscal Clientes nacionales</v>
          </cell>
          <cell r="E32">
            <v>-4737813.6100000003</v>
          </cell>
          <cell r="F32">
            <v>0</v>
          </cell>
          <cell r="G32">
            <v>0</v>
          </cell>
          <cell r="H32">
            <v>-4737813.6100000003</v>
          </cell>
        </row>
        <row r="33">
          <cell r="C33">
            <v>1310</v>
          </cell>
          <cell r="D33" t="str">
            <v>Cuentas Corrientes Comerciales</v>
          </cell>
          <cell r="E33">
            <v>2480775767.2800002</v>
          </cell>
          <cell r="F33">
            <v>646821433.03999996</v>
          </cell>
          <cell r="G33">
            <v>105728588</v>
          </cell>
          <cell r="H33">
            <v>3021868612.3200002</v>
          </cell>
        </row>
        <row r="34">
          <cell r="C34">
            <v>131020</v>
          </cell>
          <cell r="D34" t="str">
            <v>Particulares</v>
          </cell>
          <cell r="E34">
            <v>2480775767.2800002</v>
          </cell>
          <cell r="F34">
            <v>646821433.03999996</v>
          </cell>
          <cell r="G34">
            <v>105728588</v>
          </cell>
          <cell r="H34">
            <v>3021868612.3200002</v>
          </cell>
        </row>
        <row r="35">
          <cell r="C35">
            <v>13102001</v>
          </cell>
          <cell r="D35" t="str">
            <v>Particulares</v>
          </cell>
          <cell r="E35">
            <v>2762270388.2800002</v>
          </cell>
          <cell r="F35">
            <v>646821433.03999996</v>
          </cell>
          <cell r="G35">
            <v>105728588</v>
          </cell>
          <cell r="H35">
            <v>3303363233.3200002</v>
          </cell>
        </row>
        <row r="36">
          <cell r="C36">
            <v>13102097</v>
          </cell>
          <cell r="D36" t="str">
            <v>Dif. fiscal en NIIF en Cta Ciales Particulares</v>
          </cell>
          <cell r="E36">
            <v>-281494621</v>
          </cell>
          <cell r="F36">
            <v>0</v>
          </cell>
          <cell r="G36">
            <v>0</v>
          </cell>
          <cell r="H36">
            <v>-281494621</v>
          </cell>
        </row>
        <row r="37">
          <cell r="C37">
            <v>1330</v>
          </cell>
          <cell r="D37" t="str">
            <v>Anticipos y avances</v>
          </cell>
          <cell r="E37">
            <v>26967514</v>
          </cell>
          <cell r="F37">
            <v>55316789</v>
          </cell>
          <cell r="G37">
            <v>59169865</v>
          </cell>
          <cell r="H37">
            <v>23114438</v>
          </cell>
        </row>
        <row r="38">
          <cell r="C38">
            <v>133005</v>
          </cell>
          <cell r="D38" t="str">
            <v>A proveedores</v>
          </cell>
          <cell r="E38">
            <v>9353903</v>
          </cell>
          <cell r="F38">
            <v>55316789</v>
          </cell>
          <cell r="G38">
            <v>59169865</v>
          </cell>
          <cell r="H38">
            <v>5500827</v>
          </cell>
        </row>
        <row r="39">
          <cell r="C39">
            <v>13300501</v>
          </cell>
          <cell r="D39" t="str">
            <v>A proveedores</v>
          </cell>
          <cell r="E39">
            <v>9353903</v>
          </cell>
          <cell r="F39">
            <v>55316789</v>
          </cell>
          <cell r="G39">
            <v>59169865</v>
          </cell>
          <cell r="H39">
            <v>5500827</v>
          </cell>
        </row>
        <row r="40">
          <cell r="C40">
            <v>133015</v>
          </cell>
          <cell r="D40" t="str">
            <v>A trabajadores</v>
          </cell>
          <cell r="E40">
            <v>557167</v>
          </cell>
          <cell r="F40">
            <v>0</v>
          </cell>
          <cell r="G40">
            <v>0</v>
          </cell>
          <cell r="H40">
            <v>557167</v>
          </cell>
        </row>
        <row r="41">
          <cell r="C41">
            <v>13301501</v>
          </cell>
          <cell r="D41" t="str">
            <v>Eventos</v>
          </cell>
          <cell r="E41">
            <v>557167</v>
          </cell>
          <cell r="F41">
            <v>0</v>
          </cell>
          <cell r="G41">
            <v>0</v>
          </cell>
          <cell r="H41">
            <v>557167</v>
          </cell>
        </row>
        <row r="42">
          <cell r="C42">
            <v>133095</v>
          </cell>
          <cell r="D42" t="str">
            <v>Otros</v>
          </cell>
          <cell r="E42">
            <v>17056444</v>
          </cell>
          <cell r="F42">
            <v>0</v>
          </cell>
          <cell r="G42">
            <v>0</v>
          </cell>
          <cell r="H42">
            <v>17056444</v>
          </cell>
        </row>
        <row r="43">
          <cell r="C43">
            <v>13309501</v>
          </cell>
          <cell r="D43" t="str">
            <v>Avances</v>
          </cell>
          <cell r="E43">
            <v>18463861</v>
          </cell>
          <cell r="F43">
            <v>0</v>
          </cell>
          <cell r="G43">
            <v>0</v>
          </cell>
          <cell r="H43">
            <v>18463861</v>
          </cell>
        </row>
        <row r="44">
          <cell r="C44">
            <v>13309597</v>
          </cell>
          <cell r="D44" t="str">
            <v>D. fiscal Otros</v>
          </cell>
          <cell r="E44">
            <v>-1407417</v>
          </cell>
          <cell r="F44">
            <v>0</v>
          </cell>
          <cell r="G44">
            <v>0</v>
          </cell>
          <cell r="H44">
            <v>-1407417</v>
          </cell>
        </row>
        <row r="45">
          <cell r="C45">
            <v>1355</v>
          </cell>
          <cell r="D45" t="str">
            <v>Anticipo de impuestos y contribuciones o</v>
          </cell>
          <cell r="E45">
            <v>326437211.55000001</v>
          </cell>
          <cell r="F45">
            <v>300370160.48000002</v>
          </cell>
          <cell r="G45">
            <v>341721119.54000002</v>
          </cell>
          <cell r="H45">
            <v>285086252.49000001</v>
          </cell>
        </row>
        <row r="46">
          <cell r="C46">
            <v>135510</v>
          </cell>
          <cell r="D46" t="str">
            <v>Anticipo de impuestos de industria y com.</v>
          </cell>
          <cell r="E46">
            <v>31000</v>
          </cell>
          <cell r="F46">
            <v>0</v>
          </cell>
          <cell r="G46">
            <v>0</v>
          </cell>
          <cell r="H46">
            <v>31000</v>
          </cell>
        </row>
        <row r="47">
          <cell r="C47">
            <v>13551001</v>
          </cell>
          <cell r="D47" t="str">
            <v>Anticipo de impuestos de industria y com.</v>
          </cell>
          <cell r="E47">
            <v>31000</v>
          </cell>
          <cell r="F47">
            <v>0</v>
          </cell>
          <cell r="G47">
            <v>0</v>
          </cell>
          <cell r="H47">
            <v>31000</v>
          </cell>
        </row>
        <row r="48">
          <cell r="C48">
            <v>135515</v>
          </cell>
          <cell r="D48" t="str">
            <v>Anticipo Retención en la fuente</v>
          </cell>
          <cell r="E48">
            <v>0</v>
          </cell>
          <cell r="F48">
            <v>158529779.06</v>
          </cell>
          <cell r="G48">
            <v>158531144.06</v>
          </cell>
          <cell r="H48">
            <v>-1365</v>
          </cell>
        </row>
        <row r="49">
          <cell r="C49">
            <v>13551501</v>
          </cell>
          <cell r="D49" t="str">
            <v>Anticipo Retención en la fuente 2,5%</v>
          </cell>
          <cell r="E49">
            <v>0</v>
          </cell>
          <cell r="F49">
            <v>120388291.33</v>
          </cell>
          <cell r="G49">
            <v>120389656.33</v>
          </cell>
          <cell r="H49">
            <v>-1365</v>
          </cell>
        </row>
        <row r="50">
          <cell r="C50">
            <v>13551509</v>
          </cell>
          <cell r="D50" t="str">
            <v>Anticipo Retención en la fuente 11%</v>
          </cell>
          <cell r="E50">
            <v>0</v>
          </cell>
          <cell r="F50">
            <v>1280422</v>
          </cell>
          <cell r="G50">
            <v>1280422</v>
          </cell>
          <cell r="H50">
            <v>0</v>
          </cell>
        </row>
        <row r="51">
          <cell r="C51">
            <v>13551518</v>
          </cell>
          <cell r="D51" t="str">
            <v>Anticipo Autoretención en la fuente 0,4%</v>
          </cell>
          <cell r="E51">
            <v>0</v>
          </cell>
          <cell r="F51">
            <v>4514575.82</v>
          </cell>
          <cell r="G51">
            <v>4514575.82</v>
          </cell>
          <cell r="H51">
            <v>0</v>
          </cell>
        </row>
        <row r="52">
          <cell r="C52">
            <v>13551522</v>
          </cell>
          <cell r="D52" t="str">
            <v>Anticipo Autoretencion en la fuente 0,55</v>
          </cell>
          <cell r="E52">
            <v>0</v>
          </cell>
          <cell r="F52">
            <v>32346489.91</v>
          </cell>
          <cell r="G52">
            <v>32346489.91</v>
          </cell>
          <cell r="H52">
            <v>0</v>
          </cell>
        </row>
        <row r="53">
          <cell r="C53">
            <v>135517</v>
          </cell>
          <cell r="D53" t="str">
            <v>Impuesto a las ventas retenido</v>
          </cell>
          <cell r="E53">
            <v>357875.85</v>
          </cell>
          <cell r="F53">
            <v>1817096.69</v>
          </cell>
          <cell r="G53">
            <v>1877855.48</v>
          </cell>
          <cell r="H53">
            <v>297117.06</v>
          </cell>
        </row>
        <row r="54">
          <cell r="C54">
            <v>13551701</v>
          </cell>
          <cell r="D54" t="str">
            <v>Impuesto a las ventas retenido 15%</v>
          </cell>
          <cell r="E54">
            <v>357875.85</v>
          </cell>
          <cell r="F54">
            <v>1817096.69</v>
          </cell>
          <cell r="G54">
            <v>1877855.48</v>
          </cell>
          <cell r="H54">
            <v>297117.06</v>
          </cell>
        </row>
        <row r="55">
          <cell r="C55">
            <v>135518</v>
          </cell>
          <cell r="D55" t="str">
            <v>Impuesto de industria y comercio retenido</v>
          </cell>
          <cell r="E55">
            <v>13070088.1</v>
          </cell>
          <cell r="F55">
            <v>27872998.670000002</v>
          </cell>
          <cell r="G55">
            <v>13521120</v>
          </cell>
          <cell r="H55">
            <v>27421966.77</v>
          </cell>
        </row>
        <row r="56">
          <cell r="C56">
            <v>13551801</v>
          </cell>
          <cell r="D56" t="str">
            <v>Rete Ica 11,04</v>
          </cell>
          <cell r="E56">
            <v>18959790.899999999</v>
          </cell>
          <cell r="F56">
            <v>19801894.670000002</v>
          </cell>
          <cell r="G56">
            <v>94649</v>
          </cell>
          <cell r="H56">
            <v>38667036.57</v>
          </cell>
        </row>
        <row r="57">
          <cell r="C57">
            <v>13551805</v>
          </cell>
          <cell r="D57" t="str">
            <v>Rete Ica 9,6</v>
          </cell>
          <cell r="E57">
            <v>-6475268.7999999998</v>
          </cell>
          <cell r="F57">
            <v>8071104</v>
          </cell>
          <cell r="G57">
            <v>13398471</v>
          </cell>
          <cell r="H57">
            <v>-11802635.800000001</v>
          </cell>
        </row>
        <row r="58">
          <cell r="C58">
            <v>13551806</v>
          </cell>
          <cell r="D58" t="str">
            <v>Devolución Rete Ica 9,6</v>
          </cell>
          <cell r="E58">
            <v>-83635</v>
          </cell>
          <cell r="F58">
            <v>0</v>
          </cell>
          <cell r="G58">
            <v>0</v>
          </cell>
          <cell r="H58">
            <v>-83635</v>
          </cell>
        </row>
        <row r="59">
          <cell r="C59">
            <v>13551819</v>
          </cell>
          <cell r="D59" t="str">
            <v>Rete Ica 10</v>
          </cell>
          <cell r="E59">
            <v>669201</v>
          </cell>
          <cell r="F59">
            <v>0</v>
          </cell>
          <cell r="G59">
            <v>28000</v>
          </cell>
          <cell r="H59">
            <v>641201</v>
          </cell>
        </row>
        <row r="60">
          <cell r="C60">
            <v>135520</v>
          </cell>
          <cell r="D60" t="str">
            <v>Sobrantes Liquidación Privada Impuesto</v>
          </cell>
          <cell r="E60">
            <v>312978247.60000002</v>
          </cell>
          <cell r="F60">
            <v>112150286.06</v>
          </cell>
          <cell r="G60">
            <v>167791000</v>
          </cell>
          <cell r="H60">
            <v>257337533.66</v>
          </cell>
        </row>
        <row r="61">
          <cell r="C61">
            <v>13552001</v>
          </cell>
          <cell r="D61" t="str">
            <v>Saldo A Favor -Imporenta</v>
          </cell>
          <cell r="E61">
            <v>265442591.94999999</v>
          </cell>
          <cell r="F61">
            <v>112150286.06</v>
          </cell>
          <cell r="G61">
            <v>156301000</v>
          </cell>
          <cell r="H61">
            <v>221291878.00999999</v>
          </cell>
        </row>
        <row r="62">
          <cell r="C62">
            <v>13552002</v>
          </cell>
          <cell r="D62" t="str">
            <v>Saldo a Favor - Iva</v>
          </cell>
          <cell r="E62">
            <v>1686445.06</v>
          </cell>
          <cell r="F62">
            <v>0</v>
          </cell>
          <cell r="G62">
            <v>0</v>
          </cell>
          <cell r="H62">
            <v>1686445.06</v>
          </cell>
        </row>
        <row r="63">
          <cell r="C63">
            <v>13552003</v>
          </cell>
          <cell r="D63" t="str">
            <v>Saldo a Favor - ICA</v>
          </cell>
          <cell r="E63">
            <v>45849210.590000004</v>
          </cell>
          <cell r="F63">
            <v>0</v>
          </cell>
          <cell r="G63">
            <v>11490000</v>
          </cell>
          <cell r="H63">
            <v>34359210.590000004</v>
          </cell>
        </row>
        <row r="64">
          <cell r="C64">
            <v>1365</v>
          </cell>
          <cell r="D64" t="str">
            <v>Cuentas por cobrar a trabajadores</v>
          </cell>
          <cell r="E64">
            <v>4989189</v>
          </cell>
          <cell r="F64">
            <v>14345062</v>
          </cell>
          <cell r="G64">
            <v>16842251</v>
          </cell>
          <cell r="H64">
            <v>2492000</v>
          </cell>
        </row>
        <row r="65">
          <cell r="C65">
            <v>136525</v>
          </cell>
          <cell r="D65" t="str">
            <v>Calamidad domestica</v>
          </cell>
          <cell r="E65">
            <v>4989189</v>
          </cell>
          <cell r="F65">
            <v>14345062</v>
          </cell>
          <cell r="G65">
            <v>16842251</v>
          </cell>
          <cell r="H65">
            <v>2492000</v>
          </cell>
        </row>
        <row r="66">
          <cell r="C66">
            <v>13652501</v>
          </cell>
          <cell r="D66" t="str">
            <v>Calamidad domestica</v>
          </cell>
          <cell r="E66">
            <v>4989189</v>
          </cell>
          <cell r="F66">
            <v>14345062</v>
          </cell>
          <cell r="G66">
            <v>16842251</v>
          </cell>
          <cell r="H66">
            <v>2492000</v>
          </cell>
        </row>
        <row r="67">
          <cell r="C67">
            <v>1370</v>
          </cell>
          <cell r="D67" t="str">
            <v>Prestamo a Particulares</v>
          </cell>
          <cell r="E67">
            <v>2142000</v>
          </cell>
          <cell r="F67">
            <v>400000</v>
          </cell>
          <cell r="G67">
            <v>0</v>
          </cell>
          <cell r="H67">
            <v>2542000</v>
          </cell>
        </row>
        <row r="68">
          <cell r="C68">
            <v>137010</v>
          </cell>
          <cell r="D68" t="str">
            <v>Con Garantia Personal</v>
          </cell>
          <cell r="E68">
            <v>2142000</v>
          </cell>
          <cell r="F68">
            <v>400000</v>
          </cell>
          <cell r="G68">
            <v>0</v>
          </cell>
          <cell r="H68">
            <v>2542000</v>
          </cell>
        </row>
        <row r="69">
          <cell r="C69">
            <v>13701001</v>
          </cell>
          <cell r="D69" t="str">
            <v>Prestamos Personales</v>
          </cell>
          <cell r="E69">
            <v>2142000</v>
          </cell>
          <cell r="F69">
            <v>400000</v>
          </cell>
          <cell r="G69">
            <v>0</v>
          </cell>
          <cell r="H69">
            <v>2542000</v>
          </cell>
        </row>
        <row r="70">
          <cell r="C70">
            <v>1380</v>
          </cell>
          <cell r="D70" t="str">
            <v>Deudores varios</v>
          </cell>
          <cell r="E70">
            <v>15543744.16</v>
          </cell>
          <cell r="F70">
            <v>595430356.91999996</v>
          </cell>
          <cell r="G70">
            <v>607628661.01999998</v>
          </cell>
          <cell r="H70">
            <v>3345440.06</v>
          </cell>
        </row>
        <row r="71">
          <cell r="C71">
            <v>138020</v>
          </cell>
          <cell r="D71" t="str">
            <v>Ctas por Cobrar de Terceros</v>
          </cell>
          <cell r="E71">
            <v>2062251</v>
          </cell>
          <cell r="F71">
            <v>0</v>
          </cell>
          <cell r="G71">
            <v>1216244</v>
          </cell>
          <cell r="H71">
            <v>846007</v>
          </cell>
        </row>
        <row r="72">
          <cell r="C72">
            <v>13802011</v>
          </cell>
          <cell r="D72" t="str">
            <v>Sodexo Pass</v>
          </cell>
          <cell r="E72">
            <v>2062251</v>
          </cell>
          <cell r="F72">
            <v>0</v>
          </cell>
          <cell r="G72">
            <v>1216244</v>
          </cell>
          <cell r="H72">
            <v>846007</v>
          </cell>
        </row>
        <row r="73">
          <cell r="C73">
            <v>138095</v>
          </cell>
          <cell r="D73" t="str">
            <v>Otros</v>
          </cell>
          <cell r="E73">
            <v>13481493.16</v>
          </cell>
          <cell r="F73">
            <v>595430356.91999996</v>
          </cell>
          <cell r="G73">
            <v>606412417.01999998</v>
          </cell>
          <cell r="H73">
            <v>2499433.06</v>
          </cell>
        </row>
        <row r="74">
          <cell r="C74">
            <v>13809501</v>
          </cell>
          <cell r="D74" t="str">
            <v>Incapacidades</v>
          </cell>
          <cell r="E74">
            <v>966045</v>
          </cell>
          <cell r="F74">
            <v>27726058</v>
          </cell>
          <cell r="G74">
            <v>28692103</v>
          </cell>
          <cell r="H74">
            <v>0</v>
          </cell>
        </row>
        <row r="75">
          <cell r="C75">
            <v>13809502</v>
          </cell>
          <cell r="D75" t="str">
            <v>Otros deudores</v>
          </cell>
          <cell r="E75">
            <v>11423824.16</v>
          </cell>
          <cell r="F75">
            <v>567704298.91999996</v>
          </cell>
          <cell r="G75">
            <v>577720314.01999998</v>
          </cell>
          <cell r="H75">
            <v>1407809.06</v>
          </cell>
        </row>
        <row r="76">
          <cell r="C76">
            <v>13809597</v>
          </cell>
          <cell r="D76" t="str">
            <v>D. fiscal otros deudores</v>
          </cell>
          <cell r="E76">
            <v>1091624</v>
          </cell>
          <cell r="F76">
            <v>0</v>
          </cell>
          <cell r="G76">
            <v>0</v>
          </cell>
          <cell r="H76">
            <v>1091624</v>
          </cell>
        </row>
        <row r="77">
          <cell r="C77">
            <v>1399</v>
          </cell>
          <cell r="D77" t="str">
            <v>Provisiones</v>
          </cell>
          <cell r="E77">
            <v>-8338145</v>
          </cell>
          <cell r="F77">
            <v>0</v>
          </cell>
          <cell r="G77">
            <v>0</v>
          </cell>
          <cell r="H77">
            <v>-8338145</v>
          </cell>
        </row>
        <row r="78">
          <cell r="C78">
            <v>139905</v>
          </cell>
          <cell r="D78" t="str">
            <v>Clientes</v>
          </cell>
          <cell r="E78">
            <v>-8338145</v>
          </cell>
          <cell r="F78">
            <v>0</v>
          </cell>
          <cell r="G78">
            <v>0</v>
          </cell>
          <cell r="H78">
            <v>-8338145</v>
          </cell>
        </row>
        <row r="79">
          <cell r="C79">
            <v>13990597</v>
          </cell>
          <cell r="D79" t="str">
            <v>D. fiscal clientes</v>
          </cell>
          <cell r="E79">
            <v>-8338145</v>
          </cell>
          <cell r="F79">
            <v>0</v>
          </cell>
          <cell r="G79">
            <v>0</v>
          </cell>
          <cell r="H79">
            <v>-8338145</v>
          </cell>
        </row>
        <row r="80">
          <cell r="C80">
            <v>14</v>
          </cell>
          <cell r="D80" t="str">
            <v>Inventarios</v>
          </cell>
          <cell r="E80">
            <v>1243856271.8499999</v>
          </cell>
          <cell r="F80">
            <v>3788940691.1500001</v>
          </cell>
          <cell r="G80">
            <v>3535501879</v>
          </cell>
          <cell r="H80">
            <v>1497295084</v>
          </cell>
        </row>
        <row r="81">
          <cell r="C81">
            <v>1435</v>
          </cell>
          <cell r="D81" t="str">
            <v>Mercancías no fabricadas por la empresa</v>
          </cell>
          <cell r="E81">
            <v>882829899.79999995</v>
          </cell>
          <cell r="F81">
            <v>3788940691.1500001</v>
          </cell>
          <cell r="G81">
            <v>3535501879</v>
          </cell>
          <cell r="H81">
            <v>1136268711.95</v>
          </cell>
        </row>
        <row r="82">
          <cell r="C82">
            <v>143501</v>
          </cell>
          <cell r="D82" t="str">
            <v>Mercancías no fabricadas</v>
          </cell>
          <cell r="E82">
            <v>38104385.799999997</v>
          </cell>
          <cell r="F82">
            <v>2096245613</v>
          </cell>
          <cell r="G82">
            <v>2093860296</v>
          </cell>
          <cell r="H82">
            <v>40489702.799999997</v>
          </cell>
        </row>
        <row r="83">
          <cell r="C83">
            <v>14350101</v>
          </cell>
          <cell r="D83" t="str">
            <v>Lentes Oftalmicos</v>
          </cell>
          <cell r="E83">
            <v>14346158.279999999</v>
          </cell>
          <cell r="F83">
            <v>2096245613</v>
          </cell>
          <cell r="G83">
            <v>2093860296</v>
          </cell>
          <cell r="H83">
            <v>16731475.279999999</v>
          </cell>
        </row>
        <row r="84">
          <cell r="C84">
            <v>14350197</v>
          </cell>
          <cell r="D84" t="str">
            <v>D. fiscal mercancías no fabricadas</v>
          </cell>
          <cell r="E84">
            <v>23758227.52</v>
          </cell>
          <cell r="F84">
            <v>0</v>
          </cell>
          <cell r="G84">
            <v>0</v>
          </cell>
          <cell r="H84">
            <v>23758227.52</v>
          </cell>
        </row>
        <row r="85">
          <cell r="C85">
            <v>143502</v>
          </cell>
          <cell r="D85" t="str">
            <v>Lentes de Contacto</v>
          </cell>
          <cell r="E85">
            <v>433667398.38999999</v>
          </cell>
          <cell r="F85">
            <v>747854938.24000001</v>
          </cell>
          <cell r="G85">
            <v>545033874</v>
          </cell>
          <cell r="H85">
            <v>636488462.63</v>
          </cell>
        </row>
        <row r="86">
          <cell r="C86">
            <v>14350202</v>
          </cell>
          <cell r="D86" t="str">
            <v>Lentes de Contacto</v>
          </cell>
          <cell r="E86">
            <v>144306482.99000001</v>
          </cell>
          <cell r="F86">
            <v>747854938.24000001</v>
          </cell>
          <cell r="G86">
            <v>545033874</v>
          </cell>
          <cell r="H86">
            <v>347127547.23000002</v>
          </cell>
        </row>
        <row r="87">
          <cell r="C87">
            <v>14350203</v>
          </cell>
          <cell r="D87" t="str">
            <v>Lentes de Contacto (Ajustes)</v>
          </cell>
          <cell r="E87">
            <v>289373939.42000002</v>
          </cell>
          <cell r="F87">
            <v>0</v>
          </cell>
          <cell r="G87">
            <v>0</v>
          </cell>
          <cell r="H87">
            <v>289373939.42000002</v>
          </cell>
        </row>
        <row r="88">
          <cell r="C88">
            <v>14350297</v>
          </cell>
          <cell r="D88" t="str">
            <v>Dif. Fiscal en Inv. Lentes de Contacto</v>
          </cell>
          <cell r="E88">
            <v>-13024.02</v>
          </cell>
          <cell r="F88">
            <v>0</v>
          </cell>
          <cell r="G88">
            <v>0</v>
          </cell>
          <cell r="H88">
            <v>-13024.02</v>
          </cell>
        </row>
        <row r="89">
          <cell r="C89">
            <v>143503</v>
          </cell>
          <cell r="D89" t="str">
            <v>Monturas</v>
          </cell>
          <cell r="E89">
            <v>390138477.13999999</v>
          </cell>
          <cell r="F89">
            <v>894318222.26999998</v>
          </cell>
          <cell r="G89">
            <v>846663769</v>
          </cell>
          <cell r="H89">
            <v>437792930.41000003</v>
          </cell>
        </row>
        <row r="90">
          <cell r="C90">
            <v>14350301</v>
          </cell>
          <cell r="D90" t="str">
            <v>Monturas</v>
          </cell>
          <cell r="E90">
            <v>526116737.23000002</v>
          </cell>
          <cell r="F90">
            <v>894318222.26999998</v>
          </cell>
          <cell r="G90">
            <v>846663769</v>
          </cell>
          <cell r="H90">
            <v>573771190.5</v>
          </cell>
        </row>
        <row r="91">
          <cell r="C91">
            <v>14350303</v>
          </cell>
          <cell r="D91" t="str">
            <v>Monturas (Ajustes)</v>
          </cell>
          <cell r="E91">
            <v>-136493260.09</v>
          </cell>
          <cell r="F91">
            <v>0</v>
          </cell>
          <cell r="G91">
            <v>0</v>
          </cell>
          <cell r="H91">
            <v>-136493260.09</v>
          </cell>
        </row>
        <row r="92">
          <cell r="C92">
            <v>14350306</v>
          </cell>
          <cell r="D92" t="str">
            <v>Compras Exterior</v>
          </cell>
          <cell r="E92">
            <v>515000</v>
          </cell>
          <cell r="F92">
            <v>0</v>
          </cell>
          <cell r="G92">
            <v>0</v>
          </cell>
          <cell r="H92">
            <v>515000</v>
          </cell>
        </row>
        <row r="93">
          <cell r="C93">
            <v>143504</v>
          </cell>
          <cell r="D93" t="str">
            <v>Liquidos</v>
          </cell>
          <cell r="E93">
            <v>1445250.42</v>
          </cell>
          <cell r="F93">
            <v>40525116.740000002</v>
          </cell>
          <cell r="G93">
            <v>42701037</v>
          </cell>
          <cell r="H93">
            <v>-730669.84</v>
          </cell>
        </row>
        <row r="94">
          <cell r="C94">
            <v>14350401</v>
          </cell>
          <cell r="D94" t="str">
            <v>Liquidos</v>
          </cell>
          <cell r="E94">
            <v>3932373.14</v>
          </cell>
          <cell r="F94">
            <v>40525116.740000002</v>
          </cell>
          <cell r="G94">
            <v>42701037</v>
          </cell>
          <cell r="H94">
            <v>1756452.88</v>
          </cell>
        </row>
        <row r="95">
          <cell r="C95">
            <v>14350403</v>
          </cell>
          <cell r="D95" t="str">
            <v>Liquidos (Ajustes)</v>
          </cell>
          <cell r="E95">
            <v>-2487122.7200000002</v>
          </cell>
          <cell r="F95">
            <v>0</v>
          </cell>
          <cell r="G95">
            <v>0</v>
          </cell>
          <cell r="H95">
            <v>-2487122.7200000002</v>
          </cell>
        </row>
        <row r="96">
          <cell r="C96">
            <v>143505</v>
          </cell>
          <cell r="D96" t="str">
            <v>Accesorios</v>
          </cell>
          <cell r="E96">
            <v>19474388.050000001</v>
          </cell>
          <cell r="F96">
            <v>9996800.9000000004</v>
          </cell>
          <cell r="G96">
            <v>7242903</v>
          </cell>
          <cell r="H96">
            <v>22228285.949999999</v>
          </cell>
        </row>
        <row r="97">
          <cell r="C97">
            <v>14350501</v>
          </cell>
          <cell r="D97" t="str">
            <v>Accesorios</v>
          </cell>
          <cell r="E97">
            <v>22422976.620000001</v>
          </cell>
          <cell r="F97">
            <v>9996800.9000000004</v>
          </cell>
          <cell r="G97">
            <v>7242903</v>
          </cell>
          <cell r="H97">
            <v>25176874.52</v>
          </cell>
        </row>
        <row r="98">
          <cell r="C98">
            <v>14350503</v>
          </cell>
          <cell r="D98" t="str">
            <v>Accesorios (Ajustes)</v>
          </cell>
          <cell r="E98">
            <v>-2948588.57</v>
          </cell>
          <cell r="F98">
            <v>0</v>
          </cell>
          <cell r="G98">
            <v>0</v>
          </cell>
          <cell r="H98">
            <v>-2948588.57</v>
          </cell>
        </row>
        <row r="99">
          <cell r="C99">
            <v>1465</v>
          </cell>
          <cell r="D99" t="str">
            <v>Inventario en Transito</v>
          </cell>
          <cell r="E99">
            <v>361026372.05000001</v>
          </cell>
          <cell r="F99">
            <v>0</v>
          </cell>
          <cell r="G99">
            <v>0</v>
          </cell>
          <cell r="H99">
            <v>361026372.05000001</v>
          </cell>
        </row>
        <row r="100">
          <cell r="C100">
            <v>146501</v>
          </cell>
          <cell r="D100" t="str">
            <v xml:space="preserve">Inventario en Transito </v>
          </cell>
          <cell r="E100">
            <v>361026372.05000001</v>
          </cell>
          <cell r="F100">
            <v>0</v>
          </cell>
          <cell r="G100">
            <v>0</v>
          </cell>
          <cell r="H100">
            <v>361026372.05000001</v>
          </cell>
        </row>
        <row r="101">
          <cell r="C101">
            <v>14650101</v>
          </cell>
          <cell r="D101" t="str">
            <v>Inventario en Transito Internacional</v>
          </cell>
          <cell r="E101">
            <v>1026873</v>
          </cell>
          <cell r="F101">
            <v>0</v>
          </cell>
          <cell r="G101">
            <v>0</v>
          </cell>
          <cell r="H101">
            <v>1026873</v>
          </cell>
        </row>
        <row r="102">
          <cell r="C102">
            <v>14650102</v>
          </cell>
          <cell r="D102" t="str">
            <v>Inventario en Transito Nacionales</v>
          </cell>
          <cell r="E102">
            <v>7430225.9800000004</v>
          </cell>
          <cell r="F102">
            <v>0</v>
          </cell>
          <cell r="G102">
            <v>0</v>
          </cell>
          <cell r="H102">
            <v>7430225.9800000004</v>
          </cell>
        </row>
        <row r="103">
          <cell r="C103">
            <v>14650103</v>
          </cell>
          <cell r="D103" t="str">
            <v>Inventario en Transito de Lentes de Contacto</v>
          </cell>
          <cell r="E103">
            <v>352569273.06999999</v>
          </cell>
          <cell r="F103">
            <v>0</v>
          </cell>
          <cell r="G103">
            <v>0</v>
          </cell>
          <cell r="H103">
            <v>352569273.06999999</v>
          </cell>
        </row>
        <row r="104">
          <cell r="C104">
            <v>15</v>
          </cell>
          <cell r="D104" t="str">
            <v>Propiedad planta y equipo</v>
          </cell>
          <cell r="E104">
            <v>1885253678.21</v>
          </cell>
          <cell r="F104">
            <v>1082759329.52</v>
          </cell>
          <cell r="G104">
            <v>1148372009.95</v>
          </cell>
          <cell r="H104">
            <v>1819640997.78</v>
          </cell>
        </row>
        <row r="105">
          <cell r="C105">
            <v>1504</v>
          </cell>
          <cell r="D105" t="str">
            <v>Terrenos</v>
          </cell>
          <cell r="E105">
            <v>745700000</v>
          </cell>
          <cell r="F105">
            <v>745700000</v>
          </cell>
          <cell r="G105">
            <v>745700000</v>
          </cell>
          <cell r="H105">
            <v>745700000</v>
          </cell>
        </row>
        <row r="106">
          <cell r="C106">
            <v>150405</v>
          </cell>
          <cell r="D106" t="str">
            <v>Urbanos</v>
          </cell>
          <cell r="E106">
            <v>745700000</v>
          </cell>
          <cell r="F106">
            <v>745700000</v>
          </cell>
          <cell r="G106">
            <v>745700000</v>
          </cell>
          <cell r="H106">
            <v>745700000</v>
          </cell>
        </row>
        <row r="107">
          <cell r="C107">
            <v>15040505</v>
          </cell>
          <cell r="D107" t="str">
            <v>Terrenos Urbanos</v>
          </cell>
          <cell r="E107">
            <v>0</v>
          </cell>
          <cell r="F107">
            <v>745700000</v>
          </cell>
          <cell r="G107">
            <v>0</v>
          </cell>
          <cell r="H107">
            <v>745700000</v>
          </cell>
        </row>
        <row r="108">
          <cell r="C108">
            <v>15040597</v>
          </cell>
          <cell r="D108" t="str">
            <v>D. fiscal revaluación Terrenos urbanos</v>
          </cell>
          <cell r="E108">
            <v>745700000</v>
          </cell>
          <cell r="F108">
            <v>0</v>
          </cell>
          <cell r="G108">
            <v>745700000</v>
          </cell>
          <cell r="H108">
            <v>0</v>
          </cell>
        </row>
        <row r="109">
          <cell r="C109">
            <v>1516</v>
          </cell>
          <cell r="D109" t="str">
            <v>Construcciones y edificaciones</v>
          </cell>
          <cell r="E109">
            <v>257155808</v>
          </cell>
          <cell r="F109">
            <v>254300000</v>
          </cell>
          <cell r="G109">
            <v>254300000</v>
          </cell>
          <cell r="H109">
            <v>257155808</v>
          </cell>
        </row>
        <row r="110">
          <cell r="C110">
            <v>151605</v>
          </cell>
          <cell r="D110" t="str">
            <v>Edificios</v>
          </cell>
          <cell r="E110">
            <v>257155808</v>
          </cell>
          <cell r="F110">
            <v>254300000</v>
          </cell>
          <cell r="G110">
            <v>254300000</v>
          </cell>
          <cell r="H110">
            <v>257155808</v>
          </cell>
        </row>
        <row r="111">
          <cell r="C111">
            <v>15160501</v>
          </cell>
          <cell r="D111" t="str">
            <v>Local Miramar</v>
          </cell>
          <cell r="E111">
            <v>2855808</v>
          </cell>
          <cell r="F111">
            <v>0</v>
          </cell>
          <cell r="G111">
            <v>0</v>
          </cell>
          <cell r="H111">
            <v>2855808</v>
          </cell>
        </row>
        <row r="112">
          <cell r="C112">
            <v>15160502</v>
          </cell>
          <cell r="D112" t="str">
            <v>Ajuste Construcciones y Edificaciones</v>
          </cell>
          <cell r="E112">
            <v>0</v>
          </cell>
          <cell r="F112">
            <v>254300000</v>
          </cell>
          <cell r="G112">
            <v>0</v>
          </cell>
          <cell r="H112">
            <v>254300000</v>
          </cell>
        </row>
        <row r="113">
          <cell r="C113">
            <v>15160597</v>
          </cell>
          <cell r="D113" t="str">
            <v>D. fiscal Edificios NIIF</v>
          </cell>
          <cell r="E113">
            <v>254300000</v>
          </cell>
          <cell r="F113">
            <v>0</v>
          </cell>
          <cell r="G113">
            <v>254300000</v>
          </cell>
          <cell r="H113">
            <v>0</v>
          </cell>
        </row>
        <row r="114">
          <cell r="C114">
            <v>1518</v>
          </cell>
          <cell r="D114" t="str">
            <v>Propiedades de Inversion al costo</v>
          </cell>
          <cell r="E114">
            <v>356976000</v>
          </cell>
          <cell r="F114">
            <v>0</v>
          </cell>
          <cell r="G114">
            <v>0</v>
          </cell>
          <cell r="H114">
            <v>356976000</v>
          </cell>
        </row>
        <row r="115">
          <cell r="C115">
            <v>151815</v>
          </cell>
          <cell r="D115" t="str">
            <v>Contrucciones y edificaciones</v>
          </cell>
          <cell r="E115">
            <v>356976000</v>
          </cell>
          <cell r="F115">
            <v>0</v>
          </cell>
          <cell r="G115">
            <v>0</v>
          </cell>
          <cell r="H115">
            <v>356976000</v>
          </cell>
        </row>
        <row r="116">
          <cell r="C116">
            <v>15181597</v>
          </cell>
          <cell r="D116" t="str">
            <v>Dif. en NIIF Propiedad de Inversion</v>
          </cell>
          <cell r="E116">
            <v>356976000</v>
          </cell>
          <cell r="F116">
            <v>0</v>
          </cell>
          <cell r="G116">
            <v>0</v>
          </cell>
          <cell r="H116">
            <v>356976000</v>
          </cell>
        </row>
        <row r="117">
          <cell r="C117">
            <v>1520</v>
          </cell>
          <cell r="D117" t="str">
            <v>Maquinaria y Equipo</v>
          </cell>
          <cell r="E117">
            <v>48810391.740000002</v>
          </cell>
          <cell r="F117">
            <v>3831341</v>
          </cell>
          <cell r="G117">
            <v>0</v>
          </cell>
          <cell r="H117">
            <v>52641732.740000002</v>
          </cell>
        </row>
        <row r="118">
          <cell r="C118">
            <v>152001</v>
          </cell>
          <cell r="D118" t="str">
            <v>Maquinaria y Equipo</v>
          </cell>
          <cell r="E118">
            <v>48810391.740000002</v>
          </cell>
          <cell r="F118">
            <v>3831341</v>
          </cell>
          <cell r="G118">
            <v>0</v>
          </cell>
          <cell r="H118">
            <v>52641732.740000002</v>
          </cell>
        </row>
        <row r="119">
          <cell r="C119">
            <v>15200101</v>
          </cell>
          <cell r="D119" t="str">
            <v>Maquinaria y Equipo</v>
          </cell>
          <cell r="E119">
            <v>52729892.539999999</v>
          </cell>
          <cell r="F119">
            <v>3831341</v>
          </cell>
          <cell r="G119">
            <v>0</v>
          </cell>
          <cell r="H119">
            <v>56561233.539999999</v>
          </cell>
        </row>
        <row r="120">
          <cell r="C120">
            <v>15200103</v>
          </cell>
          <cell r="D120" t="str">
            <v>Ajuste Maquinaria y Equipo</v>
          </cell>
          <cell r="E120">
            <v>-2730851.8</v>
          </cell>
          <cell r="F120">
            <v>0</v>
          </cell>
          <cell r="G120">
            <v>0</v>
          </cell>
          <cell r="H120">
            <v>-2730851.8</v>
          </cell>
        </row>
        <row r="121">
          <cell r="C121">
            <v>15200197</v>
          </cell>
          <cell r="D121" t="str">
            <v>Dif. Fiscal en Maquinaria y Equipo</v>
          </cell>
          <cell r="E121">
            <v>-1188649</v>
          </cell>
          <cell r="F121">
            <v>0</v>
          </cell>
          <cell r="G121">
            <v>0</v>
          </cell>
          <cell r="H121">
            <v>-1188649</v>
          </cell>
        </row>
        <row r="122">
          <cell r="C122">
            <v>1524</v>
          </cell>
          <cell r="D122" t="str">
            <v>Equipo de oficina</v>
          </cell>
          <cell r="E122">
            <v>164168196.72999999</v>
          </cell>
          <cell r="F122">
            <v>2857136</v>
          </cell>
          <cell r="G122">
            <v>0</v>
          </cell>
          <cell r="H122">
            <v>167025332.72999999</v>
          </cell>
        </row>
        <row r="123">
          <cell r="C123">
            <v>152405</v>
          </cell>
          <cell r="D123" t="str">
            <v>Muebles y enseres</v>
          </cell>
          <cell r="E123">
            <v>164168196.72999999</v>
          </cell>
          <cell r="F123">
            <v>2857136</v>
          </cell>
          <cell r="G123">
            <v>0</v>
          </cell>
          <cell r="H123">
            <v>167025332.72999999</v>
          </cell>
        </row>
        <row r="124">
          <cell r="C124">
            <v>15240501</v>
          </cell>
          <cell r="D124" t="str">
            <v>Muebles y enseres</v>
          </cell>
          <cell r="E124">
            <v>305148615.08999997</v>
          </cell>
          <cell r="F124">
            <v>2857136</v>
          </cell>
          <cell r="G124">
            <v>0</v>
          </cell>
          <cell r="H124">
            <v>308005751.08999997</v>
          </cell>
        </row>
        <row r="125">
          <cell r="C125">
            <v>15240503</v>
          </cell>
          <cell r="D125" t="str">
            <v>Ajuste Muebles y Enseres</v>
          </cell>
          <cell r="E125">
            <v>-88426.49</v>
          </cell>
          <cell r="F125">
            <v>0</v>
          </cell>
          <cell r="G125">
            <v>0</v>
          </cell>
          <cell r="H125">
            <v>-88426.49</v>
          </cell>
        </row>
        <row r="126">
          <cell r="C126">
            <v>15240597</v>
          </cell>
          <cell r="D126" t="str">
            <v>D. fiscal muebles y enseres</v>
          </cell>
          <cell r="E126">
            <v>-140891991.87</v>
          </cell>
          <cell r="F126">
            <v>0</v>
          </cell>
          <cell r="G126">
            <v>0</v>
          </cell>
          <cell r="H126">
            <v>-140891991.87</v>
          </cell>
        </row>
        <row r="127">
          <cell r="C127">
            <v>1528</v>
          </cell>
          <cell r="D127" t="str">
            <v>Equipo de computación y comunicación</v>
          </cell>
          <cell r="E127">
            <v>62113698.409999996</v>
          </cell>
          <cell r="F127">
            <v>2928800</v>
          </cell>
          <cell r="G127">
            <v>0</v>
          </cell>
          <cell r="H127">
            <v>65042498.409999996</v>
          </cell>
        </row>
        <row r="128">
          <cell r="C128">
            <v>152805</v>
          </cell>
          <cell r="D128" t="str">
            <v>Equipos de procesamiento de datos</v>
          </cell>
          <cell r="E128">
            <v>62113698.409999996</v>
          </cell>
          <cell r="F128">
            <v>2928800</v>
          </cell>
          <cell r="G128">
            <v>0</v>
          </cell>
          <cell r="H128">
            <v>65042498.409999996</v>
          </cell>
        </row>
        <row r="129">
          <cell r="C129">
            <v>15280501</v>
          </cell>
          <cell r="D129" t="str">
            <v>Equipos de procesamiento de datos</v>
          </cell>
          <cell r="E129">
            <v>147022972</v>
          </cell>
          <cell r="F129">
            <v>2928800</v>
          </cell>
          <cell r="G129">
            <v>0</v>
          </cell>
          <cell r="H129">
            <v>149951772</v>
          </cell>
        </row>
        <row r="130">
          <cell r="C130">
            <v>15280503</v>
          </cell>
          <cell r="D130" t="str">
            <v>Equipos de Proc. de datos Ajustes</v>
          </cell>
          <cell r="E130">
            <v>-6722257</v>
          </cell>
          <cell r="F130">
            <v>0</v>
          </cell>
          <cell r="G130">
            <v>0</v>
          </cell>
          <cell r="H130">
            <v>-6722257</v>
          </cell>
        </row>
        <row r="131">
          <cell r="C131">
            <v>15280597</v>
          </cell>
          <cell r="D131" t="str">
            <v>D. fiscal equipos de procesamiento de datos</v>
          </cell>
          <cell r="E131">
            <v>-78187016.590000004</v>
          </cell>
          <cell r="F131">
            <v>0</v>
          </cell>
          <cell r="G131">
            <v>0</v>
          </cell>
          <cell r="H131">
            <v>-78187016.590000004</v>
          </cell>
        </row>
        <row r="132">
          <cell r="C132">
            <v>1532</v>
          </cell>
          <cell r="D132" t="str">
            <v>Equipo Medico Cientifico</v>
          </cell>
          <cell r="E132">
            <v>390549675.20999998</v>
          </cell>
          <cell r="F132">
            <v>46379361</v>
          </cell>
          <cell r="G132">
            <v>38994560</v>
          </cell>
          <cell r="H132">
            <v>397934476.20999998</v>
          </cell>
        </row>
        <row r="133">
          <cell r="C133">
            <v>153220</v>
          </cell>
          <cell r="D133" t="str">
            <v>Equipo Medico Cientifico</v>
          </cell>
          <cell r="E133">
            <v>390549675.20999998</v>
          </cell>
          <cell r="F133">
            <v>46379361</v>
          </cell>
          <cell r="G133">
            <v>38994560</v>
          </cell>
          <cell r="H133">
            <v>397934476.20999998</v>
          </cell>
        </row>
        <row r="134">
          <cell r="C134">
            <v>15322001</v>
          </cell>
          <cell r="D134" t="str">
            <v>Equipo Medico Cientifico</v>
          </cell>
          <cell r="E134">
            <v>406719975</v>
          </cell>
          <cell r="F134">
            <v>7384801</v>
          </cell>
          <cell r="G134">
            <v>0</v>
          </cell>
          <cell r="H134">
            <v>414104776</v>
          </cell>
        </row>
        <row r="135">
          <cell r="C135">
            <v>15322003</v>
          </cell>
          <cell r="D135" t="str">
            <v>Ajuste Equipo Medico Cientifico</v>
          </cell>
          <cell r="E135">
            <v>-1350000</v>
          </cell>
          <cell r="F135">
            <v>38994560</v>
          </cell>
          <cell r="G135">
            <v>38994560</v>
          </cell>
          <cell r="H135">
            <v>-1350000</v>
          </cell>
        </row>
        <row r="136">
          <cell r="C136">
            <v>15322097</v>
          </cell>
          <cell r="D136" t="str">
            <v>Dif. Fiscal en Equipo Medico Científico</v>
          </cell>
          <cell r="E136">
            <v>-14820299.789999999</v>
          </cell>
          <cell r="F136">
            <v>0</v>
          </cell>
          <cell r="G136">
            <v>0</v>
          </cell>
          <cell r="H136">
            <v>-14820299.789999999</v>
          </cell>
        </row>
        <row r="137">
          <cell r="C137">
            <v>1592</v>
          </cell>
          <cell r="D137" t="str">
            <v>Depreciación acumulada</v>
          </cell>
          <cell r="E137">
            <v>-140220091.88</v>
          </cell>
          <cell r="F137">
            <v>26762691.52</v>
          </cell>
          <cell r="G137">
            <v>109377449.95</v>
          </cell>
          <cell r="H137">
            <v>-222834850.31</v>
          </cell>
        </row>
        <row r="138">
          <cell r="C138">
            <v>159205</v>
          </cell>
          <cell r="D138" t="str">
            <v>Construcciones y edificaciones</v>
          </cell>
          <cell r="E138">
            <v>-18271791.800000001</v>
          </cell>
          <cell r="F138">
            <v>258847.08</v>
          </cell>
          <cell r="G138">
            <v>14943478.75</v>
          </cell>
          <cell r="H138">
            <v>-32956423.469999999</v>
          </cell>
        </row>
        <row r="139">
          <cell r="C139">
            <v>15920501</v>
          </cell>
          <cell r="D139" t="str">
            <v>Construcciones y edificaciones</v>
          </cell>
          <cell r="E139">
            <v>0</v>
          </cell>
          <cell r="F139">
            <v>0</v>
          </cell>
          <cell r="G139">
            <v>5651111.1600000001</v>
          </cell>
          <cell r="H139">
            <v>-5651111.1600000001</v>
          </cell>
        </row>
        <row r="140">
          <cell r="C140">
            <v>15920502</v>
          </cell>
          <cell r="D140" t="str">
            <v>Ajuste Contrucciones y Edificaciones</v>
          </cell>
          <cell r="E140">
            <v>3376327</v>
          </cell>
          <cell r="F140">
            <v>0</v>
          </cell>
          <cell r="G140">
            <v>9292367.5899999999</v>
          </cell>
          <cell r="H140">
            <v>-5916040.5899999999</v>
          </cell>
        </row>
        <row r="141">
          <cell r="C141">
            <v>15920597</v>
          </cell>
          <cell r="D141" t="str">
            <v>D. fiscal valor de salvamento construcciones</v>
          </cell>
          <cell r="E141">
            <v>-21648118.800000001</v>
          </cell>
          <cell r="F141">
            <v>258847.08</v>
          </cell>
          <cell r="G141">
            <v>0</v>
          </cell>
          <cell r="H141">
            <v>-21389271.719999999</v>
          </cell>
        </row>
        <row r="142">
          <cell r="C142">
            <v>159210</v>
          </cell>
          <cell r="D142" t="str">
            <v>Maquinaria y Equipo</v>
          </cell>
          <cell r="E142">
            <v>-11087489.800000001</v>
          </cell>
          <cell r="F142">
            <v>1762652.46</v>
          </cell>
          <cell r="G142">
            <v>4922277.8600000003</v>
          </cell>
          <cell r="H142">
            <v>-14247115.199999999</v>
          </cell>
        </row>
        <row r="143">
          <cell r="C143">
            <v>15921001</v>
          </cell>
          <cell r="D143" t="str">
            <v>Maquinaria y Equipo</v>
          </cell>
          <cell r="E143">
            <v>-29986867.719999999</v>
          </cell>
          <cell r="F143">
            <v>3500.34</v>
          </cell>
          <cell r="G143">
            <v>4421949.7300000004</v>
          </cell>
          <cell r="H143">
            <v>-34405317.109999999</v>
          </cell>
        </row>
        <row r="144">
          <cell r="C144">
            <v>15921003</v>
          </cell>
          <cell r="D144" t="str">
            <v>Ajuste Maquinaria y Equipo</v>
          </cell>
          <cell r="E144">
            <v>1926397.37</v>
          </cell>
          <cell r="F144">
            <v>0</v>
          </cell>
          <cell r="G144">
            <v>0</v>
          </cell>
          <cell r="H144">
            <v>1926397.37</v>
          </cell>
        </row>
        <row r="145">
          <cell r="C145">
            <v>15921097</v>
          </cell>
          <cell r="D145" t="str">
            <v>Dif. Fiscal en Depreciacion Maquinaria y Equipo</v>
          </cell>
          <cell r="E145">
            <v>16972980.550000001</v>
          </cell>
          <cell r="F145">
            <v>1759152.12</v>
          </cell>
          <cell r="G145">
            <v>500328.13</v>
          </cell>
          <cell r="H145">
            <v>18231804.539999999</v>
          </cell>
        </row>
        <row r="146">
          <cell r="C146">
            <v>159215</v>
          </cell>
          <cell r="D146" t="str">
            <v>Equipo de oficina</v>
          </cell>
          <cell r="E146">
            <v>-16246533.470000001</v>
          </cell>
          <cell r="F146">
            <v>3047356.52</v>
          </cell>
          <cell r="G146">
            <v>30475460.879999999</v>
          </cell>
          <cell r="H146">
            <v>-43674637.829999998</v>
          </cell>
        </row>
        <row r="147">
          <cell r="C147">
            <v>15921501</v>
          </cell>
          <cell r="D147" t="str">
            <v>Equipo de oficina</v>
          </cell>
          <cell r="E147">
            <v>-284285234.14999998</v>
          </cell>
          <cell r="F147">
            <v>0.02</v>
          </cell>
          <cell r="G147">
            <v>4835258.8</v>
          </cell>
          <cell r="H147">
            <v>-289120492.93000001</v>
          </cell>
        </row>
        <row r="148">
          <cell r="C148">
            <v>15921503</v>
          </cell>
          <cell r="D148" t="str">
            <v>Ajuste Equipo de Oficina</v>
          </cell>
          <cell r="E148">
            <v>-8207340.1299999999</v>
          </cell>
          <cell r="F148">
            <v>0</v>
          </cell>
          <cell r="G148">
            <v>0</v>
          </cell>
          <cell r="H148">
            <v>-8207340.1299999999</v>
          </cell>
        </row>
        <row r="149">
          <cell r="C149">
            <v>15921597</v>
          </cell>
          <cell r="D149" t="str">
            <v>D. fiscal equipo de oficina</v>
          </cell>
          <cell r="E149">
            <v>276246040.81</v>
          </cell>
          <cell r="F149">
            <v>3047356.5</v>
          </cell>
          <cell r="G149">
            <v>25640202.079999998</v>
          </cell>
          <cell r="H149">
            <v>253653195.22999999</v>
          </cell>
        </row>
        <row r="150">
          <cell r="C150">
            <v>159220</v>
          </cell>
          <cell r="D150" t="str">
            <v>Equipo de computación y comunicación</v>
          </cell>
          <cell r="E150">
            <v>-142577173.94</v>
          </cell>
          <cell r="F150">
            <v>362759</v>
          </cell>
          <cell r="G150">
            <v>4704256.8899999997</v>
          </cell>
          <cell r="H150">
            <v>-146918671.83000001</v>
          </cell>
        </row>
        <row r="151">
          <cell r="C151">
            <v>15922001</v>
          </cell>
          <cell r="D151" t="str">
            <v>Equipo de computación y comunicación</v>
          </cell>
          <cell r="E151">
            <v>-121858324.53</v>
          </cell>
          <cell r="F151">
            <v>362759</v>
          </cell>
          <cell r="G151">
            <v>4488502.05</v>
          </cell>
          <cell r="H151">
            <v>-125984067.58</v>
          </cell>
        </row>
        <row r="152">
          <cell r="C152">
            <v>15922003</v>
          </cell>
          <cell r="D152" t="str">
            <v>Ajuste Equipo Comp. y Comunicacion</v>
          </cell>
          <cell r="E152">
            <v>-12386296.130000001</v>
          </cell>
          <cell r="F152">
            <v>0</v>
          </cell>
          <cell r="G152">
            <v>0</v>
          </cell>
          <cell r="H152">
            <v>-12386296.130000001</v>
          </cell>
        </row>
        <row r="153">
          <cell r="C153">
            <v>15922097</v>
          </cell>
          <cell r="D153" t="str">
            <v>D. fiscal equipo de computación y comunicación</v>
          </cell>
          <cell r="E153">
            <v>-8332553.2800000003</v>
          </cell>
          <cell r="F153">
            <v>0</v>
          </cell>
          <cell r="G153">
            <v>215754.84</v>
          </cell>
          <cell r="H153">
            <v>-8548308.1199999992</v>
          </cell>
        </row>
        <row r="154">
          <cell r="C154">
            <v>159221</v>
          </cell>
          <cell r="D154" t="str">
            <v>Comunicacion y Computacion</v>
          </cell>
          <cell r="E154">
            <v>86415120</v>
          </cell>
          <cell r="F154">
            <v>0</v>
          </cell>
          <cell r="G154">
            <v>0</v>
          </cell>
          <cell r="H154">
            <v>86415120</v>
          </cell>
        </row>
        <row r="155">
          <cell r="C155">
            <v>15922197</v>
          </cell>
          <cell r="D155" t="str">
            <v xml:space="preserve">Dif. Fiscal Equipo de Computacion y Comunicacion </v>
          </cell>
          <cell r="E155">
            <v>86415120</v>
          </cell>
          <cell r="F155">
            <v>0</v>
          </cell>
          <cell r="G155">
            <v>0</v>
          </cell>
          <cell r="H155">
            <v>86415120</v>
          </cell>
        </row>
        <row r="156">
          <cell r="C156">
            <v>159225</v>
          </cell>
          <cell r="D156" t="str">
            <v>Equipo Medico Cientifico</v>
          </cell>
          <cell r="E156">
            <v>-38452222.869999997</v>
          </cell>
          <cell r="F156">
            <v>21331076.460000001</v>
          </cell>
          <cell r="G156">
            <v>54331975.57</v>
          </cell>
          <cell r="H156">
            <v>-71453121.980000004</v>
          </cell>
        </row>
        <row r="157">
          <cell r="C157">
            <v>15922501</v>
          </cell>
          <cell r="D157" t="str">
            <v>Equipo Medico Cientifico</v>
          </cell>
          <cell r="E157">
            <v>-186242482.97</v>
          </cell>
          <cell r="F157">
            <v>9658531.5800000001</v>
          </cell>
          <cell r="G157">
            <v>36661920.149999999</v>
          </cell>
          <cell r="H157">
            <v>-213245871.53999999</v>
          </cell>
        </row>
        <row r="158">
          <cell r="C158">
            <v>15922503</v>
          </cell>
          <cell r="D158" t="str">
            <v>Ajuste Equipo Medico Cientifico</v>
          </cell>
          <cell r="E158">
            <v>43458485.399999999</v>
          </cell>
          <cell r="F158">
            <v>0</v>
          </cell>
          <cell r="G158">
            <v>0</v>
          </cell>
          <cell r="H158">
            <v>43458485.399999999</v>
          </cell>
        </row>
        <row r="159">
          <cell r="C159">
            <v>15922597</v>
          </cell>
          <cell r="D159" t="str">
            <v>D. Fiscal Equipo Medico Cientifico</v>
          </cell>
          <cell r="E159">
            <v>104331774.7</v>
          </cell>
          <cell r="F159">
            <v>11672544.880000001</v>
          </cell>
          <cell r="G159">
            <v>17670055.420000002</v>
          </cell>
          <cell r="H159">
            <v>98334264.159999996</v>
          </cell>
        </row>
        <row r="160">
          <cell r="C160">
            <v>16</v>
          </cell>
          <cell r="D160" t="str">
            <v>Intangibles</v>
          </cell>
          <cell r="E160">
            <v>-29787371.449999999</v>
          </cell>
          <cell r="F160">
            <v>1051242228.62</v>
          </cell>
          <cell r="G160">
            <v>1038994560</v>
          </cell>
          <cell r="H160">
            <v>-17539702.829999998</v>
          </cell>
        </row>
        <row r="161">
          <cell r="C161">
            <v>1625</v>
          </cell>
          <cell r="D161" t="str">
            <v>Derechos</v>
          </cell>
          <cell r="E161">
            <v>0</v>
          </cell>
          <cell r="F161">
            <v>1038994560</v>
          </cell>
          <cell r="G161">
            <v>1038994560</v>
          </cell>
          <cell r="H161">
            <v>0</v>
          </cell>
        </row>
        <row r="162">
          <cell r="C162">
            <v>162535</v>
          </cell>
          <cell r="D162" t="str">
            <v>En bienes recibidos en Arrendamiento Financiero Le</v>
          </cell>
          <cell r="E162">
            <v>0</v>
          </cell>
          <cell r="F162">
            <v>1038994560</v>
          </cell>
          <cell r="G162">
            <v>1038994560</v>
          </cell>
          <cell r="H162">
            <v>0</v>
          </cell>
        </row>
        <row r="163">
          <cell r="C163">
            <v>16253501</v>
          </cell>
          <cell r="D163" t="str">
            <v>Terrero</v>
          </cell>
          <cell r="E163">
            <v>745700000</v>
          </cell>
          <cell r="F163">
            <v>0</v>
          </cell>
          <cell r="G163">
            <v>745700000</v>
          </cell>
          <cell r="H163">
            <v>0</v>
          </cell>
        </row>
        <row r="164">
          <cell r="C164">
            <v>16253502</v>
          </cell>
          <cell r="D164" t="str">
            <v xml:space="preserve">Construcciones </v>
          </cell>
          <cell r="E164">
            <v>254300000</v>
          </cell>
          <cell r="F164">
            <v>0</v>
          </cell>
          <cell r="G164">
            <v>254300000</v>
          </cell>
          <cell r="H164">
            <v>0</v>
          </cell>
        </row>
        <row r="165">
          <cell r="C165">
            <v>16253503</v>
          </cell>
          <cell r="D165" t="str">
            <v>Derecho Equipos</v>
          </cell>
          <cell r="E165">
            <v>38994560</v>
          </cell>
          <cell r="F165">
            <v>0</v>
          </cell>
          <cell r="G165">
            <v>38994560</v>
          </cell>
          <cell r="H165">
            <v>0</v>
          </cell>
        </row>
        <row r="166">
          <cell r="C166">
            <v>16253597</v>
          </cell>
          <cell r="D166" t="str">
            <v>D. Fiscal Derechos de Leasing NIIF</v>
          </cell>
          <cell r="E166">
            <v>-1038994560</v>
          </cell>
          <cell r="F166">
            <v>1038994560</v>
          </cell>
          <cell r="G166">
            <v>0</v>
          </cell>
          <cell r="H166">
            <v>0</v>
          </cell>
        </row>
        <row r="167">
          <cell r="C167">
            <v>1698</v>
          </cell>
          <cell r="D167" t="str">
            <v>Depreciacion y/o Amortizacion Acumulada</v>
          </cell>
          <cell r="E167">
            <v>-29787371.449999999</v>
          </cell>
          <cell r="F167">
            <v>12247668.619999999</v>
          </cell>
          <cell r="G167">
            <v>0</v>
          </cell>
          <cell r="H167">
            <v>-17539702.829999998</v>
          </cell>
        </row>
        <row r="168">
          <cell r="C168">
            <v>169830</v>
          </cell>
          <cell r="D168" t="str">
            <v>De Derechos</v>
          </cell>
          <cell r="E168">
            <v>-29787371.449999999</v>
          </cell>
          <cell r="F168">
            <v>12247668.619999999</v>
          </cell>
          <cell r="G168">
            <v>0</v>
          </cell>
          <cell r="H168">
            <v>-17539702.829999998</v>
          </cell>
        </row>
        <row r="169">
          <cell r="C169">
            <v>16983001</v>
          </cell>
          <cell r="D169" t="str">
            <v>De Derechos</v>
          </cell>
          <cell r="E169">
            <v>-12247668.619999999</v>
          </cell>
          <cell r="F169">
            <v>12247668.619999999</v>
          </cell>
          <cell r="G169">
            <v>0</v>
          </cell>
          <cell r="H169">
            <v>0</v>
          </cell>
        </row>
        <row r="170">
          <cell r="C170">
            <v>16983002</v>
          </cell>
          <cell r="D170" t="str">
            <v>De Derechos Ajustes</v>
          </cell>
          <cell r="E170">
            <v>-55075057.039999999</v>
          </cell>
          <cell r="F170">
            <v>0</v>
          </cell>
          <cell r="G170">
            <v>0</v>
          </cell>
          <cell r="H170">
            <v>-55075057.039999999</v>
          </cell>
        </row>
        <row r="171">
          <cell r="C171">
            <v>16983097</v>
          </cell>
          <cell r="D171" t="str">
            <v>D. Fiscal en Depreciacion derechos NIIF</v>
          </cell>
          <cell r="E171">
            <v>37535354.210000001</v>
          </cell>
          <cell r="F171">
            <v>0</v>
          </cell>
          <cell r="G171">
            <v>0</v>
          </cell>
          <cell r="H171">
            <v>37535354.210000001</v>
          </cell>
        </row>
        <row r="172">
          <cell r="C172">
            <v>17</v>
          </cell>
          <cell r="D172" t="str">
            <v>Otros activos no financieros</v>
          </cell>
          <cell r="E172">
            <v>612731656.58000004</v>
          </cell>
          <cell r="F172">
            <v>118583835</v>
          </cell>
          <cell r="G172">
            <v>299316980</v>
          </cell>
          <cell r="H172">
            <v>431998511.57999998</v>
          </cell>
        </row>
        <row r="173">
          <cell r="C173">
            <v>1705</v>
          </cell>
          <cell r="D173" t="str">
            <v>Gastos Pagados por Anticipado</v>
          </cell>
          <cell r="E173">
            <v>66128827.579999998</v>
          </cell>
          <cell r="F173">
            <v>118583835</v>
          </cell>
          <cell r="G173">
            <v>85012766</v>
          </cell>
          <cell r="H173">
            <v>99699896.579999998</v>
          </cell>
        </row>
        <row r="174">
          <cell r="C174">
            <v>170520</v>
          </cell>
          <cell r="D174" t="str">
            <v>Seguros Y Fianzas</v>
          </cell>
          <cell r="E174">
            <v>63777047.579999998</v>
          </cell>
          <cell r="F174">
            <v>90390063</v>
          </cell>
          <cell r="G174">
            <v>62419769</v>
          </cell>
          <cell r="H174">
            <v>91747341.579999998</v>
          </cell>
        </row>
        <row r="175">
          <cell r="C175">
            <v>17052001</v>
          </cell>
          <cell r="D175" t="str">
            <v>Seguros y Fianzas</v>
          </cell>
          <cell r="E175">
            <v>63777047.579999998</v>
          </cell>
          <cell r="F175">
            <v>90390063</v>
          </cell>
          <cell r="G175">
            <v>62419769</v>
          </cell>
          <cell r="H175">
            <v>91747341.579999998</v>
          </cell>
        </row>
        <row r="176">
          <cell r="C176">
            <v>170540</v>
          </cell>
          <cell r="D176" t="str">
            <v>Servicios</v>
          </cell>
          <cell r="E176">
            <v>2362049</v>
          </cell>
          <cell r="F176">
            <v>11144172</v>
          </cell>
          <cell r="G176">
            <v>5553664</v>
          </cell>
          <cell r="H176">
            <v>7952557</v>
          </cell>
        </row>
        <row r="177">
          <cell r="C177">
            <v>17054001</v>
          </cell>
          <cell r="D177" t="str">
            <v>Servicios</v>
          </cell>
          <cell r="E177">
            <v>2362049</v>
          </cell>
          <cell r="F177">
            <v>11144172</v>
          </cell>
          <cell r="G177">
            <v>5553664</v>
          </cell>
          <cell r="H177">
            <v>7952557</v>
          </cell>
        </row>
        <row r="178">
          <cell r="C178">
            <v>170595</v>
          </cell>
          <cell r="D178" t="str">
            <v>Otros</v>
          </cell>
          <cell r="E178">
            <v>-10269</v>
          </cell>
          <cell r="F178">
            <v>17049600</v>
          </cell>
          <cell r="G178">
            <v>17039333</v>
          </cell>
          <cell r="H178">
            <v>-2</v>
          </cell>
        </row>
        <row r="179">
          <cell r="C179">
            <v>17059501</v>
          </cell>
          <cell r="D179" t="str">
            <v>Otros</v>
          </cell>
          <cell r="E179">
            <v>-10269</v>
          </cell>
          <cell r="F179">
            <v>17049600</v>
          </cell>
          <cell r="G179">
            <v>17039333</v>
          </cell>
          <cell r="H179">
            <v>-2</v>
          </cell>
        </row>
        <row r="180">
          <cell r="C180">
            <v>1710</v>
          </cell>
          <cell r="D180" t="str">
            <v>Cargos Diferidos</v>
          </cell>
          <cell r="E180">
            <v>546602829</v>
          </cell>
          <cell r="F180">
            <v>0</v>
          </cell>
          <cell r="G180">
            <v>214304214</v>
          </cell>
          <cell r="H180">
            <v>332298615</v>
          </cell>
        </row>
        <row r="181">
          <cell r="C181">
            <v>171076</v>
          </cell>
          <cell r="D181" t="str">
            <v>Imp. Renta Dif. Debitos  x Dif. Temp.</v>
          </cell>
          <cell r="E181">
            <v>546602829</v>
          </cell>
          <cell r="F181">
            <v>0</v>
          </cell>
          <cell r="G181">
            <v>214304214</v>
          </cell>
          <cell r="H181">
            <v>332298615</v>
          </cell>
        </row>
        <row r="182">
          <cell r="C182">
            <v>17107697</v>
          </cell>
          <cell r="D182" t="str">
            <v>Dif. en Niif Imp. Renta Debito x Dif. Temp.</v>
          </cell>
          <cell r="E182">
            <v>546602829</v>
          </cell>
          <cell r="F182">
            <v>0</v>
          </cell>
          <cell r="G182">
            <v>214304214</v>
          </cell>
          <cell r="H182">
            <v>332298615</v>
          </cell>
        </row>
        <row r="183">
          <cell r="C183">
            <v>2</v>
          </cell>
          <cell r="D183" t="str">
            <v>Pasivo</v>
          </cell>
          <cell r="E183">
            <v>-5702560528.8000002</v>
          </cell>
          <cell r="F183">
            <v>8882259553.2299995</v>
          </cell>
          <cell r="G183">
            <v>9323339997.7800007</v>
          </cell>
          <cell r="H183">
            <v>-6143640973.3500004</v>
          </cell>
        </row>
        <row r="184">
          <cell r="C184">
            <v>21</v>
          </cell>
          <cell r="D184" t="str">
            <v>Pasivos financieros</v>
          </cell>
          <cell r="E184">
            <v>-1912499172.0699999</v>
          </cell>
          <cell r="F184">
            <v>649928396.00999999</v>
          </cell>
          <cell r="G184">
            <v>273996195.61000001</v>
          </cell>
          <cell r="H184">
            <v>-1536566971.6700001</v>
          </cell>
        </row>
        <row r="185">
          <cell r="C185">
            <v>2105</v>
          </cell>
          <cell r="D185" t="str">
            <v>Bancos nacionales</v>
          </cell>
          <cell r="E185">
            <v>-894770988.34000003</v>
          </cell>
          <cell r="F185">
            <v>582234479.00999999</v>
          </cell>
          <cell r="G185">
            <v>273973055.33999997</v>
          </cell>
          <cell r="H185">
            <v>-586509564.66999996</v>
          </cell>
        </row>
        <row r="186">
          <cell r="C186">
            <v>210510</v>
          </cell>
          <cell r="D186" t="str">
            <v>Pagares</v>
          </cell>
          <cell r="E186">
            <v>-894770988.34000003</v>
          </cell>
          <cell r="F186">
            <v>582234479.00999999</v>
          </cell>
          <cell r="G186">
            <v>273973055.33999997</v>
          </cell>
          <cell r="H186">
            <v>-586509564.66999996</v>
          </cell>
        </row>
        <row r="187">
          <cell r="C187">
            <v>21051001</v>
          </cell>
          <cell r="D187" t="str">
            <v>Banco Bogota</v>
          </cell>
          <cell r="E187">
            <v>-204587718</v>
          </cell>
          <cell r="F187">
            <v>168338424</v>
          </cell>
          <cell r="G187">
            <v>76311780</v>
          </cell>
          <cell r="H187">
            <v>-112561074</v>
          </cell>
        </row>
        <row r="188">
          <cell r="C188">
            <v>21051007</v>
          </cell>
          <cell r="D188" t="str">
            <v>Bancolombia</v>
          </cell>
          <cell r="E188">
            <v>-7127667.8200000003</v>
          </cell>
          <cell r="F188">
            <v>15599440.6</v>
          </cell>
          <cell r="G188">
            <v>16242156.82</v>
          </cell>
          <cell r="H188">
            <v>-7770384.04</v>
          </cell>
        </row>
        <row r="189">
          <cell r="C189">
            <v>21051016</v>
          </cell>
          <cell r="D189" t="str">
            <v>Cf Tech Colombia sas</v>
          </cell>
          <cell r="E189">
            <v>-39975864.520000003</v>
          </cell>
          <cell r="F189">
            <v>110355978.04000001</v>
          </cell>
          <cell r="G189">
            <v>93655636.519999996</v>
          </cell>
          <cell r="H189">
            <v>-23275523</v>
          </cell>
        </row>
        <row r="190">
          <cell r="C190">
            <v>21051017</v>
          </cell>
          <cell r="D190" t="str">
            <v>TUILY SAS</v>
          </cell>
          <cell r="E190">
            <v>0</v>
          </cell>
          <cell r="F190">
            <v>5108820.37</v>
          </cell>
          <cell r="G190">
            <v>12015827</v>
          </cell>
          <cell r="H190">
            <v>-6907006.6299999999</v>
          </cell>
        </row>
        <row r="191">
          <cell r="C191">
            <v>21051023</v>
          </cell>
          <cell r="D191" t="str">
            <v>Occidente</v>
          </cell>
          <cell r="E191">
            <v>-236125836</v>
          </cell>
          <cell r="F191">
            <v>99569430</v>
          </cell>
          <cell r="G191">
            <v>58000000</v>
          </cell>
          <cell r="H191">
            <v>-194556406</v>
          </cell>
        </row>
        <row r="192">
          <cell r="C192">
            <v>21051051</v>
          </cell>
          <cell r="D192" t="str">
            <v>Banco Davivienda</v>
          </cell>
          <cell r="E192">
            <v>-406953902</v>
          </cell>
          <cell r="F192">
            <v>183262386</v>
          </cell>
          <cell r="G192">
            <v>17747655</v>
          </cell>
          <cell r="H192">
            <v>-241439171</v>
          </cell>
        </row>
        <row r="193">
          <cell r="C193">
            <v>2115</v>
          </cell>
          <cell r="D193" t="str">
            <v>Contratos de Arrendamiento Fin Leasing</v>
          </cell>
          <cell r="E193">
            <v>-1017728183.73</v>
          </cell>
          <cell r="F193">
            <v>67693917</v>
          </cell>
          <cell r="G193">
            <v>23140.27</v>
          </cell>
          <cell r="H193">
            <v>-950057407</v>
          </cell>
        </row>
        <row r="194">
          <cell r="C194">
            <v>211520</v>
          </cell>
          <cell r="D194" t="str">
            <v>Leasing Financieros</v>
          </cell>
          <cell r="E194">
            <v>-1017728183.73</v>
          </cell>
          <cell r="F194">
            <v>67693917</v>
          </cell>
          <cell r="G194">
            <v>23140.27</v>
          </cell>
          <cell r="H194">
            <v>-950057407</v>
          </cell>
        </row>
        <row r="195">
          <cell r="C195">
            <v>21152001</v>
          </cell>
          <cell r="D195" t="str">
            <v>Leasing</v>
          </cell>
          <cell r="E195">
            <v>-1017728183.73</v>
          </cell>
          <cell r="F195">
            <v>67693917</v>
          </cell>
          <cell r="G195">
            <v>23140.27</v>
          </cell>
          <cell r="H195">
            <v>-950057407</v>
          </cell>
        </row>
        <row r="196">
          <cell r="C196">
            <v>22</v>
          </cell>
          <cell r="D196" t="str">
            <v>Proveedores</v>
          </cell>
          <cell r="E196">
            <v>-2919460220.8899999</v>
          </cell>
          <cell r="F196">
            <v>2648821010</v>
          </cell>
          <cell r="G196">
            <v>3730854024</v>
          </cell>
          <cell r="H196">
            <v>-4001493234.8899999</v>
          </cell>
        </row>
        <row r="197">
          <cell r="C197">
            <v>2205</v>
          </cell>
          <cell r="D197" t="str">
            <v>Proveedores nacionales</v>
          </cell>
          <cell r="E197">
            <v>-2919460220.8899999</v>
          </cell>
          <cell r="F197">
            <v>2648821010</v>
          </cell>
          <cell r="G197">
            <v>3730854024</v>
          </cell>
          <cell r="H197">
            <v>-4001493234.8899999</v>
          </cell>
        </row>
        <row r="198">
          <cell r="C198">
            <v>220505</v>
          </cell>
          <cell r="D198" t="str">
            <v>Proveedores nacionales</v>
          </cell>
          <cell r="E198">
            <v>-2919460220.8899999</v>
          </cell>
          <cell r="F198">
            <v>2648821010</v>
          </cell>
          <cell r="G198">
            <v>3730854024</v>
          </cell>
          <cell r="H198">
            <v>-4001493234.8899999</v>
          </cell>
        </row>
        <row r="199">
          <cell r="C199">
            <v>22050501</v>
          </cell>
          <cell r="D199" t="str">
            <v>Proveedores nacionales</v>
          </cell>
          <cell r="E199">
            <v>-2920901513.8899999</v>
          </cell>
          <cell r="F199">
            <v>2648766010</v>
          </cell>
          <cell r="G199">
            <v>3730854024</v>
          </cell>
          <cell r="H199">
            <v>-4002989527.8899999</v>
          </cell>
        </row>
        <row r="200">
          <cell r="C200">
            <v>22050503</v>
          </cell>
          <cell r="D200" t="str">
            <v>Ajuste Proveedores Nacionales</v>
          </cell>
          <cell r="E200">
            <v>1441294</v>
          </cell>
          <cell r="F200">
            <v>55000</v>
          </cell>
          <cell r="G200">
            <v>0</v>
          </cell>
          <cell r="H200">
            <v>1496294</v>
          </cell>
        </row>
        <row r="201">
          <cell r="C201">
            <v>22050597</v>
          </cell>
          <cell r="D201" t="str">
            <v>D. fiscal proveedores nacionales</v>
          </cell>
          <cell r="E201">
            <v>-1</v>
          </cell>
          <cell r="F201">
            <v>0</v>
          </cell>
          <cell r="G201">
            <v>0</v>
          </cell>
          <cell r="H201">
            <v>-1</v>
          </cell>
        </row>
        <row r="202">
          <cell r="C202">
            <v>23</v>
          </cell>
          <cell r="D202" t="str">
            <v>Acreedores comerciales y otras cuentas por pagar</v>
          </cell>
          <cell r="E202">
            <v>-126574893.5</v>
          </cell>
          <cell r="F202">
            <v>2170833723.4299998</v>
          </cell>
          <cell r="G202">
            <v>2176638641.8000002</v>
          </cell>
          <cell r="H202">
            <v>-132379811.87</v>
          </cell>
        </row>
        <row r="203">
          <cell r="C203">
            <v>2305</v>
          </cell>
          <cell r="D203" t="str">
            <v>Cuentas corrientes comerciales</v>
          </cell>
          <cell r="E203">
            <v>-32758227.52</v>
          </cell>
          <cell r="F203">
            <v>0</v>
          </cell>
          <cell r="G203">
            <v>0</v>
          </cell>
          <cell r="H203">
            <v>-32758227.52</v>
          </cell>
        </row>
        <row r="204">
          <cell r="C204">
            <v>230505</v>
          </cell>
          <cell r="D204" t="str">
            <v>Cuentas corrientes comerciales</v>
          </cell>
          <cell r="E204">
            <v>-32758227.52</v>
          </cell>
          <cell r="F204">
            <v>0</v>
          </cell>
          <cell r="G204">
            <v>0</v>
          </cell>
          <cell r="H204">
            <v>-32758227.52</v>
          </cell>
        </row>
        <row r="205">
          <cell r="C205">
            <v>23050501</v>
          </cell>
          <cell r="D205" t="str">
            <v>Cuentas corrientes comerciales</v>
          </cell>
          <cell r="E205">
            <v>-175925074</v>
          </cell>
          <cell r="F205">
            <v>0</v>
          </cell>
          <cell r="G205">
            <v>0</v>
          </cell>
          <cell r="H205">
            <v>-175925074</v>
          </cell>
        </row>
        <row r="206">
          <cell r="C206">
            <v>23050597</v>
          </cell>
          <cell r="D206" t="str">
            <v>D. fiscal cuentas corrientes comerciales</v>
          </cell>
          <cell r="E206">
            <v>143166846.47999999</v>
          </cell>
          <cell r="F206">
            <v>0</v>
          </cell>
          <cell r="G206">
            <v>0</v>
          </cell>
          <cell r="H206">
            <v>143166846.47999999</v>
          </cell>
        </row>
        <row r="207">
          <cell r="C207">
            <v>2335</v>
          </cell>
          <cell r="D207" t="str">
            <v>Costos y gastos por pagar</v>
          </cell>
          <cell r="E207">
            <v>-40490356</v>
          </cell>
          <cell r="F207">
            <v>1221541001</v>
          </cell>
          <cell r="G207">
            <v>1223755823</v>
          </cell>
          <cell r="H207">
            <v>-42705178</v>
          </cell>
        </row>
        <row r="208">
          <cell r="C208">
            <v>233595</v>
          </cell>
          <cell r="D208" t="str">
            <v>Otros</v>
          </cell>
          <cell r="E208">
            <v>-40490356</v>
          </cell>
          <cell r="F208">
            <v>1221541001</v>
          </cell>
          <cell r="G208">
            <v>1223755823</v>
          </cell>
          <cell r="H208">
            <v>-42705178</v>
          </cell>
        </row>
        <row r="209">
          <cell r="C209">
            <v>23359501</v>
          </cell>
          <cell r="D209" t="str">
            <v>Otras Compras</v>
          </cell>
          <cell r="E209">
            <v>-31961709</v>
          </cell>
          <cell r="F209">
            <v>1221541001</v>
          </cell>
          <cell r="G209">
            <v>1223755823</v>
          </cell>
          <cell r="H209">
            <v>-34176531</v>
          </cell>
        </row>
        <row r="210">
          <cell r="C210">
            <v>23359503</v>
          </cell>
          <cell r="D210" t="str">
            <v>Ajuste Otros Costos y Gastos por Pagar</v>
          </cell>
          <cell r="E210">
            <v>-8528647</v>
          </cell>
          <cell r="F210">
            <v>0</v>
          </cell>
          <cell r="G210">
            <v>0</v>
          </cell>
          <cell r="H210">
            <v>-8528647</v>
          </cell>
        </row>
        <row r="211">
          <cell r="C211">
            <v>2365</v>
          </cell>
          <cell r="D211" t="str">
            <v>Retenciones en la fuente</v>
          </cell>
          <cell r="E211">
            <v>-15150984.01</v>
          </cell>
          <cell r="F211">
            <v>182021163.81</v>
          </cell>
          <cell r="G211">
            <v>184867763.18000001</v>
          </cell>
          <cell r="H211">
            <v>-17997583.379999999</v>
          </cell>
        </row>
        <row r="212">
          <cell r="C212">
            <v>236505</v>
          </cell>
          <cell r="D212" t="str">
            <v>Salarios y pagos laborales</v>
          </cell>
          <cell r="E212">
            <v>-2591000</v>
          </cell>
          <cell r="F212">
            <v>28399000</v>
          </cell>
          <cell r="G212">
            <v>28360000</v>
          </cell>
          <cell r="H212">
            <v>-2552000</v>
          </cell>
        </row>
        <row r="213">
          <cell r="C213">
            <v>23650501</v>
          </cell>
          <cell r="D213" t="str">
            <v>Salarios y pagos laborales</v>
          </cell>
          <cell r="E213">
            <v>-2591000</v>
          </cell>
          <cell r="F213">
            <v>28399000</v>
          </cell>
          <cell r="G213">
            <v>28360000</v>
          </cell>
          <cell r="H213">
            <v>-2552000</v>
          </cell>
        </row>
        <row r="214">
          <cell r="C214">
            <v>236515</v>
          </cell>
          <cell r="D214" t="str">
            <v>Honorarios</v>
          </cell>
          <cell r="E214">
            <v>-1849978</v>
          </cell>
          <cell r="F214">
            <v>22691757</v>
          </cell>
          <cell r="G214">
            <v>22265069</v>
          </cell>
          <cell r="H214">
            <v>-1423290</v>
          </cell>
        </row>
        <row r="215">
          <cell r="C215">
            <v>23651503</v>
          </cell>
          <cell r="D215" t="str">
            <v>Honorarios 11%</v>
          </cell>
          <cell r="E215">
            <v>-1537954</v>
          </cell>
          <cell r="F215">
            <v>22691757</v>
          </cell>
          <cell r="G215">
            <v>22265069</v>
          </cell>
          <cell r="H215">
            <v>-1111266</v>
          </cell>
        </row>
        <row r="216">
          <cell r="C216">
            <v>23651504</v>
          </cell>
          <cell r="D216" t="str">
            <v>Devolución Honorarios 11%</v>
          </cell>
          <cell r="E216">
            <v>-312024</v>
          </cell>
          <cell r="F216">
            <v>0</v>
          </cell>
          <cell r="G216">
            <v>0</v>
          </cell>
          <cell r="H216">
            <v>-312024</v>
          </cell>
        </row>
        <row r="217">
          <cell r="C217">
            <v>236520</v>
          </cell>
          <cell r="D217" t="str">
            <v>Comisiones</v>
          </cell>
          <cell r="E217">
            <v>293</v>
          </cell>
          <cell r="F217">
            <v>87784</v>
          </cell>
          <cell r="G217">
            <v>97363</v>
          </cell>
          <cell r="H217">
            <v>-9286</v>
          </cell>
        </row>
        <row r="218">
          <cell r="C218">
            <v>23652003</v>
          </cell>
          <cell r="D218" t="str">
            <v>Comisiones 11%</v>
          </cell>
          <cell r="E218">
            <v>293</v>
          </cell>
          <cell r="F218">
            <v>87784</v>
          </cell>
          <cell r="G218">
            <v>97363</v>
          </cell>
          <cell r="H218">
            <v>-9286</v>
          </cell>
        </row>
        <row r="219">
          <cell r="C219">
            <v>236525</v>
          </cell>
          <cell r="D219" t="str">
            <v>Servicios</v>
          </cell>
          <cell r="E219">
            <v>64145</v>
          </cell>
          <cell r="F219">
            <v>3078780</v>
          </cell>
          <cell r="G219">
            <v>3395627</v>
          </cell>
          <cell r="H219">
            <v>-252702</v>
          </cell>
        </row>
        <row r="220">
          <cell r="C220">
            <v>23652501</v>
          </cell>
          <cell r="D220" t="str">
            <v>Servicios 6%</v>
          </cell>
          <cell r="E220">
            <v>-129085</v>
          </cell>
          <cell r="F220">
            <v>417661</v>
          </cell>
          <cell r="G220">
            <v>288968</v>
          </cell>
          <cell r="H220">
            <v>-392</v>
          </cell>
        </row>
        <row r="221">
          <cell r="C221">
            <v>23652502</v>
          </cell>
          <cell r="D221" t="str">
            <v>Devolución Servicios 6%</v>
          </cell>
          <cell r="E221">
            <v>90000</v>
          </cell>
          <cell r="F221">
            <v>0</v>
          </cell>
          <cell r="G221">
            <v>90000</v>
          </cell>
          <cell r="H221">
            <v>0</v>
          </cell>
        </row>
        <row r="222">
          <cell r="C222">
            <v>23652503</v>
          </cell>
          <cell r="D222" t="str">
            <v>Servicios 4%</v>
          </cell>
          <cell r="E222">
            <v>142844</v>
          </cell>
          <cell r="F222">
            <v>788183</v>
          </cell>
          <cell r="G222">
            <v>983346</v>
          </cell>
          <cell r="H222">
            <v>-52319</v>
          </cell>
        </row>
        <row r="223">
          <cell r="C223">
            <v>23652504</v>
          </cell>
          <cell r="D223" t="str">
            <v>Devolución Servicios 4%</v>
          </cell>
          <cell r="E223">
            <v>15599</v>
          </cell>
          <cell r="F223">
            <v>0</v>
          </cell>
          <cell r="G223">
            <v>15599</v>
          </cell>
          <cell r="H223">
            <v>0</v>
          </cell>
        </row>
        <row r="224">
          <cell r="C224">
            <v>23652505</v>
          </cell>
          <cell r="D224" t="str">
            <v>Servicios 3.5%</v>
          </cell>
          <cell r="E224">
            <v>-48152</v>
          </cell>
          <cell r="F224">
            <v>1783908</v>
          </cell>
          <cell r="G224">
            <v>1928472</v>
          </cell>
          <cell r="H224">
            <v>-192716</v>
          </cell>
        </row>
        <row r="225">
          <cell r="C225">
            <v>23652506</v>
          </cell>
          <cell r="D225" t="str">
            <v>Devolución Servicios 3.5%</v>
          </cell>
          <cell r="E225">
            <v>0</v>
          </cell>
          <cell r="F225">
            <v>10803</v>
          </cell>
          <cell r="G225">
            <v>10803</v>
          </cell>
          <cell r="H225">
            <v>0</v>
          </cell>
        </row>
        <row r="226">
          <cell r="C226">
            <v>23652507</v>
          </cell>
          <cell r="D226" t="str">
            <v>Servicios 2%</v>
          </cell>
          <cell r="E226">
            <v>-5591</v>
          </cell>
          <cell r="F226">
            <v>73720</v>
          </cell>
          <cell r="G226">
            <v>74749</v>
          </cell>
          <cell r="H226">
            <v>-6620</v>
          </cell>
        </row>
        <row r="227">
          <cell r="C227">
            <v>23652512</v>
          </cell>
          <cell r="D227" t="str">
            <v>Servicios 1%</v>
          </cell>
          <cell r="E227">
            <v>-1470</v>
          </cell>
          <cell r="F227">
            <v>4505</v>
          </cell>
          <cell r="G227">
            <v>3690</v>
          </cell>
          <cell r="H227">
            <v>-655</v>
          </cell>
        </row>
        <row r="228">
          <cell r="C228">
            <v>236530</v>
          </cell>
          <cell r="D228" t="str">
            <v>Arrendamientos</v>
          </cell>
          <cell r="E228">
            <v>-286607</v>
          </cell>
          <cell r="F228">
            <v>3686871</v>
          </cell>
          <cell r="G228">
            <v>3714446</v>
          </cell>
          <cell r="H228">
            <v>-314182</v>
          </cell>
        </row>
        <row r="229">
          <cell r="C229">
            <v>23653001</v>
          </cell>
          <cell r="D229" t="str">
            <v>Arrendamientos 3.5%</v>
          </cell>
          <cell r="E229">
            <v>-267255</v>
          </cell>
          <cell r="F229">
            <v>2462871</v>
          </cell>
          <cell r="G229">
            <v>2490446</v>
          </cell>
          <cell r="H229">
            <v>-294830</v>
          </cell>
        </row>
        <row r="230">
          <cell r="C230">
            <v>23653002</v>
          </cell>
          <cell r="D230" t="str">
            <v>Devolucion Arrendamientos 3.5%</v>
          </cell>
          <cell r="E230">
            <v>82648</v>
          </cell>
          <cell r="F230">
            <v>0</v>
          </cell>
          <cell r="G230">
            <v>0</v>
          </cell>
          <cell r="H230">
            <v>82648</v>
          </cell>
        </row>
        <row r="231">
          <cell r="C231">
            <v>23653003</v>
          </cell>
          <cell r="D231" t="str">
            <v>Arrendamientos 4%</v>
          </cell>
          <cell r="E231">
            <v>-102000</v>
          </cell>
          <cell r="F231">
            <v>1224000</v>
          </cell>
          <cell r="G231">
            <v>1224000</v>
          </cell>
          <cell r="H231">
            <v>-102000</v>
          </cell>
        </row>
        <row r="232">
          <cell r="C232">
            <v>236540</v>
          </cell>
          <cell r="D232" t="str">
            <v>Retención por compras</v>
          </cell>
          <cell r="E232">
            <v>-7692648.75</v>
          </cell>
          <cell r="F232">
            <v>88438335.75</v>
          </cell>
          <cell r="G232">
            <v>90171788</v>
          </cell>
          <cell r="H232">
            <v>-9426101</v>
          </cell>
        </row>
        <row r="233">
          <cell r="C233">
            <v>23654001</v>
          </cell>
          <cell r="D233" t="str">
            <v>Retención por compras 2,5%</v>
          </cell>
          <cell r="E233">
            <v>-7852244</v>
          </cell>
          <cell r="F233">
            <v>86732646</v>
          </cell>
          <cell r="G233">
            <v>89026968</v>
          </cell>
          <cell r="H233">
            <v>-10146566</v>
          </cell>
        </row>
        <row r="234">
          <cell r="C234">
            <v>23654002</v>
          </cell>
          <cell r="D234" t="str">
            <v>Devolución Retención por compras 2,5%</v>
          </cell>
          <cell r="E234">
            <v>336756.25</v>
          </cell>
          <cell r="F234">
            <v>844892.75</v>
          </cell>
          <cell r="G234">
            <v>461184</v>
          </cell>
          <cell r="H234">
            <v>720465</v>
          </cell>
        </row>
        <row r="235">
          <cell r="C235">
            <v>23654004</v>
          </cell>
          <cell r="D235" t="str">
            <v>Devolucion Retencion otras compras</v>
          </cell>
          <cell r="E235">
            <v>11893</v>
          </cell>
          <cell r="F235">
            <v>0</v>
          </cell>
          <cell r="G235">
            <v>11893</v>
          </cell>
          <cell r="H235">
            <v>0</v>
          </cell>
        </row>
        <row r="236">
          <cell r="C236">
            <v>23654006</v>
          </cell>
          <cell r="D236" t="str">
            <v>Retencion por compras 3.5%</v>
          </cell>
          <cell r="E236">
            <v>-189054</v>
          </cell>
          <cell r="F236">
            <v>860797</v>
          </cell>
          <cell r="G236">
            <v>671743</v>
          </cell>
          <cell r="H236">
            <v>0</v>
          </cell>
        </row>
        <row r="237">
          <cell r="C237">
            <v>236575</v>
          </cell>
          <cell r="D237" t="str">
            <v>Autorretenciones</v>
          </cell>
          <cell r="E237">
            <v>-2795188.26</v>
          </cell>
          <cell r="F237">
            <v>35638636.060000002</v>
          </cell>
          <cell r="G237">
            <v>36863470.18</v>
          </cell>
          <cell r="H237">
            <v>-4020022.38</v>
          </cell>
        </row>
        <row r="238">
          <cell r="C238">
            <v>23657501</v>
          </cell>
          <cell r="D238" t="str">
            <v>Autorretenciones</v>
          </cell>
          <cell r="E238">
            <v>-2795188.26</v>
          </cell>
          <cell r="F238">
            <v>7310966</v>
          </cell>
          <cell r="G238">
            <v>4515777.74</v>
          </cell>
          <cell r="H238">
            <v>0</v>
          </cell>
        </row>
        <row r="239">
          <cell r="C239">
            <v>23657503</v>
          </cell>
          <cell r="D239" t="str">
            <v>Autoretenciones 0,55</v>
          </cell>
          <cell r="E239">
            <v>0</v>
          </cell>
          <cell r="F239">
            <v>28327670.059999999</v>
          </cell>
          <cell r="G239">
            <v>32347692.440000001</v>
          </cell>
          <cell r="H239">
            <v>-4020022.38</v>
          </cell>
        </row>
        <row r="240">
          <cell r="C240">
            <v>2368</v>
          </cell>
          <cell r="D240" t="str">
            <v>Impuesto de industria y comercio retenido</v>
          </cell>
          <cell r="E240">
            <v>-145390.97</v>
          </cell>
          <cell r="F240">
            <v>16347302.619999999</v>
          </cell>
          <cell r="G240">
            <v>16271834.619999999</v>
          </cell>
          <cell r="H240">
            <v>-69922.97</v>
          </cell>
        </row>
        <row r="241">
          <cell r="C241">
            <v>236805</v>
          </cell>
          <cell r="D241" t="str">
            <v>Retención industria y comercio Ica</v>
          </cell>
          <cell r="E241">
            <v>-145390.97</v>
          </cell>
          <cell r="F241">
            <v>16347302.619999999</v>
          </cell>
          <cell r="G241">
            <v>16271834.619999999</v>
          </cell>
          <cell r="H241">
            <v>-69922.97</v>
          </cell>
        </row>
        <row r="242">
          <cell r="C242">
            <v>23680501</v>
          </cell>
          <cell r="D242" t="str">
            <v>Reteica 11,04</v>
          </cell>
          <cell r="E242">
            <v>0</v>
          </cell>
          <cell r="F242">
            <v>827921</v>
          </cell>
          <cell r="G242">
            <v>827921</v>
          </cell>
          <cell r="H242">
            <v>0</v>
          </cell>
        </row>
        <row r="243">
          <cell r="C243">
            <v>23680502</v>
          </cell>
          <cell r="D243" t="str">
            <v>Devolución Reteica 11,04</v>
          </cell>
          <cell r="E243">
            <v>0</v>
          </cell>
          <cell r="F243">
            <v>11945</v>
          </cell>
          <cell r="G243">
            <v>11945</v>
          </cell>
          <cell r="H243">
            <v>0</v>
          </cell>
        </row>
        <row r="244">
          <cell r="C244">
            <v>23680505</v>
          </cell>
          <cell r="D244" t="str">
            <v>Reteica 9,6</v>
          </cell>
          <cell r="E244">
            <v>-1907863.35</v>
          </cell>
          <cell r="F244">
            <v>11574860</v>
          </cell>
          <cell r="G244">
            <v>8712059.6199999992</v>
          </cell>
          <cell r="H244">
            <v>954937.03</v>
          </cell>
        </row>
        <row r="245">
          <cell r="C245">
            <v>23680506</v>
          </cell>
          <cell r="D245" t="str">
            <v>Devolución Reteica 9,6</v>
          </cell>
          <cell r="E245">
            <v>4220371</v>
          </cell>
          <cell r="F245">
            <v>314796</v>
          </cell>
          <cell r="G245">
            <v>4230494</v>
          </cell>
          <cell r="H245">
            <v>304673</v>
          </cell>
        </row>
        <row r="246">
          <cell r="C246">
            <v>23680509</v>
          </cell>
          <cell r="D246" t="str">
            <v>Reteica 7</v>
          </cell>
          <cell r="E246">
            <v>-401675</v>
          </cell>
          <cell r="F246">
            <v>13173</v>
          </cell>
          <cell r="G246">
            <v>180599</v>
          </cell>
          <cell r="H246">
            <v>-569101</v>
          </cell>
        </row>
        <row r="247">
          <cell r="C247">
            <v>23680510</v>
          </cell>
          <cell r="D247" t="str">
            <v>Devolución Reteica 7</v>
          </cell>
          <cell r="E247">
            <v>-26349</v>
          </cell>
          <cell r="F247">
            <v>26349</v>
          </cell>
          <cell r="G247">
            <v>0</v>
          </cell>
          <cell r="H247">
            <v>0</v>
          </cell>
        </row>
        <row r="248">
          <cell r="C248">
            <v>23680515</v>
          </cell>
          <cell r="D248" t="str">
            <v>Reteica 10</v>
          </cell>
          <cell r="E248">
            <v>-3253699.62</v>
          </cell>
          <cell r="F248">
            <v>3530495.62</v>
          </cell>
          <cell r="G248">
            <v>949446</v>
          </cell>
          <cell r="H248">
            <v>-672650</v>
          </cell>
        </row>
        <row r="249">
          <cell r="C249">
            <v>23680516</v>
          </cell>
          <cell r="D249" t="str">
            <v>Devolución Reteica 10</v>
          </cell>
          <cell r="E249">
            <v>1258253</v>
          </cell>
          <cell r="F249">
            <v>47228</v>
          </cell>
          <cell r="G249">
            <v>1305481</v>
          </cell>
          <cell r="H249">
            <v>0</v>
          </cell>
        </row>
        <row r="250">
          <cell r="C250">
            <v>23680517</v>
          </cell>
          <cell r="D250" t="str">
            <v>Reteica 5.4</v>
          </cell>
          <cell r="E250">
            <v>-34428</v>
          </cell>
          <cell r="F250">
            <v>0</v>
          </cell>
          <cell r="G250">
            <v>53354</v>
          </cell>
          <cell r="H250">
            <v>-87782</v>
          </cell>
        </row>
        <row r="251">
          <cell r="C251">
            <v>23680518</v>
          </cell>
          <cell r="D251" t="str">
            <v>Devolucion Reteica 5.4</v>
          </cell>
          <cell r="E251">
            <v>0</v>
          </cell>
          <cell r="F251">
            <v>535</v>
          </cell>
          <cell r="G251">
            <v>535</v>
          </cell>
          <cell r="H251">
            <v>0</v>
          </cell>
        </row>
        <row r="252">
          <cell r="C252">
            <v>2370</v>
          </cell>
          <cell r="D252" t="str">
            <v>Aportes a empresas promotoras de salud eps</v>
          </cell>
          <cell r="E252">
            <v>-38015335</v>
          </cell>
          <cell r="F252">
            <v>551681556</v>
          </cell>
          <cell r="G252">
            <v>552515121</v>
          </cell>
          <cell r="H252">
            <v>-38848900</v>
          </cell>
        </row>
        <row r="253">
          <cell r="C253">
            <v>237005</v>
          </cell>
          <cell r="D253" t="str">
            <v>Aportes a entidades promotoras de salud eps</v>
          </cell>
          <cell r="E253">
            <v>0</v>
          </cell>
          <cell r="F253">
            <v>61472500</v>
          </cell>
          <cell r="G253">
            <v>61472500</v>
          </cell>
          <cell r="H253">
            <v>0</v>
          </cell>
        </row>
        <row r="254">
          <cell r="C254">
            <v>23700501</v>
          </cell>
          <cell r="D254" t="str">
            <v>Aportes a entidades promotoras de salud eps</v>
          </cell>
          <cell r="E254">
            <v>0</v>
          </cell>
          <cell r="F254">
            <v>61472500</v>
          </cell>
          <cell r="G254">
            <v>61472500</v>
          </cell>
          <cell r="H254">
            <v>0</v>
          </cell>
        </row>
        <row r="255">
          <cell r="C255">
            <v>237010</v>
          </cell>
          <cell r="D255" t="str">
            <v>Aportes al icbf Sena y cajas de compensación</v>
          </cell>
          <cell r="E255">
            <v>0</v>
          </cell>
          <cell r="F255">
            <v>56207000</v>
          </cell>
          <cell r="G255">
            <v>56207000</v>
          </cell>
          <cell r="H255">
            <v>0</v>
          </cell>
        </row>
        <row r="256">
          <cell r="C256">
            <v>23701001</v>
          </cell>
          <cell r="D256" t="str">
            <v>Aportes al icbf Sena y cajas de compensación</v>
          </cell>
          <cell r="E256">
            <v>0</v>
          </cell>
          <cell r="F256">
            <v>56207000</v>
          </cell>
          <cell r="G256">
            <v>56207000</v>
          </cell>
          <cell r="H256">
            <v>0</v>
          </cell>
        </row>
        <row r="257">
          <cell r="C257">
            <v>237015</v>
          </cell>
          <cell r="D257" t="str">
            <v>Aportes arl</v>
          </cell>
          <cell r="E257">
            <v>0</v>
          </cell>
          <cell r="F257">
            <v>6633900</v>
          </cell>
          <cell r="G257">
            <v>6633900</v>
          </cell>
          <cell r="H257">
            <v>0</v>
          </cell>
        </row>
        <row r="258">
          <cell r="C258">
            <v>23701501</v>
          </cell>
          <cell r="D258" t="str">
            <v>Aportes arl</v>
          </cell>
          <cell r="E258">
            <v>0</v>
          </cell>
          <cell r="F258">
            <v>6633900</v>
          </cell>
          <cell r="G258">
            <v>6633900</v>
          </cell>
          <cell r="H258">
            <v>0</v>
          </cell>
        </row>
        <row r="259">
          <cell r="C259">
            <v>237030</v>
          </cell>
          <cell r="D259" t="str">
            <v>Libranzas</v>
          </cell>
          <cell r="E259">
            <v>-11202535</v>
          </cell>
          <cell r="F259">
            <v>87549556</v>
          </cell>
          <cell r="G259">
            <v>81130621</v>
          </cell>
          <cell r="H259">
            <v>-4783600</v>
          </cell>
        </row>
        <row r="260">
          <cell r="C260">
            <v>23703001</v>
          </cell>
          <cell r="D260" t="str">
            <v>Pensiones Voluntarias</v>
          </cell>
          <cell r="E260">
            <v>-6067000</v>
          </cell>
          <cell r="F260">
            <v>30217000</v>
          </cell>
          <cell r="G260">
            <v>24150000</v>
          </cell>
          <cell r="H260">
            <v>0</v>
          </cell>
        </row>
        <row r="261">
          <cell r="C261">
            <v>23703002</v>
          </cell>
          <cell r="D261" t="str">
            <v>Prestamo Pichincha</v>
          </cell>
          <cell r="E261">
            <v>487665</v>
          </cell>
          <cell r="F261">
            <v>0</v>
          </cell>
          <cell r="G261">
            <v>487665</v>
          </cell>
          <cell r="H261">
            <v>0</v>
          </cell>
        </row>
        <row r="262">
          <cell r="C262">
            <v>23703003</v>
          </cell>
          <cell r="D262" t="str">
            <v>Recordar</v>
          </cell>
          <cell r="E262">
            <v>-265700</v>
          </cell>
          <cell r="F262">
            <v>3542400</v>
          </cell>
          <cell r="G262">
            <v>3612300</v>
          </cell>
          <cell r="H262">
            <v>-335600</v>
          </cell>
        </row>
        <row r="263">
          <cell r="C263">
            <v>23703004</v>
          </cell>
          <cell r="D263" t="str">
            <v>Prestamo Davivienda</v>
          </cell>
          <cell r="E263">
            <v>-5357500</v>
          </cell>
          <cell r="F263">
            <v>53790156</v>
          </cell>
          <cell r="G263">
            <v>52880656</v>
          </cell>
          <cell r="H263">
            <v>-4448000</v>
          </cell>
        </row>
        <row r="264">
          <cell r="C264">
            <v>237045</v>
          </cell>
          <cell r="D264" t="str">
            <v>Fondos</v>
          </cell>
          <cell r="E264">
            <v>-26812800</v>
          </cell>
          <cell r="F264">
            <v>319261600</v>
          </cell>
          <cell r="G264">
            <v>323294100</v>
          </cell>
          <cell r="H264">
            <v>-30845300</v>
          </cell>
        </row>
        <row r="265">
          <cell r="C265">
            <v>23704501</v>
          </cell>
          <cell r="D265" t="str">
            <v>Fondos de Pensiones</v>
          </cell>
          <cell r="E265">
            <v>-26812800</v>
          </cell>
          <cell r="F265">
            <v>319261600</v>
          </cell>
          <cell r="G265">
            <v>323294100</v>
          </cell>
          <cell r="H265">
            <v>-30845300</v>
          </cell>
        </row>
        <row r="266">
          <cell r="C266">
            <v>237050</v>
          </cell>
          <cell r="D266" t="str">
            <v>Ahorro afc</v>
          </cell>
          <cell r="E266">
            <v>0</v>
          </cell>
          <cell r="F266">
            <v>20557000</v>
          </cell>
          <cell r="G266">
            <v>23777000</v>
          </cell>
          <cell r="H266">
            <v>-3220000</v>
          </cell>
        </row>
        <row r="267">
          <cell r="C267">
            <v>23705001</v>
          </cell>
          <cell r="D267" t="str">
            <v>Ahorro afc</v>
          </cell>
          <cell r="E267">
            <v>0</v>
          </cell>
          <cell r="F267">
            <v>20557000</v>
          </cell>
          <cell r="G267">
            <v>23777000</v>
          </cell>
          <cell r="H267">
            <v>-3220000</v>
          </cell>
        </row>
        <row r="268">
          <cell r="C268">
            <v>2380</v>
          </cell>
          <cell r="D268" t="str">
            <v>Acreedores varios</v>
          </cell>
          <cell r="E268">
            <v>-14600</v>
          </cell>
          <cell r="F268">
            <v>199242700</v>
          </cell>
          <cell r="G268">
            <v>199228100</v>
          </cell>
          <cell r="H268">
            <v>0</v>
          </cell>
        </row>
        <row r="269">
          <cell r="C269">
            <v>238030</v>
          </cell>
          <cell r="D269" t="str">
            <v>Fondos de cesantías y/o pensiones</v>
          </cell>
          <cell r="E269">
            <v>-14600</v>
          </cell>
          <cell r="F269">
            <v>199242700</v>
          </cell>
          <cell r="G269">
            <v>199228100</v>
          </cell>
          <cell r="H269">
            <v>0</v>
          </cell>
        </row>
        <row r="270">
          <cell r="C270">
            <v>23803001</v>
          </cell>
          <cell r="D270" t="str">
            <v>Fondos de cesantías y/o pensiones</v>
          </cell>
          <cell r="E270">
            <v>-14600</v>
          </cell>
          <cell r="F270">
            <v>199242700</v>
          </cell>
          <cell r="G270">
            <v>199228100</v>
          </cell>
          <cell r="H270">
            <v>0</v>
          </cell>
        </row>
        <row r="271">
          <cell r="C271">
            <v>24</v>
          </cell>
          <cell r="D271" t="str">
            <v>Pasivos por impuestos</v>
          </cell>
          <cell r="E271">
            <v>-2154917.4500000002</v>
          </cell>
          <cell r="F271">
            <v>431197386.49000001</v>
          </cell>
          <cell r="G271">
            <v>454852357.66000003</v>
          </cell>
          <cell r="H271">
            <v>-25809888.620000001</v>
          </cell>
        </row>
        <row r="272">
          <cell r="C272">
            <v>2404</v>
          </cell>
          <cell r="D272" t="str">
            <v>De renta y complementarios corriente</v>
          </cell>
          <cell r="E272">
            <v>0</v>
          </cell>
          <cell r="F272">
            <v>46127991</v>
          </cell>
          <cell r="G272">
            <v>46127991</v>
          </cell>
          <cell r="H272">
            <v>0</v>
          </cell>
        </row>
        <row r="273">
          <cell r="C273">
            <v>240405</v>
          </cell>
          <cell r="D273" t="str">
            <v>Vigencia fiscal corriente</v>
          </cell>
          <cell r="E273">
            <v>0</v>
          </cell>
          <cell r="F273">
            <v>46127991</v>
          </cell>
          <cell r="G273">
            <v>46127991</v>
          </cell>
          <cell r="H273">
            <v>0</v>
          </cell>
        </row>
        <row r="274">
          <cell r="C274">
            <v>24040501</v>
          </cell>
          <cell r="D274" t="str">
            <v>Imporrenta</v>
          </cell>
          <cell r="E274">
            <v>0</v>
          </cell>
          <cell r="F274">
            <v>46127991</v>
          </cell>
          <cell r="G274">
            <v>46127991</v>
          </cell>
          <cell r="H274">
            <v>0</v>
          </cell>
        </row>
        <row r="275">
          <cell r="C275">
            <v>2408</v>
          </cell>
          <cell r="D275" t="str">
            <v>Impuesto sobre las ventas por pagar</v>
          </cell>
          <cell r="E275">
            <v>-2150917.4500000002</v>
          </cell>
          <cell r="F275">
            <v>378649482.49000001</v>
          </cell>
          <cell r="G275">
            <v>402272683.66000003</v>
          </cell>
          <cell r="H275">
            <v>-25774118.620000001</v>
          </cell>
        </row>
        <row r="276">
          <cell r="C276">
            <v>240801</v>
          </cell>
          <cell r="D276" t="str">
            <v>Vigencia Fiscal Corriente</v>
          </cell>
          <cell r="E276">
            <v>112485054.23999999</v>
          </cell>
          <cell r="F276">
            <v>124527619.02</v>
          </cell>
          <cell r="G276">
            <v>70024479.840000004</v>
          </cell>
          <cell r="H276">
            <v>166988193.41999999</v>
          </cell>
        </row>
        <row r="277">
          <cell r="C277">
            <v>24080103</v>
          </cell>
          <cell r="D277" t="str">
            <v>Iva Pagado</v>
          </cell>
          <cell r="E277">
            <v>166457467.88</v>
          </cell>
          <cell r="F277">
            <v>33973063.020000003</v>
          </cell>
          <cell r="G277">
            <v>0</v>
          </cell>
          <cell r="H277">
            <v>200430530.90000001</v>
          </cell>
        </row>
        <row r="278">
          <cell r="C278">
            <v>24080105</v>
          </cell>
          <cell r="D278" t="str">
            <v>Iva Transitorio</v>
          </cell>
          <cell r="E278">
            <v>-53972413.640000001</v>
          </cell>
          <cell r="F278">
            <v>90554556</v>
          </cell>
          <cell r="G278">
            <v>70024479.840000004</v>
          </cell>
          <cell r="H278">
            <v>-33442337.48</v>
          </cell>
        </row>
        <row r="279">
          <cell r="C279">
            <v>240805</v>
          </cell>
          <cell r="D279" t="str">
            <v>Iva generado en ventas</v>
          </cell>
          <cell r="E279">
            <v>17357735.309999999</v>
          </cell>
          <cell r="F279">
            <v>72423792.459999993</v>
          </cell>
          <cell r="G279">
            <v>16038415.82</v>
          </cell>
          <cell r="H279">
            <v>73743111.950000003</v>
          </cell>
        </row>
        <row r="280">
          <cell r="C280">
            <v>24080501</v>
          </cell>
          <cell r="D280" t="str">
            <v>Iva Gravado</v>
          </cell>
          <cell r="E280">
            <v>-15987264.689999999</v>
          </cell>
          <cell r="F280">
            <v>0</v>
          </cell>
          <cell r="G280">
            <v>0</v>
          </cell>
          <cell r="H280">
            <v>-15987264.689999999</v>
          </cell>
        </row>
        <row r="281">
          <cell r="C281">
            <v>24080503</v>
          </cell>
          <cell r="D281" t="str">
            <v>Iva Pagado</v>
          </cell>
          <cell r="E281">
            <v>33345000</v>
          </cell>
          <cell r="F281">
            <v>72423792.459999993</v>
          </cell>
          <cell r="G281">
            <v>16038415.82</v>
          </cell>
          <cell r="H281">
            <v>89730376.640000001</v>
          </cell>
        </row>
        <row r="282">
          <cell r="C282">
            <v>240806</v>
          </cell>
          <cell r="D282" t="str">
            <v>Iva generado</v>
          </cell>
          <cell r="E282">
            <v>-299891709</v>
          </cell>
          <cell r="F282">
            <v>2335246</v>
          </cell>
          <cell r="G282">
            <v>312558062</v>
          </cell>
          <cell r="H282">
            <v>-610114525</v>
          </cell>
        </row>
        <row r="283">
          <cell r="C283">
            <v>24080601</v>
          </cell>
          <cell r="D283" t="str">
            <v>Iva generado</v>
          </cell>
          <cell r="E283">
            <v>-300062709</v>
          </cell>
          <cell r="F283">
            <v>2335246</v>
          </cell>
          <cell r="G283">
            <v>308389162</v>
          </cell>
          <cell r="H283">
            <v>-606116625</v>
          </cell>
        </row>
        <row r="284">
          <cell r="C284">
            <v>24080603</v>
          </cell>
          <cell r="D284" t="str">
            <v>Iva generado en Otros Ingresos</v>
          </cell>
          <cell r="E284">
            <v>171000</v>
          </cell>
          <cell r="F284">
            <v>0</v>
          </cell>
          <cell r="G284">
            <v>4168900</v>
          </cell>
          <cell r="H284">
            <v>-3997900</v>
          </cell>
        </row>
        <row r="285">
          <cell r="C285">
            <v>240810</v>
          </cell>
          <cell r="D285" t="str">
            <v>Iva descontable por compras</v>
          </cell>
          <cell r="E285">
            <v>159720522</v>
          </cell>
          <cell r="F285">
            <v>173507113</v>
          </cell>
          <cell r="G285">
            <v>3651726</v>
          </cell>
          <cell r="H285">
            <v>329575909</v>
          </cell>
        </row>
        <row r="286">
          <cell r="C286">
            <v>24081001</v>
          </cell>
          <cell r="D286" t="str">
            <v>Iva descontable por compras 19%</v>
          </cell>
          <cell r="E286">
            <v>164441772</v>
          </cell>
          <cell r="F286">
            <v>173507113</v>
          </cell>
          <cell r="G286">
            <v>824497</v>
          </cell>
          <cell r="H286">
            <v>337124388</v>
          </cell>
        </row>
        <row r="287">
          <cell r="C287">
            <v>24081002</v>
          </cell>
          <cell r="D287" t="str">
            <v>Iva Devolución en compras 19%</v>
          </cell>
          <cell r="E287">
            <v>-4658550</v>
          </cell>
          <cell r="F287">
            <v>0</v>
          </cell>
          <cell r="G287">
            <v>2788457</v>
          </cell>
          <cell r="H287">
            <v>-7447007</v>
          </cell>
        </row>
        <row r="288">
          <cell r="C288">
            <v>24081005</v>
          </cell>
          <cell r="D288" t="str">
            <v>Iva descontable por compras servicios 19%</v>
          </cell>
          <cell r="E288">
            <v>-62700</v>
          </cell>
          <cell r="F288">
            <v>0</v>
          </cell>
          <cell r="G288">
            <v>0</v>
          </cell>
          <cell r="H288">
            <v>-62700</v>
          </cell>
        </row>
        <row r="289">
          <cell r="C289">
            <v>24081006</v>
          </cell>
          <cell r="D289" t="str">
            <v>Iva Devolución en compras servicios 19%</v>
          </cell>
          <cell r="E289">
            <v>0</v>
          </cell>
          <cell r="F289">
            <v>0</v>
          </cell>
          <cell r="G289">
            <v>38772</v>
          </cell>
          <cell r="H289">
            <v>-38772</v>
          </cell>
        </row>
        <row r="290">
          <cell r="C290">
            <v>240820</v>
          </cell>
          <cell r="D290" t="str">
            <v>Descontable por devoluciones</v>
          </cell>
          <cell r="E290">
            <v>8177480</v>
          </cell>
          <cell r="F290">
            <v>5855712.0099999998</v>
          </cell>
          <cell r="G290">
            <v>0</v>
          </cell>
          <cell r="H290">
            <v>14033192.01</v>
          </cell>
        </row>
        <row r="291">
          <cell r="C291">
            <v>24082001</v>
          </cell>
          <cell r="D291" t="str">
            <v>Descontable por devoluciones en Ventas 19%</v>
          </cell>
          <cell r="E291">
            <v>8177480</v>
          </cell>
          <cell r="F291">
            <v>5855712.0099999998</v>
          </cell>
          <cell r="G291">
            <v>0</v>
          </cell>
          <cell r="H291">
            <v>14033192.01</v>
          </cell>
        </row>
        <row r="292">
          <cell r="C292">
            <v>2412</v>
          </cell>
          <cell r="D292" t="str">
            <v>Industria y Comercio</v>
          </cell>
          <cell r="E292">
            <v>-4000</v>
          </cell>
          <cell r="F292">
            <v>6419913</v>
          </cell>
          <cell r="G292">
            <v>6451683</v>
          </cell>
          <cell r="H292">
            <v>-35770</v>
          </cell>
        </row>
        <row r="293">
          <cell r="C293">
            <v>241205</v>
          </cell>
          <cell r="D293" t="str">
            <v>Vigencia Fiscal Vigente</v>
          </cell>
          <cell r="E293">
            <v>-4000</v>
          </cell>
          <cell r="F293">
            <v>6419913</v>
          </cell>
          <cell r="G293">
            <v>6451683</v>
          </cell>
          <cell r="H293">
            <v>-35770</v>
          </cell>
        </row>
        <row r="294">
          <cell r="C294">
            <v>24120501</v>
          </cell>
          <cell r="D294" t="str">
            <v>Industria y Comercio</v>
          </cell>
          <cell r="E294">
            <v>-4000</v>
          </cell>
          <cell r="F294">
            <v>6419913</v>
          </cell>
          <cell r="G294">
            <v>6451683</v>
          </cell>
          <cell r="H294">
            <v>-35770</v>
          </cell>
        </row>
        <row r="295">
          <cell r="C295">
            <v>25</v>
          </cell>
          <cell r="D295" t="str">
            <v>Beneficios a empleados</v>
          </cell>
          <cell r="E295">
            <v>-207756276</v>
          </cell>
          <cell r="F295">
            <v>1735230267</v>
          </cell>
          <cell r="G295">
            <v>1762399440</v>
          </cell>
          <cell r="H295">
            <v>-234925449</v>
          </cell>
        </row>
        <row r="296">
          <cell r="C296">
            <v>2505</v>
          </cell>
          <cell r="D296" t="str">
            <v>Salarios por pagar</v>
          </cell>
          <cell r="E296">
            <v>0</v>
          </cell>
          <cell r="F296">
            <v>1460541179</v>
          </cell>
          <cell r="G296">
            <v>1463785588</v>
          </cell>
          <cell r="H296">
            <v>-3244409</v>
          </cell>
        </row>
        <row r="297">
          <cell r="C297">
            <v>250505</v>
          </cell>
          <cell r="D297" t="str">
            <v>Salarios por pagar</v>
          </cell>
          <cell r="E297">
            <v>0</v>
          </cell>
          <cell r="F297">
            <v>1460541179</v>
          </cell>
          <cell r="G297">
            <v>1463785588</v>
          </cell>
          <cell r="H297">
            <v>-3244409</v>
          </cell>
        </row>
        <row r="298">
          <cell r="C298">
            <v>25050501</v>
          </cell>
          <cell r="D298" t="str">
            <v>Salarios por pagar</v>
          </cell>
          <cell r="E298">
            <v>0</v>
          </cell>
          <cell r="F298">
            <v>1460541179</v>
          </cell>
          <cell r="G298">
            <v>1463785588</v>
          </cell>
          <cell r="H298">
            <v>-3244409</v>
          </cell>
        </row>
        <row r="299">
          <cell r="C299">
            <v>2510</v>
          </cell>
          <cell r="D299" t="str">
            <v>Pasivo estimado para obligaciones laborales</v>
          </cell>
          <cell r="E299">
            <v>-103939085</v>
          </cell>
          <cell r="F299">
            <v>104816709</v>
          </cell>
          <cell r="G299">
            <v>110132435</v>
          </cell>
          <cell r="H299">
            <v>-109254811</v>
          </cell>
        </row>
        <row r="300">
          <cell r="C300">
            <v>251010</v>
          </cell>
          <cell r="D300" t="str">
            <v>Pasivo estimado para obligaciones laborales</v>
          </cell>
          <cell r="E300">
            <v>-103939085</v>
          </cell>
          <cell r="F300">
            <v>104816709</v>
          </cell>
          <cell r="G300">
            <v>110132435</v>
          </cell>
          <cell r="H300">
            <v>-109254811</v>
          </cell>
        </row>
        <row r="301">
          <cell r="C301">
            <v>25101001</v>
          </cell>
          <cell r="D301" t="str">
            <v>Cesantías</v>
          </cell>
          <cell r="E301">
            <v>-103939085</v>
          </cell>
          <cell r="F301">
            <v>104816709</v>
          </cell>
          <cell r="G301">
            <v>110132435</v>
          </cell>
          <cell r="H301">
            <v>-109254811</v>
          </cell>
        </row>
        <row r="302">
          <cell r="C302">
            <v>2515</v>
          </cell>
          <cell r="D302" t="str">
            <v>Intereses sobre Cesantias</v>
          </cell>
          <cell r="E302">
            <v>-12623469</v>
          </cell>
          <cell r="F302">
            <v>12680515</v>
          </cell>
          <cell r="G302">
            <v>13096556</v>
          </cell>
          <cell r="H302">
            <v>-13039510</v>
          </cell>
        </row>
        <row r="303">
          <cell r="C303">
            <v>251501</v>
          </cell>
          <cell r="D303" t="str">
            <v>Intereses sobre Cesantias</v>
          </cell>
          <cell r="E303">
            <v>-12623469</v>
          </cell>
          <cell r="F303">
            <v>12680515</v>
          </cell>
          <cell r="G303">
            <v>13096556</v>
          </cell>
          <cell r="H303">
            <v>-13039510</v>
          </cell>
        </row>
        <row r="304">
          <cell r="C304">
            <v>25150101</v>
          </cell>
          <cell r="D304" t="str">
            <v>Interesas sobre Cesantias</v>
          </cell>
          <cell r="E304">
            <v>-12623469</v>
          </cell>
          <cell r="F304">
            <v>12680515</v>
          </cell>
          <cell r="G304">
            <v>13096556</v>
          </cell>
          <cell r="H304">
            <v>-13039510</v>
          </cell>
        </row>
        <row r="305">
          <cell r="C305">
            <v>2520</v>
          </cell>
          <cell r="D305" t="str">
            <v>Prima de Servicios</v>
          </cell>
          <cell r="E305">
            <v>0</v>
          </cell>
          <cell r="F305">
            <v>109198976</v>
          </cell>
          <cell r="G305">
            <v>109198976</v>
          </cell>
          <cell r="H305">
            <v>0</v>
          </cell>
        </row>
        <row r="306">
          <cell r="C306">
            <v>252001</v>
          </cell>
          <cell r="D306" t="str">
            <v>Prima de Servicios</v>
          </cell>
          <cell r="E306">
            <v>0</v>
          </cell>
          <cell r="F306">
            <v>109198976</v>
          </cell>
          <cell r="G306">
            <v>109198976</v>
          </cell>
          <cell r="H306">
            <v>0</v>
          </cell>
        </row>
        <row r="307">
          <cell r="C307">
            <v>25200101</v>
          </cell>
          <cell r="D307" t="str">
            <v>Prima de Servicios</v>
          </cell>
          <cell r="E307">
            <v>0</v>
          </cell>
          <cell r="F307">
            <v>109198976</v>
          </cell>
          <cell r="G307">
            <v>109198976</v>
          </cell>
          <cell r="H307">
            <v>0</v>
          </cell>
        </row>
        <row r="308">
          <cell r="C308">
            <v>2525</v>
          </cell>
          <cell r="D308" t="str">
            <v>Vacaciones Consolidadas</v>
          </cell>
          <cell r="E308">
            <v>-91193722</v>
          </cell>
          <cell r="F308">
            <v>47992888</v>
          </cell>
          <cell r="G308">
            <v>66185885</v>
          </cell>
          <cell r="H308">
            <v>-109386719</v>
          </cell>
        </row>
        <row r="309">
          <cell r="C309">
            <v>252501</v>
          </cell>
          <cell r="D309" t="str">
            <v>Vacaciones Consolidadas</v>
          </cell>
          <cell r="E309">
            <v>-91193722</v>
          </cell>
          <cell r="F309">
            <v>47992888</v>
          </cell>
          <cell r="G309">
            <v>66185885</v>
          </cell>
          <cell r="H309">
            <v>-109386719</v>
          </cell>
        </row>
        <row r="310">
          <cell r="C310">
            <v>25250101</v>
          </cell>
          <cell r="D310" t="str">
            <v>Vacaciones Consolidadas</v>
          </cell>
          <cell r="E310">
            <v>-91193722</v>
          </cell>
          <cell r="F310">
            <v>47992888</v>
          </cell>
          <cell r="G310">
            <v>66185885</v>
          </cell>
          <cell r="H310">
            <v>-109386719</v>
          </cell>
        </row>
        <row r="311">
          <cell r="C311">
            <v>27</v>
          </cell>
          <cell r="D311" t="str">
            <v>Pasivos Diferidos</v>
          </cell>
          <cell r="E311">
            <v>-430108743</v>
          </cell>
          <cell r="F311">
            <v>304621036</v>
          </cell>
          <cell r="G311">
            <v>0</v>
          </cell>
          <cell r="H311">
            <v>-125487707</v>
          </cell>
        </row>
        <row r="312">
          <cell r="C312">
            <v>2725</v>
          </cell>
          <cell r="D312" t="str">
            <v>Impuestos diferidos</v>
          </cell>
          <cell r="E312">
            <v>-430108743</v>
          </cell>
          <cell r="F312">
            <v>304621036</v>
          </cell>
          <cell r="G312">
            <v>0</v>
          </cell>
          <cell r="H312">
            <v>-125487707</v>
          </cell>
        </row>
        <row r="313">
          <cell r="C313">
            <v>272595</v>
          </cell>
          <cell r="D313" t="str">
            <v>Impuestos Diferidos Diversos</v>
          </cell>
          <cell r="E313">
            <v>-430108743</v>
          </cell>
          <cell r="F313">
            <v>304621036</v>
          </cell>
          <cell r="G313">
            <v>0</v>
          </cell>
          <cell r="H313">
            <v>-125487707</v>
          </cell>
        </row>
        <row r="314">
          <cell r="C314">
            <v>27259597</v>
          </cell>
          <cell r="D314" t="str">
            <v>Impuestos Diferidos Diversos en Niif</v>
          </cell>
          <cell r="E314">
            <v>-430108743</v>
          </cell>
          <cell r="F314">
            <v>304621036</v>
          </cell>
          <cell r="G314">
            <v>0</v>
          </cell>
          <cell r="H314">
            <v>-125487707</v>
          </cell>
        </row>
        <row r="315">
          <cell r="C315">
            <v>28</v>
          </cell>
          <cell r="D315" t="str">
            <v>Pasivos no financieros</v>
          </cell>
          <cell r="E315">
            <v>-104006305.89</v>
          </cell>
          <cell r="F315">
            <v>941627734.29999995</v>
          </cell>
          <cell r="G315">
            <v>924599338.71000004</v>
          </cell>
          <cell r="H315">
            <v>-86977910.299999997</v>
          </cell>
        </row>
        <row r="316">
          <cell r="C316">
            <v>2805</v>
          </cell>
          <cell r="D316" t="str">
            <v>Anticipos y avances recibidos</v>
          </cell>
          <cell r="E316">
            <v>-103473487.89</v>
          </cell>
          <cell r="F316">
            <v>941627734.29999995</v>
          </cell>
          <cell r="G316">
            <v>924599338.71000004</v>
          </cell>
          <cell r="H316">
            <v>-86445092.299999997</v>
          </cell>
        </row>
        <row r="317">
          <cell r="C317">
            <v>280505</v>
          </cell>
          <cell r="D317" t="str">
            <v>De clientes</v>
          </cell>
          <cell r="E317">
            <v>-103473487.89</v>
          </cell>
          <cell r="F317">
            <v>941627734.29999995</v>
          </cell>
          <cell r="G317">
            <v>924599338.71000004</v>
          </cell>
          <cell r="H317">
            <v>-86445092.299999997</v>
          </cell>
        </row>
        <row r="318">
          <cell r="C318">
            <v>28050501</v>
          </cell>
          <cell r="D318" t="str">
            <v>De clientes</v>
          </cell>
          <cell r="E318">
            <v>-44732729.799999997</v>
          </cell>
          <cell r="F318">
            <v>895682724.79999995</v>
          </cell>
          <cell r="G318">
            <v>879434517</v>
          </cell>
          <cell r="H318">
            <v>-28484522</v>
          </cell>
        </row>
        <row r="319">
          <cell r="C319">
            <v>28050502</v>
          </cell>
          <cell r="D319" t="str">
            <v>Anticipos y Avances Dev. Cliente</v>
          </cell>
          <cell r="E319">
            <v>-424707</v>
          </cell>
          <cell r="F319">
            <v>4930312</v>
          </cell>
          <cell r="G319">
            <v>5114600</v>
          </cell>
          <cell r="H319">
            <v>-608995</v>
          </cell>
        </row>
        <row r="320">
          <cell r="C320">
            <v>28050503</v>
          </cell>
          <cell r="D320" t="str">
            <v>Clientes No Identificados</v>
          </cell>
          <cell r="E320">
            <v>-58323614.090000004</v>
          </cell>
          <cell r="F320">
            <v>41014697.5</v>
          </cell>
          <cell r="G320">
            <v>40050221.710000001</v>
          </cell>
          <cell r="H320">
            <v>-57359138.299999997</v>
          </cell>
        </row>
        <row r="321">
          <cell r="C321">
            <v>28050597</v>
          </cell>
          <cell r="D321" t="str">
            <v>D. fiscal de clientes</v>
          </cell>
          <cell r="E321">
            <v>7563</v>
          </cell>
          <cell r="F321">
            <v>0</v>
          </cell>
          <cell r="G321">
            <v>0</v>
          </cell>
          <cell r="H321">
            <v>7563</v>
          </cell>
        </row>
        <row r="322">
          <cell r="C322">
            <v>2815</v>
          </cell>
          <cell r="D322" t="str">
            <v>Ingresos recibidos para terceros</v>
          </cell>
          <cell r="E322">
            <v>-532818</v>
          </cell>
          <cell r="F322">
            <v>0</v>
          </cell>
          <cell r="G322">
            <v>0</v>
          </cell>
          <cell r="H322">
            <v>-532818</v>
          </cell>
        </row>
        <row r="323">
          <cell r="C323">
            <v>281505</v>
          </cell>
          <cell r="D323" t="str">
            <v>Valores recibidos para terceros</v>
          </cell>
          <cell r="E323">
            <v>-532818</v>
          </cell>
          <cell r="F323">
            <v>0</v>
          </cell>
          <cell r="G323">
            <v>0</v>
          </cell>
          <cell r="H323">
            <v>-532818</v>
          </cell>
        </row>
        <row r="324">
          <cell r="C324">
            <v>28150501</v>
          </cell>
          <cell r="D324" t="str">
            <v>Valores recibidos para terceros</v>
          </cell>
          <cell r="E324">
            <v>-532818</v>
          </cell>
          <cell r="F324">
            <v>0</v>
          </cell>
          <cell r="G324">
            <v>0</v>
          </cell>
          <cell r="H324">
            <v>-532818</v>
          </cell>
        </row>
        <row r="325">
          <cell r="C325">
            <v>3</v>
          </cell>
          <cell r="D325" t="str">
            <v>Patrimonio</v>
          </cell>
          <cell r="E325">
            <v>-1073113570.3099999</v>
          </cell>
          <cell r="F325">
            <v>61721637.299999997</v>
          </cell>
          <cell r="G325">
            <v>61721637.299999997</v>
          </cell>
          <cell r="H325">
            <v>-1073113570.3099999</v>
          </cell>
        </row>
        <row r="326">
          <cell r="C326">
            <v>31</v>
          </cell>
          <cell r="D326" t="str">
            <v>Capital social</v>
          </cell>
          <cell r="E326">
            <v>-130000000</v>
          </cell>
          <cell r="F326">
            <v>0</v>
          </cell>
          <cell r="G326">
            <v>0</v>
          </cell>
          <cell r="H326">
            <v>-130000000</v>
          </cell>
        </row>
        <row r="327">
          <cell r="C327">
            <v>3105</v>
          </cell>
          <cell r="D327" t="str">
            <v>Capital suscrito y pagado</v>
          </cell>
          <cell r="E327">
            <v>-130000000</v>
          </cell>
          <cell r="F327">
            <v>0</v>
          </cell>
          <cell r="G327">
            <v>0</v>
          </cell>
          <cell r="H327">
            <v>-130000000</v>
          </cell>
        </row>
        <row r="328">
          <cell r="C328">
            <v>310505</v>
          </cell>
          <cell r="D328" t="str">
            <v>Capital suscrito y pagado</v>
          </cell>
          <cell r="E328">
            <v>-130000000</v>
          </cell>
          <cell r="F328">
            <v>0</v>
          </cell>
          <cell r="G328">
            <v>0</v>
          </cell>
          <cell r="H328">
            <v>-130000000</v>
          </cell>
        </row>
        <row r="329">
          <cell r="C329">
            <v>31050501</v>
          </cell>
          <cell r="D329" t="str">
            <v>Capital autorizado</v>
          </cell>
          <cell r="E329">
            <v>-130000000</v>
          </cell>
          <cell r="F329">
            <v>0</v>
          </cell>
          <cell r="G329">
            <v>0</v>
          </cell>
          <cell r="H329">
            <v>-130000000</v>
          </cell>
        </row>
        <row r="330">
          <cell r="C330">
            <v>33</v>
          </cell>
          <cell r="D330" t="str">
            <v>Reservas</v>
          </cell>
          <cell r="E330">
            <v>-44707052.060000002</v>
          </cell>
          <cell r="F330">
            <v>0</v>
          </cell>
          <cell r="G330">
            <v>0</v>
          </cell>
          <cell r="H330">
            <v>-44707052.060000002</v>
          </cell>
        </row>
        <row r="331">
          <cell r="C331">
            <v>3305</v>
          </cell>
          <cell r="D331" t="str">
            <v>Reservas obligatorias</v>
          </cell>
          <cell r="E331">
            <v>-44707052.060000002</v>
          </cell>
          <cell r="F331">
            <v>0</v>
          </cell>
          <cell r="G331">
            <v>0</v>
          </cell>
          <cell r="H331">
            <v>-44707052.060000002</v>
          </cell>
        </row>
        <row r="332">
          <cell r="C332">
            <v>330505</v>
          </cell>
          <cell r="D332" t="str">
            <v>Reservas obligatorias</v>
          </cell>
          <cell r="E332">
            <v>-44707052.060000002</v>
          </cell>
          <cell r="F332">
            <v>0</v>
          </cell>
          <cell r="G332">
            <v>0</v>
          </cell>
          <cell r="H332">
            <v>-44707052.060000002</v>
          </cell>
        </row>
        <row r="333">
          <cell r="C333">
            <v>33050501</v>
          </cell>
          <cell r="D333" t="str">
            <v>Reserva legal</v>
          </cell>
          <cell r="E333">
            <v>-43914518.060000002</v>
          </cell>
          <cell r="F333">
            <v>0</v>
          </cell>
          <cell r="G333">
            <v>0</v>
          </cell>
          <cell r="H333">
            <v>-43914518.060000002</v>
          </cell>
        </row>
        <row r="334">
          <cell r="C334">
            <v>33050597</v>
          </cell>
          <cell r="D334" t="str">
            <v>Dif. Fiscal NIIF en Reservas Ob.</v>
          </cell>
          <cell r="E334">
            <v>-792534</v>
          </cell>
          <cell r="F334">
            <v>0</v>
          </cell>
          <cell r="G334">
            <v>0</v>
          </cell>
          <cell r="H334">
            <v>-792534</v>
          </cell>
        </row>
        <row r="335">
          <cell r="C335">
            <v>34</v>
          </cell>
          <cell r="D335" t="str">
            <v>Revalorizacion del Patrimonio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</row>
        <row r="336">
          <cell r="C336">
            <v>3405</v>
          </cell>
          <cell r="D336" t="str">
            <v>Ajustes por Inflacion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</row>
        <row r="337">
          <cell r="C337">
            <v>340505</v>
          </cell>
          <cell r="D337" t="str">
            <v>De Capital Social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</row>
        <row r="338">
          <cell r="C338">
            <v>34050501</v>
          </cell>
          <cell r="D338" t="str">
            <v>De Capitalizacion</v>
          </cell>
          <cell r="E338">
            <v>-124501909</v>
          </cell>
          <cell r="F338">
            <v>0</v>
          </cell>
          <cell r="G338">
            <v>0</v>
          </cell>
          <cell r="H338">
            <v>-124501909</v>
          </cell>
        </row>
        <row r="339">
          <cell r="C339">
            <v>34050597</v>
          </cell>
          <cell r="D339" t="str">
            <v>Dif. Fiscal NIIf en Ajuste x Inflacion</v>
          </cell>
          <cell r="E339">
            <v>124501909</v>
          </cell>
          <cell r="F339">
            <v>0</v>
          </cell>
          <cell r="G339">
            <v>0</v>
          </cell>
          <cell r="H339">
            <v>124501909</v>
          </cell>
        </row>
        <row r="340">
          <cell r="C340">
            <v>340515</v>
          </cell>
          <cell r="D340" t="str">
            <v>De Reservas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</row>
        <row r="341">
          <cell r="C341">
            <v>34051501</v>
          </cell>
          <cell r="D341" t="str">
            <v>De Reservas</v>
          </cell>
          <cell r="E341">
            <v>-354564</v>
          </cell>
          <cell r="F341">
            <v>0</v>
          </cell>
          <cell r="G341">
            <v>0</v>
          </cell>
          <cell r="H341">
            <v>-354564</v>
          </cell>
        </row>
        <row r="342">
          <cell r="C342">
            <v>34051597</v>
          </cell>
          <cell r="D342" t="str">
            <v>Dif. Fiscal NIIF Reservas</v>
          </cell>
          <cell r="E342">
            <v>354564</v>
          </cell>
          <cell r="F342">
            <v>0</v>
          </cell>
          <cell r="G342">
            <v>0</v>
          </cell>
          <cell r="H342">
            <v>354564</v>
          </cell>
        </row>
        <row r="343">
          <cell r="C343">
            <v>340520</v>
          </cell>
          <cell r="D343" t="str">
            <v>De Resultados de Ejercicios Anteriores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</row>
        <row r="344">
          <cell r="C344">
            <v>34052001</v>
          </cell>
          <cell r="D344" t="str">
            <v>De Resultados de Ejercicios Anteriores</v>
          </cell>
          <cell r="E344">
            <v>-19533031</v>
          </cell>
          <cell r="F344">
            <v>0</v>
          </cell>
          <cell r="G344">
            <v>0</v>
          </cell>
          <cell r="H344">
            <v>-19533031</v>
          </cell>
        </row>
        <row r="345">
          <cell r="C345">
            <v>34052097</v>
          </cell>
          <cell r="D345" t="str">
            <v>Dif. Fiscal NIIF Ejercicios Ant.</v>
          </cell>
          <cell r="E345">
            <v>19533031</v>
          </cell>
          <cell r="F345">
            <v>0</v>
          </cell>
          <cell r="G345">
            <v>0</v>
          </cell>
          <cell r="H345">
            <v>19533031</v>
          </cell>
        </row>
        <row r="346">
          <cell r="C346">
            <v>36</v>
          </cell>
          <cell r="D346" t="str">
            <v>Resultados del Ejercicio</v>
          </cell>
          <cell r="E346">
            <v>-58741172.299999997</v>
          </cell>
          <cell r="F346">
            <v>58741172.299999997</v>
          </cell>
          <cell r="G346">
            <v>0</v>
          </cell>
          <cell r="H346">
            <v>0</v>
          </cell>
        </row>
        <row r="347">
          <cell r="C347">
            <v>3605</v>
          </cell>
          <cell r="D347" t="str">
            <v>Utilidades del Ejercicio</v>
          </cell>
          <cell r="E347">
            <v>-58741172.299999997</v>
          </cell>
          <cell r="F347">
            <v>58741172.299999997</v>
          </cell>
          <cell r="G347">
            <v>0</v>
          </cell>
          <cell r="H347">
            <v>0</v>
          </cell>
        </row>
        <row r="348">
          <cell r="C348">
            <v>360505</v>
          </cell>
          <cell r="D348" t="str">
            <v>Utilidades del Ejercicio</v>
          </cell>
          <cell r="E348">
            <v>-58741172.299999997</v>
          </cell>
          <cell r="F348">
            <v>58741172.299999997</v>
          </cell>
          <cell r="G348">
            <v>0</v>
          </cell>
          <cell r="H348">
            <v>0</v>
          </cell>
        </row>
        <row r="349">
          <cell r="C349">
            <v>36050501</v>
          </cell>
          <cell r="D349" t="str">
            <v>Utilidades del Ejercicio</v>
          </cell>
          <cell r="E349">
            <v>-11243443.119999999</v>
          </cell>
          <cell r="F349">
            <v>11243443.119999999</v>
          </cell>
          <cell r="G349">
            <v>0</v>
          </cell>
          <cell r="H349">
            <v>0</v>
          </cell>
        </row>
        <row r="350">
          <cell r="C350">
            <v>36050597</v>
          </cell>
          <cell r="D350" t="str">
            <v>Dif. Fiscal NIIF Utilidad del Ejercicio</v>
          </cell>
          <cell r="E350">
            <v>-47497729.18</v>
          </cell>
          <cell r="F350">
            <v>47497729.18</v>
          </cell>
          <cell r="G350">
            <v>0</v>
          </cell>
          <cell r="H350">
            <v>0</v>
          </cell>
        </row>
        <row r="351">
          <cell r="C351">
            <v>37</v>
          </cell>
          <cell r="D351" t="str">
            <v>Resultados de ejercicios anteriores</v>
          </cell>
          <cell r="E351">
            <v>-839665345.95000005</v>
          </cell>
          <cell r="F351">
            <v>2980465</v>
          </cell>
          <cell r="G351">
            <v>61721637.299999997</v>
          </cell>
          <cell r="H351">
            <v>-898406518.25</v>
          </cell>
        </row>
        <row r="352">
          <cell r="C352">
            <v>3705</v>
          </cell>
          <cell r="D352" t="str">
            <v>Resultados de ejercicios anteriores</v>
          </cell>
          <cell r="E352">
            <v>-717618334.61000001</v>
          </cell>
          <cell r="F352">
            <v>2980465</v>
          </cell>
          <cell r="G352">
            <v>61721637.299999997</v>
          </cell>
          <cell r="H352">
            <v>-776359506.90999997</v>
          </cell>
        </row>
        <row r="353">
          <cell r="C353">
            <v>370501</v>
          </cell>
          <cell r="D353" t="str">
            <v>Utilidades o Excedentes Acumulados</v>
          </cell>
          <cell r="E353">
            <v>-714637869.61000001</v>
          </cell>
          <cell r="F353">
            <v>0</v>
          </cell>
          <cell r="G353">
            <v>61721637.299999997</v>
          </cell>
          <cell r="H353">
            <v>-776359506.90999997</v>
          </cell>
        </row>
        <row r="354">
          <cell r="C354">
            <v>37050101</v>
          </cell>
          <cell r="D354" t="str">
            <v>Utilidades o Excedentes Acumulados</v>
          </cell>
          <cell r="E354">
            <v>-38667227.380000003</v>
          </cell>
          <cell r="F354">
            <v>0</v>
          </cell>
          <cell r="G354">
            <v>14223908.119999999</v>
          </cell>
          <cell r="H354">
            <v>-52891135.5</v>
          </cell>
        </row>
        <row r="355">
          <cell r="C355">
            <v>37050197</v>
          </cell>
          <cell r="D355" t="str">
            <v>Dif. Fiscal en NIIF Utilidades Acumulados</v>
          </cell>
          <cell r="E355">
            <v>-675970642.23000002</v>
          </cell>
          <cell r="F355">
            <v>0</v>
          </cell>
          <cell r="G355">
            <v>47497729.18</v>
          </cell>
          <cell r="H355">
            <v>-723468371.40999997</v>
          </cell>
        </row>
        <row r="356">
          <cell r="C356">
            <v>370505</v>
          </cell>
          <cell r="D356" t="str">
            <v>Resultados de ejercicios anteriores</v>
          </cell>
          <cell r="E356">
            <v>-2980465</v>
          </cell>
          <cell r="F356">
            <v>2980465</v>
          </cell>
          <cell r="G356">
            <v>0</v>
          </cell>
          <cell r="H356">
            <v>0</v>
          </cell>
        </row>
        <row r="357">
          <cell r="C357">
            <v>37050501</v>
          </cell>
          <cell r="D357" t="str">
            <v>Utilidades o excedentes acumulados</v>
          </cell>
          <cell r="E357">
            <v>-2980465</v>
          </cell>
          <cell r="F357">
            <v>2980465</v>
          </cell>
          <cell r="G357">
            <v>0</v>
          </cell>
          <cell r="H357">
            <v>0</v>
          </cell>
        </row>
        <row r="358">
          <cell r="C358">
            <v>3715</v>
          </cell>
          <cell r="D358" t="str">
            <v>Convergencia</v>
          </cell>
          <cell r="E358">
            <v>-122047011.34</v>
          </cell>
          <cell r="F358">
            <v>0</v>
          </cell>
          <cell r="G358">
            <v>0</v>
          </cell>
          <cell r="H358">
            <v>-122047011.34</v>
          </cell>
        </row>
        <row r="359">
          <cell r="C359">
            <v>371501</v>
          </cell>
          <cell r="D359" t="str">
            <v>Ajuste por Convergencia NIIF</v>
          </cell>
          <cell r="E359">
            <v>3941087</v>
          </cell>
          <cell r="F359">
            <v>0</v>
          </cell>
          <cell r="G359">
            <v>0</v>
          </cell>
          <cell r="H359">
            <v>3941087</v>
          </cell>
        </row>
        <row r="360">
          <cell r="C360">
            <v>37150197</v>
          </cell>
          <cell r="D360" t="str">
            <v xml:space="preserve">Ajuste por Convergencia NIIF-Ant. y Avances Cont. </v>
          </cell>
          <cell r="E360">
            <v>3941087</v>
          </cell>
          <cell r="F360">
            <v>0</v>
          </cell>
          <cell r="G360">
            <v>0</v>
          </cell>
          <cell r="H360">
            <v>3941087</v>
          </cell>
        </row>
        <row r="361">
          <cell r="C361">
            <v>371505</v>
          </cell>
          <cell r="D361" t="str">
            <v>Ajuste por convergencia NIIF</v>
          </cell>
          <cell r="E361">
            <v>473709268.80000001</v>
          </cell>
          <cell r="F361">
            <v>0</v>
          </cell>
          <cell r="G361">
            <v>0</v>
          </cell>
          <cell r="H361">
            <v>473709268.80000001</v>
          </cell>
        </row>
        <row r="362">
          <cell r="C362">
            <v>37150597</v>
          </cell>
          <cell r="D362" t="str">
            <v>Ajuste por convergencia NIIF-Deudores Varios</v>
          </cell>
          <cell r="E362">
            <v>473709268.80000001</v>
          </cell>
          <cell r="F362">
            <v>0</v>
          </cell>
          <cell r="G362">
            <v>0</v>
          </cell>
          <cell r="H362">
            <v>473709268.80000001</v>
          </cell>
        </row>
        <row r="363">
          <cell r="C363">
            <v>371510</v>
          </cell>
          <cell r="D363" t="str">
            <v>Ajuste por Convergencia NIIF</v>
          </cell>
          <cell r="E363">
            <v>-173507575.83000001</v>
          </cell>
          <cell r="F363">
            <v>0</v>
          </cell>
          <cell r="G363">
            <v>0</v>
          </cell>
          <cell r="H363">
            <v>-173507575.83000001</v>
          </cell>
        </row>
        <row r="364">
          <cell r="C364">
            <v>37151097</v>
          </cell>
          <cell r="D364" t="str">
            <v>Ajuste por Convergencia NIIF- Prop. Planta y Equip</v>
          </cell>
          <cell r="E364">
            <v>-173507575.83000001</v>
          </cell>
          <cell r="F364">
            <v>0</v>
          </cell>
          <cell r="G364">
            <v>0</v>
          </cell>
          <cell r="H364">
            <v>-173507575.83000001</v>
          </cell>
        </row>
        <row r="365">
          <cell r="C365">
            <v>371515</v>
          </cell>
          <cell r="D365" t="str">
            <v>Ajuste por Convergencia NIIF</v>
          </cell>
          <cell r="E365">
            <v>105896174</v>
          </cell>
          <cell r="F365">
            <v>0</v>
          </cell>
          <cell r="G365">
            <v>0</v>
          </cell>
          <cell r="H365">
            <v>105896174</v>
          </cell>
        </row>
        <row r="366">
          <cell r="C366">
            <v>37151597</v>
          </cell>
          <cell r="D366" t="str">
            <v>Ajuste por Convergencia NIIF-Impuestos Diferidos</v>
          </cell>
          <cell r="E366">
            <v>105896174</v>
          </cell>
          <cell r="F366">
            <v>0</v>
          </cell>
          <cell r="G366">
            <v>0</v>
          </cell>
          <cell r="H366">
            <v>105896174</v>
          </cell>
        </row>
        <row r="367">
          <cell r="C367">
            <v>371520</v>
          </cell>
          <cell r="D367" t="str">
            <v>Ajuste por Convergencia NIIF</v>
          </cell>
          <cell r="E367">
            <v>43779372</v>
          </cell>
          <cell r="F367">
            <v>0</v>
          </cell>
          <cell r="G367">
            <v>0</v>
          </cell>
          <cell r="H367">
            <v>43779372</v>
          </cell>
        </row>
        <row r="368">
          <cell r="C368">
            <v>37152097</v>
          </cell>
          <cell r="D368" t="str">
            <v>Ajuste por convergencia NIIF- Cartera</v>
          </cell>
          <cell r="E368">
            <v>43779372</v>
          </cell>
          <cell r="F368">
            <v>0</v>
          </cell>
          <cell r="G368">
            <v>0</v>
          </cell>
          <cell r="H368">
            <v>43779372</v>
          </cell>
        </row>
        <row r="369">
          <cell r="C369">
            <v>371525</v>
          </cell>
          <cell r="D369" t="str">
            <v>Ajuste por Convergencia Niif</v>
          </cell>
          <cell r="E369">
            <v>-313168961</v>
          </cell>
          <cell r="F369">
            <v>0</v>
          </cell>
          <cell r="G369">
            <v>0</v>
          </cell>
          <cell r="H369">
            <v>-313168961</v>
          </cell>
        </row>
        <row r="370">
          <cell r="C370">
            <v>37152597</v>
          </cell>
          <cell r="D370" t="str">
            <v>Ajuste por Convergencia Niif-Provision cartera</v>
          </cell>
          <cell r="E370">
            <v>-313168961</v>
          </cell>
          <cell r="F370">
            <v>0</v>
          </cell>
          <cell r="G370">
            <v>0</v>
          </cell>
          <cell r="H370">
            <v>-313168961</v>
          </cell>
        </row>
        <row r="371">
          <cell r="C371">
            <v>371530</v>
          </cell>
          <cell r="D371" t="str">
            <v>Ajuste por Convergencia Niif</v>
          </cell>
          <cell r="E371">
            <v>-87965</v>
          </cell>
          <cell r="F371">
            <v>0</v>
          </cell>
          <cell r="G371">
            <v>0</v>
          </cell>
          <cell r="H371">
            <v>-87965</v>
          </cell>
        </row>
        <row r="372">
          <cell r="C372">
            <v>37153097</v>
          </cell>
          <cell r="D372" t="str">
            <v>Ajuste por Convergencia Niif-Autoretenciones Cree</v>
          </cell>
          <cell r="E372">
            <v>-87965</v>
          </cell>
          <cell r="F372">
            <v>0</v>
          </cell>
          <cell r="G372">
            <v>0</v>
          </cell>
          <cell r="H372">
            <v>-87965</v>
          </cell>
        </row>
        <row r="373">
          <cell r="C373">
            <v>371535</v>
          </cell>
          <cell r="D373" t="str">
            <v>Ajuste por convergencia Niif</v>
          </cell>
          <cell r="E373">
            <v>-101000</v>
          </cell>
          <cell r="F373">
            <v>0</v>
          </cell>
          <cell r="G373">
            <v>0</v>
          </cell>
          <cell r="H373">
            <v>-101000</v>
          </cell>
        </row>
        <row r="374">
          <cell r="C374">
            <v>37153597</v>
          </cell>
          <cell r="D374" t="str">
            <v>Ajuste por convergencia Niif-Industria y comercio</v>
          </cell>
          <cell r="E374">
            <v>-101000</v>
          </cell>
          <cell r="F374">
            <v>0</v>
          </cell>
          <cell r="G374">
            <v>0</v>
          </cell>
          <cell r="H374">
            <v>-101000</v>
          </cell>
        </row>
        <row r="375">
          <cell r="C375">
            <v>371540</v>
          </cell>
          <cell r="D375" t="str">
            <v>Ajuste por convergencia Niif</v>
          </cell>
          <cell r="E375">
            <v>-144389504</v>
          </cell>
          <cell r="F375">
            <v>0</v>
          </cell>
          <cell r="G375">
            <v>0</v>
          </cell>
          <cell r="H375">
            <v>-144389504</v>
          </cell>
        </row>
        <row r="376">
          <cell r="C376">
            <v>37154097</v>
          </cell>
          <cell r="D376" t="str">
            <v>Ajuste por Convergencia Niif-Ajuste por Inflacion</v>
          </cell>
          <cell r="E376">
            <v>-144389504</v>
          </cell>
          <cell r="F376">
            <v>0</v>
          </cell>
          <cell r="G376">
            <v>0</v>
          </cell>
          <cell r="H376">
            <v>-144389504</v>
          </cell>
        </row>
        <row r="377">
          <cell r="C377">
            <v>371545</v>
          </cell>
          <cell r="D377" t="str">
            <v>Ajuste por convergencia Niif</v>
          </cell>
          <cell r="E377">
            <v>-118117907.31</v>
          </cell>
          <cell r="F377">
            <v>0</v>
          </cell>
          <cell r="G377">
            <v>0</v>
          </cell>
          <cell r="H377">
            <v>-118117907.31</v>
          </cell>
        </row>
        <row r="378">
          <cell r="C378">
            <v>37154597</v>
          </cell>
          <cell r="D378" t="str">
            <v>Ajuste por convergencia Niif-Propiedades de Invers</v>
          </cell>
          <cell r="E378">
            <v>-118117907.31</v>
          </cell>
          <cell r="F378">
            <v>0</v>
          </cell>
          <cell r="G378">
            <v>0</v>
          </cell>
          <cell r="H378">
            <v>-118117907.31</v>
          </cell>
        </row>
        <row r="379">
          <cell r="C379">
            <v>4</v>
          </cell>
          <cell r="D379" t="str">
            <v>Ingresos</v>
          </cell>
          <cell r="E379">
            <v>0</v>
          </cell>
          <cell r="F379">
            <v>152701119.66999999</v>
          </cell>
          <cell r="G379">
            <v>7179378078.8500004</v>
          </cell>
          <cell r="H379">
            <v>-7026676959.1800003</v>
          </cell>
        </row>
        <row r="380">
          <cell r="C380">
            <v>41</v>
          </cell>
          <cell r="D380" t="str">
            <v>Ingresos de actividades ordinarias</v>
          </cell>
          <cell r="E380">
            <v>0</v>
          </cell>
          <cell r="F380">
            <v>152620482.99000001</v>
          </cell>
          <cell r="G380">
            <v>7110792473</v>
          </cell>
          <cell r="H380">
            <v>-6958171990.0100002</v>
          </cell>
        </row>
        <row r="381">
          <cell r="C381">
            <v>4135</v>
          </cell>
          <cell r="D381" t="str">
            <v>Comercio al por mayor y al detal</v>
          </cell>
          <cell r="E381">
            <v>0</v>
          </cell>
          <cell r="F381">
            <v>31475237</v>
          </cell>
          <cell r="G381">
            <v>7109772146</v>
          </cell>
          <cell r="H381">
            <v>-7078296909</v>
          </cell>
        </row>
        <row r="382">
          <cell r="C382">
            <v>413501</v>
          </cell>
          <cell r="D382" t="str">
            <v>Comercio al por mayor y al detal</v>
          </cell>
          <cell r="E382">
            <v>0</v>
          </cell>
          <cell r="F382">
            <v>10</v>
          </cell>
          <cell r="G382">
            <v>0</v>
          </cell>
          <cell r="H382">
            <v>10</v>
          </cell>
        </row>
        <row r="383">
          <cell r="C383">
            <v>41350102</v>
          </cell>
          <cell r="D383" t="str">
            <v>Descuentos</v>
          </cell>
          <cell r="E383">
            <v>0</v>
          </cell>
          <cell r="F383">
            <v>10</v>
          </cell>
          <cell r="G383">
            <v>0</v>
          </cell>
          <cell r="H383">
            <v>10</v>
          </cell>
        </row>
        <row r="384">
          <cell r="C384">
            <v>413595</v>
          </cell>
          <cell r="D384" t="str">
            <v>Venta de Otros Productos</v>
          </cell>
          <cell r="E384">
            <v>0</v>
          </cell>
          <cell r="F384">
            <v>31475227</v>
          </cell>
          <cell r="G384">
            <v>7109772146</v>
          </cell>
          <cell r="H384">
            <v>-7078296919</v>
          </cell>
        </row>
        <row r="385">
          <cell r="C385">
            <v>41359501</v>
          </cell>
          <cell r="D385" t="str">
            <v>Ventas Gravadas</v>
          </cell>
          <cell r="E385">
            <v>0</v>
          </cell>
          <cell r="F385">
            <v>31430227</v>
          </cell>
          <cell r="G385">
            <v>1747191614</v>
          </cell>
          <cell r="H385">
            <v>-1715761387</v>
          </cell>
        </row>
        <row r="386">
          <cell r="C386">
            <v>41359511</v>
          </cell>
          <cell r="D386" t="str">
            <v>Ventas No Gravadas</v>
          </cell>
          <cell r="E386">
            <v>0</v>
          </cell>
          <cell r="F386">
            <v>45000</v>
          </cell>
          <cell r="G386">
            <v>5362580532</v>
          </cell>
          <cell r="H386">
            <v>-5362535532</v>
          </cell>
        </row>
        <row r="387">
          <cell r="C387">
            <v>4175</v>
          </cell>
          <cell r="D387" t="str">
            <v>Devolución en ventas</v>
          </cell>
          <cell r="E387">
            <v>0</v>
          </cell>
          <cell r="F387">
            <v>121145245.98999999</v>
          </cell>
          <cell r="G387">
            <v>1020327</v>
          </cell>
          <cell r="H387">
            <v>120124918.98999999</v>
          </cell>
        </row>
        <row r="388">
          <cell r="C388">
            <v>417501</v>
          </cell>
          <cell r="D388" t="str">
            <v>Descuentos y Devoluciones</v>
          </cell>
          <cell r="E388">
            <v>0</v>
          </cell>
          <cell r="F388">
            <v>470269</v>
          </cell>
          <cell r="G388">
            <v>155176</v>
          </cell>
          <cell r="H388">
            <v>315093</v>
          </cell>
        </row>
        <row r="389">
          <cell r="C389">
            <v>41750101</v>
          </cell>
          <cell r="D389" t="str">
            <v>Devol. Rebajas y Descuentos</v>
          </cell>
          <cell r="E389">
            <v>0</v>
          </cell>
          <cell r="F389">
            <v>470269</v>
          </cell>
          <cell r="G389">
            <v>155176</v>
          </cell>
          <cell r="H389">
            <v>315093</v>
          </cell>
        </row>
        <row r="390">
          <cell r="C390">
            <v>417505</v>
          </cell>
          <cell r="D390" t="str">
            <v>Devolución</v>
          </cell>
          <cell r="E390">
            <v>0</v>
          </cell>
          <cell r="F390">
            <v>120674976.98999999</v>
          </cell>
          <cell r="G390">
            <v>865151</v>
          </cell>
          <cell r="H390">
            <v>119809825.98999999</v>
          </cell>
        </row>
        <row r="391">
          <cell r="C391">
            <v>41750501</v>
          </cell>
          <cell r="D391" t="str">
            <v>Devolución en ventas</v>
          </cell>
          <cell r="E391">
            <v>0</v>
          </cell>
          <cell r="F391">
            <v>98852803.930000007</v>
          </cell>
          <cell r="G391">
            <v>0</v>
          </cell>
          <cell r="H391">
            <v>98852803.930000007</v>
          </cell>
        </row>
        <row r="392">
          <cell r="C392">
            <v>41750502</v>
          </cell>
          <cell r="D392" t="str">
            <v>Devolución en servicios</v>
          </cell>
          <cell r="E392">
            <v>0</v>
          </cell>
          <cell r="F392">
            <v>5346031.0599999996</v>
          </cell>
          <cell r="G392">
            <v>0</v>
          </cell>
          <cell r="H392">
            <v>5346031.0599999996</v>
          </cell>
        </row>
        <row r="393">
          <cell r="C393">
            <v>41750503</v>
          </cell>
          <cell r="D393" t="str">
            <v>Devolución en descuentos</v>
          </cell>
          <cell r="E393">
            <v>0</v>
          </cell>
          <cell r="F393">
            <v>16476142</v>
          </cell>
          <cell r="G393">
            <v>865151</v>
          </cell>
          <cell r="H393">
            <v>15610991</v>
          </cell>
        </row>
        <row r="394">
          <cell r="C394">
            <v>42</v>
          </cell>
          <cell r="D394" t="str">
            <v>Otros ingresos de actividades ordinarias</v>
          </cell>
          <cell r="E394">
            <v>0</v>
          </cell>
          <cell r="F394">
            <v>80636.679999999993</v>
          </cell>
          <cell r="G394">
            <v>68585605.849999994</v>
          </cell>
          <cell r="H394">
            <v>-68504969.170000002</v>
          </cell>
        </row>
        <row r="395">
          <cell r="C395">
            <v>4210</v>
          </cell>
          <cell r="D395" t="str">
            <v>Financieros</v>
          </cell>
          <cell r="E395">
            <v>0</v>
          </cell>
          <cell r="F395">
            <v>436.02</v>
          </cell>
          <cell r="G395">
            <v>1095238</v>
          </cell>
          <cell r="H395">
            <v>-1094801.98</v>
          </cell>
        </row>
        <row r="396">
          <cell r="C396">
            <v>421040</v>
          </cell>
          <cell r="D396" t="str">
            <v>Descuentos comerciales condicionados</v>
          </cell>
          <cell r="E396">
            <v>0</v>
          </cell>
          <cell r="F396">
            <v>436.02</v>
          </cell>
          <cell r="G396">
            <v>1095238</v>
          </cell>
          <cell r="H396">
            <v>-1094801.98</v>
          </cell>
        </row>
        <row r="397">
          <cell r="C397">
            <v>42104001</v>
          </cell>
          <cell r="D397" t="str">
            <v>Descuentos comerciales condicionados</v>
          </cell>
          <cell r="E397">
            <v>0</v>
          </cell>
          <cell r="F397">
            <v>436.02</v>
          </cell>
          <cell r="G397">
            <v>1095238</v>
          </cell>
          <cell r="H397">
            <v>-1094801.98</v>
          </cell>
        </row>
        <row r="398">
          <cell r="C398">
            <v>4220</v>
          </cell>
          <cell r="D398" t="str">
            <v>Arrendamientos</v>
          </cell>
          <cell r="E398">
            <v>0</v>
          </cell>
          <cell r="F398">
            <v>0</v>
          </cell>
          <cell r="G398">
            <v>11960800</v>
          </cell>
          <cell r="H398">
            <v>-11960800</v>
          </cell>
        </row>
        <row r="399">
          <cell r="C399">
            <v>422010</v>
          </cell>
          <cell r="D399" t="str">
            <v>Construcciones y Edificios</v>
          </cell>
          <cell r="E399">
            <v>0</v>
          </cell>
          <cell r="F399">
            <v>0</v>
          </cell>
          <cell r="G399">
            <v>11960800</v>
          </cell>
          <cell r="H399">
            <v>-11960800</v>
          </cell>
        </row>
        <row r="400">
          <cell r="C400">
            <v>42201001</v>
          </cell>
          <cell r="D400" t="str">
            <v>Construcciones y Edificaciones</v>
          </cell>
          <cell r="E400">
            <v>0</v>
          </cell>
          <cell r="F400">
            <v>0</v>
          </cell>
          <cell r="G400">
            <v>11960800</v>
          </cell>
          <cell r="H400">
            <v>-11960800</v>
          </cell>
        </row>
        <row r="401">
          <cell r="C401">
            <v>4235</v>
          </cell>
          <cell r="D401" t="str">
            <v>Servicios</v>
          </cell>
          <cell r="E401">
            <v>0</v>
          </cell>
          <cell r="F401">
            <v>0</v>
          </cell>
          <cell r="G401">
            <v>13200000</v>
          </cell>
          <cell r="H401">
            <v>-13200000</v>
          </cell>
        </row>
        <row r="402">
          <cell r="C402">
            <v>423520</v>
          </cell>
          <cell r="D402" t="str">
            <v>Servicios de Administracion</v>
          </cell>
          <cell r="E402">
            <v>0</v>
          </cell>
          <cell r="F402">
            <v>0</v>
          </cell>
          <cell r="G402">
            <v>13200000</v>
          </cell>
          <cell r="H402">
            <v>-13200000</v>
          </cell>
        </row>
        <row r="403">
          <cell r="C403">
            <v>42352002</v>
          </cell>
          <cell r="D403" t="str">
            <v>Servicios Admon Local Miramar</v>
          </cell>
          <cell r="E403">
            <v>0</v>
          </cell>
          <cell r="F403">
            <v>0</v>
          </cell>
          <cell r="G403">
            <v>13200000</v>
          </cell>
          <cell r="H403">
            <v>-13200000</v>
          </cell>
        </row>
        <row r="404">
          <cell r="C404">
            <v>4255</v>
          </cell>
          <cell r="D404" t="str">
            <v>Indemnizaciones</v>
          </cell>
          <cell r="E404">
            <v>0</v>
          </cell>
          <cell r="F404">
            <v>0</v>
          </cell>
          <cell r="G404">
            <v>27726058</v>
          </cell>
          <cell r="H404">
            <v>-27726058</v>
          </cell>
        </row>
        <row r="405">
          <cell r="C405">
            <v>425540</v>
          </cell>
          <cell r="D405" t="str">
            <v>Por incapacidades</v>
          </cell>
          <cell r="E405">
            <v>0</v>
          </cell>
          <cell r="F405">
            <v>0</v>
          </cell>
          <cell r="G405">
            <v>27726058</v>
          </cell>
          <cell r="H405">
            <v>-27726058</v>
          </cell>
        </row>
        <row r="406">
          <cell r="C406">
            <v>42554001</v>
          </cell>
          <cell r="D406" t="str">
            <v>Por incapacidades</v>
          </cell>
          <cell r="E406">
            <v>0</v>
          </cell>
          <cell r="F406">
            <v>0</v>
          </cell>
          <cell r="G406">
            <v>27726058</v>
          </cell>
          <cell r="H406">
            <v>-27726058</v>
          </cell>
        </row>
        <row r="407">
          <cell r="C407">
            <v>4295</v>
          </cell>
          <cell r="D407" t="str">
            <v>Diversos</v>
          </cell>
          <cell r="E407">
            <v>0</v>
          </cell>
          <cell r="F407">
            <v>80200.66</v>
          </cell>
          <cell r="G407">
            <v>14603509.85</v>
          </cell>
          <cell r="H407">
            <v>-14523309.189999999</v>
          </cell>
        </row>
        <row r="408">
          <cell r="C408">
            <v>429505</v>
          </cell>
          <cell r="D408" t="str">
            <v>Aprovechamientos</v>
          </cell>
          <cell r="E408">
            <v>0</v>
          </cell>
          <cell r="F408">
            <v>80200.66</v>
          </cell>
          <cell r="G408">
            <v>118515.85</v>
          </cell>
          <cell r="H408">
            <v>-38315.19</v>
          </cell>
        </row>
        <row r="409">
          <cell r="C409">
            <v>42950501</v>
          </cell>
          <cell r="D409" t="str">
            <v>Aprovechamientos</v>
          </cell>
          <cell r="E409">
            <v>0</v>
          </cell>
          <cell r="F409">
            <v>80200.66</v>
          </cell>
          <cell r="G409">
            <v>118515.85</v>
          </cell>
          <cell r="H409">
            <v>-38315.19</v>
          </cell>
        </row>
        <row r="410">
          <cell r="C410">
            <v>429543</v>
          </cell>
          <cell r="D410" t="str">
            <v>PREMIOS</v>
          </cell>
          <cell r="E410">
            <v>0</v>
          </cell>
          <cell r="F410">
            <v>0</v>
          </cell>
          <cell r="G410">
            <v>14484994</v>
          </cell>
          <cell r="H410">
            <v>-14484994</v>
          </cell>
        </row>
        <row r="411">
          <cell r="C411">
            <v>42954301</v>
          </cell>
          <cell r="D411" t="str">
            <v>PREMIOS</v>
          </cell>
          <cell r="E411">
            <v>0</v>
          </cell>
          <cell r="F411">
            <v>0</v>
          </cell>
          <cell r="G411">
            <v>14484994</v>
          </cell>
          <cell r="H411">
            <v>-14484994</v>
          </cell>
        </row>
        <row r="412">
          <cell r="C412">
            <v>5</v>
          </cell>
          <cell r="D412" t="str">
            <v>Gasto</v>
          </cell>
          <cell r="E412">
            <v>0</v>
          </cell>
          <cell r="F412">
            <v>3820935982.4699998</v>
          </cell>
          <cell r="G412">
            <v>237456377.59</v>
          </cell>
          <cell r="H412">
            <v>3583479604.8800001</v>
          </cell>
        </row>
        <row r="413">
          <cell r="C413">
            <v>51</v>
          </cell>
          <cell r="D413" t="str">
            <v>Administrativos</v>
          </cell>
          <cell r="E413">
            <v>0</v>
          </cell>
          <cell r="F413">
            <v>2936699655.3299999</v>
          </cell>
          <cell r="G413">
            <v>44990804.520000003</v>
          </cell>
          <cell r="H413">
            <v>2891708850.8099999</v>
          </cell>
        </row>
        <row r="414">
          <cell r="C414">
            <v>5105</v>
          </cell>
          <cell r="D414" t="str">
            <v>Gastos de personal</v>
          </cell>
          <cell r="E414">
            <v>0</v>
          </cell>
          <cell r="F414">
            <v>1831540462</v>
          </cell>
          <cell r="G414">
            <v>8262449</v>
          </cell>
          <cell r="H414">
            <v>1823278013</v>
          </cell>
        </row>
        <row r="415">
          <cell r="C415">
            <v>510506</v>
          </cell>
          <cell r="D415" t="str">
            <v>Sueldos</v>
          </cell>
          <cell r="E415">
            <v>0</v>
          </cell>
          <cell r="F415">
            <v>1011274831</v>
          </cell>
          <cell r="G415">
            <v>0</v>
          </cell>
          <cell r="H415">
            <v>1011274831</v>
          </cell>
        </row>
        <row r="416">
          <cell r="C416">
            <v>51050601</v>
          </cell>
          <cell r="D416" t="str">
            <v>Sueldos</v>
          </cell>
          <cell r="E416">
            <v>0</v>
          </cell>
          <cell r="F416">
            <v>1011274831</v>
          </cell>
          <cell r="G416">
            <v>0</v>
          </cell>
          <cell r="H416">
            <v>1011274831</v>
          </cell>
        </row>
        <row r="417">
          <cell r="C417">
            <v>510512</v>
          </cell>
          <cell r="D417" t="str">
            <v>Apoyo sostenimiento aprendices</v>
          </cell>
          <cell r="E417">
            <v>0</v>
          </cell>
          <cell r="F417">
            <v>17400000</v>
          </cell>
          <cell r="G417">
            <v>0</v>
          </cell>
          <cell r="H417">
            <v>17400000</v>
          </cell>
        </row>
        <row r="418">
          <cell r="C418">
            <v>51051201</v>
          </cell>
          <cell r="D418" t="str">
            <v>Apoyo sostenimiento aprendices</v>
          </cell>
          <cell r="E418">
            <v>0</v>
          </cell>
          <cell r="F418">
            <v>17400000</v>
          </cell>
          <cell r="G418">
            <v>0</v>
          </cell>
          <cell r="H418">
            <v>17400000</v>
          </cell>
        </row>
        <row r="419">
          <cell r="C419">
            <v>510515</v>
          </cell>
          <cell r="D419" t="str">
            <v>Horas extras y recargos</v>
          </cell>
          <cell r="E419">
            <v>0</v>
          </cell>
          <cell r="F419">
            <v>3840016</v>
          </cell>
          <cell r="G419">
            <v>0</v>
          </cell>
          <cell r="H419">
            <v>3840016</v>
          </cell>
        </row>
        <row r="420">
          <cell r="C420">
            <v>51051501</v>
          </cell>
          <cell r="D420" t="str">
            <v>Horas extras y recargos</v>
          </cell>
          <cell r="E420">
            <v>0</v>
          </cell>
          <cell r="F420">
            <v>3840016</v>
          </cell>
          <cell r="G420">
            <v>0</v>
          </cell>
          <cell r="H420">
            <v>3840016</v>
          </cell>
        </row>
        <row r="421">
          <cell r="C421">
            <v>510518</v>
          </cell>
          <cell r="D421" t="str">
            <v>Comisiones</v>
          </cell>
          <cell r="E421">
            <v>0</v>
          </cell>
          <cell r="F421">
            <v>206810824</v>
          </cell>
          <cell r="G421">
            <v>0</v>
          </cell>
          <cell r="H421">
            <v>206810824</v>
          </cell>
        </row>
        <row r="422">
          <cell r="C422">
            <v>51051801</v>
          </cell>
          <cell r="D422" t="str">
            <v>Comisiones</v>
          </cell>
          <cell r="E422">
            <v>0</v>
          </cell>
          <cell r="F422">
            <v>206810824</v>
          </cell>
          <cell r="G422">
            <v>0</v>
          </cell>
          <cell r="H422">
            <v>206810824</v>
          </cell>
        </row>
        <row r="423">
          <cell r="C423">
            <v>510524</v>
          </cell>
          <cell r="D423" t="str">
            <v>Incapacidades</v>
          </cell>
          <cell r="E423">
            <v>0</v>
          </cell>
          <cell r="F423">
            <v>29336905</v>
          </cell>
          <cell r="G423">
            <v>0</v>
          </cell>
          <cell r="H423">
            <v>29336905</v>
          </cell>
        </row>
        <row r="424">
          <cell r="C424">
            <v>51052401</v>
          </cell>
          <cell r="D424" t="str">
            <v>Incapacidades</v>
          </cell>
          <cell r="E424">
            <v>0</v>
          </cell>
          <cell r="F424">
            <v>29336905</v>
          </cell>
          <cell r="G424">
            <v>0</v>
          </cell>
          <cell r="H424">
            <v>29336905</v>
          </cell>
        </row>
        <row r="425">
          <cell r="C425">
            <v>510527</v>
          </cell>
          <cell r="D425" t="str">
            <v>Auxilio de transporte</v>
          </cell>
          <cell r="E425">
            <v>0</v>
          </cell>
          <cell r="F425">
            <v>23204674</v>
          </cell>
          <cell r="G425">
            <v>0</v>
          </cell>
          <cell r="H425">
            <v>23204674</v>
          </cell>
        </row>
        <row r="426">
          <cell r="C426">
            <v>51052701</v>
          </cell>
          <cell r="D426" t="str">
            <v>Auxilio de transporte</v>
          </cell>
          <cell r="E426">
            <v>0</v>
          </cell>
          <cell r="F426">
            <v>23204674</v>
          </cell>
          <cell r="G426">
            <v>0</v>
          </cell>
          <cell r="H426">
            <v>23204674</v>
          </cell>
        </row>
        <row r="427">
          <cell r="C427">
            <v>510530</v>
          </cell>
          <cell r="D427" t="str">
            <v>Cesantías</v>
          </cell>
          <cell r="E427">
            <v>0</v>
          </cell>
          <cell r="F427">
            <v>110132435</v>
          </cell>
          <cell r="G427">
            <v>0</v>
          </cell>
          <cell r="H427">
            <v>110132435</v>
          </cell>
        </row>
        <row r="428">
          <cell r="C428">
            <v>51053001</v>
          </cell>
          <cell r="D428" t="str">
            <v>Cesantías</v>
          </cell>
          <cell r="E428">
            <v>0</v>
          </cell>
          <cell r="F428">
            <v>110132435</v>
          </cell>
          <cell r="G428">
            <v>0</v>
          </cell>
          <cell r="H428">
            <v>110132435</v>
          </cell>
        </row>
        <row r="429">
          <cell r="C429">
            <v>510533</v>
          </cell>
          <cell r="D429" t="str">
            <v>Intereses sobre cesantías</v>
          </cell>
          <cell r="E429">
            <v>0</v>
          </cell>
          <cell r="F429">
            <v>13096556</v>
          </cell>
          <cell r="G429">
            <v>0</v>
          </cell>
          <cell r="H429">
            <v>13096556</v>
          </cell>
        </row>
        <row r="430">
          <cell r="C430">
            <v>51053301</v>
          </cell>
          <cell r="D430" t="str">
            <v>Intereses sobre cesantías</v>
          </cell>
          <cell r="E430">
            <v>0</v>
          </cell>
          <cell r="F430">
            <v>13096556</v>
          </cell>
          <cell r="G430">
            <v>0</v>
          </cell>
          <cell r="H430">
            <v>13096556</v>
          </cell>
        </row>
        <row r="431">
          <cell r="C431">
            <v>510536</v>
          </cell>
          <cell r="D431" t="str">
            <v>Prima de servicios</v>
          </cell>
          <cell r="E431">
            <v>0</v>
          </cell>
          <cell r="F431">
            <v>109120394</v>
          </cell>
          <cell r="G431">
            <v>573535</v>
          </cell>
          <cell r="H431">
            <v>108546859</v>
          </cell>
        </row>
        <row r="432">
          <cell r="C432">
            <v>51053601</v>
          </cell>
          <cell r="D432" t="str">
            <v>Prima de servicios</v>
          </cell>
          <cell r="E432">
            <v>0</v>
          </cell>
          <cell r="F432">
            <v>109120394</v>
          </cell>
          <cell r="G432">
            <v>573535</v>
          </cell>
          <cell r="H432">
            <v>108546859</v>
          </cell>
        </row>
        <row r="433">
          <cell r="C433">
            <v>510539</v>
          </cell>
          <cell r="D433" t="str">
            <v>Vacaciones</v>
          </cell>
          <cell r="E433">
            <v>0</v>
          </cell>
          <cell r="F433">
            <v>66185885</v>
          </cell>
          <cell r="G433">
            <v>7078414</v>
          </cell>
          <cell r="H433">
            <v>59107471</v>
          </cell>
        </row>
        <row r="434">
          <cell r="C434">
            <v>51053901</v>
          </cell>
          <cell r="D434" t="str">
            <v>Vacaciones</v>
          </cell>
          <cell r="E434">
            <v>0</v>
          </cell>
          <cell r="F434">
            <v>66185885</v>
          </cell>
          <cell r="G434">
            <v>7078414</v>
          </cell>
          <cell r="H434">
            <v>59107471</v>
          </cell>
        </row>
        <row r="435">
          <cell r="C435">
            <v>510551</v>
          </cell>
          <cell r="D435" t="str">
            <v>Dotación y suministro a trabajadores</v>
          </cell>
          <cell r="E435">
            <v>0</v>
          </cell>
          <cell r="F435">
            <v>13566478</v>
          </cell>
          <cell r="G435">
            <v>428700</v>
          </cell>
          <cell r="H435">
            <v>13137778</v>
          </cell>
        </row>
        <row r="436">
          <cell r="C436">
            <v>51055101</v>
          </cell>
          <cell r="D436" t="str">
            <v>Dotación y suministro a trabajadores</v>
          </cell>
          <cell r="E436">
            <v>0</v>
          </cell>
          <cell r="F436">
            <v>13566478</v>
          </cell>
          <cell r="G436">
            <v>428700</v>
          </cell>
          <cell r="H436">
            <v>13137778</v>
          </cell>
        </row>
        <row r="437">
          <cell r="C437">
            <v>510563</v>
          </cell>
          <cell r="D437" t="str">
            <v>Capacitación al personal</v>
          </cell>
          <cell r="E437">
            <v>0</v>
          </cell>
          <cell r="F437">
            <v>2232000</v>
          </cell>
          <cell r="G437">
            <v>0</v>
          </cell>
          <cell r="H437">
            <v>2232000</v>
          </cell>
        </row>
        <row r="438">
          <cell r="C438">
            <v>51056301</v>
          </cell>
          <cell r="D438" t="str">
            <v>Capacitación al personal</v>
          </cell>
          <cell r="E438">
            <v>0</v>
          </cell>
          <cell r="F438">
            <v>2232000</v>
          </cell>
          <cell r="G438">
            <v>0</v>
          </cell>
          <cell r="H438">
            <v>2232000</v>
          </cell>
        </row>
        <row r="439">
          <cell r="C439">
            <v>510568</v>
          </cell>
          <cell r="D439" t="str">
            <v>Aportes a administradora de riesgos laborales</v>
          </cell>
          <cell r="E439">
            <v>0</v>
          </cell>
          <cell r="F439">
            <v>6633900</v>
          </cell>
          <cell r="G439">
            <v>0</v>
          </cell>
          <cell r="H439">
            <v>6633900</v>
          </cell>
        </row>
        <row r="440">
          <cell r="C440">
            <v>51056801</v>
          </cell>
          <cell r="D440" t="str">
            <v>Aportes a administradora de riesgos laborales</v>
          </cell>
          <cell r="E440">
            <v>0</v>
          </cell>
          <cell r="F440">
            <v>6633900</v>
          </cell>
          <cell r="G440">
            <v>0</v>
          </cell>
          <cell r="H440">
            <v>6633900</v>
          </cell>
        </row>
        <row r="441">
          <cell r="C441">
            <v>510569</v>
          </cell>
          <cell r="D441" t="str">
            <v>Aportes a entidades promotoras de salud eps</v>
          </cell>
          <cell r="E441">
            <v>0</v>
          </cell>
          <cell r="F441">
            <v>9822800</v>
          </cell>
          <cell r="G441">
            <v>0</v>
          </cell>
          <cell r="H441">
            <v>9822800</v>
          </cell>
        </row>
        <row r="442">
          <cell r="C442">
            <v>51056901</v>
          </cell>
          <cell r="D442" t="str">
            <v>Aportes a entidades promotoras de salud eps</v>
          </cell>
          <cell r="E442">
            <v>0</v>
          </cell>
          <cell r="F442">
            <v>9822800</v>
          </cell>
          <cell r="G442">
            <v>0</v>
          </cell>
          <cell r="H442">
            <v>9822800</v>
          </cell>
        </row>
        <row r="443">
          <cell r="C443">
            <v>510570</v>
          </cell>
          <cell r="D443" t="str">
            <v>Aporte a fondos de pensión y/o cesantías</v>
          </cell>
          <cell r="E443">
            <v>0</v>
          </cell>
          <cell r="F443">
            <v>144796200</v>
          </cell>
          <cell r="G443">
            <v>14600</v>
          </cell>
          <cell r="H443">
            <v>144781600</v>
          </cell>
        </row>
        <row r="444">
          <cell r="C444">
            <v>51057001</v>
          </cell>
          <cell r="D444" t="str">
            <v>Aporte a fondos de pensión y/o cesantías</v>
          </cell>
          <cell r="E444">
            <v>0</v>
          </cell>
          <cell r="F444">
            <v>144796200</v>
          </cell>
          <cell r="G444">
            <v>14600</v>
          </cell>
          <cell r="H444">
            <v>144781600</v>
          </cell>
        </row>
        <row r="445">
          <cell r="C445">
            <v>510572</v>
          </cell>
          <cell r="D445" t="str">
            <v>Aportes cajas de compensación familiar</v>
          </cell>
          <cell r="E445">
            <v>0</v>
          </cell>
          <cell r="F445">
            <v>51714100</v>
          </cell>
          <cell r="G445">
            <v>167200</v>
          </cell>
          <cell r="H445">
            <v>51546900</v>
          </cell>
        </row>
        <row r="446">
          <cell r="C446">
            <v>51057201</v>
          </cell>
          <cell r="D446" t="str">
            <v>Aportes cajas de compensación familiar</v>
          </cell>
          <cell r="E446">
            <v>0</v>
          </cell>
          <cell r="F446">
            <v>51714100</v>
          </cell>
          <cell r="G446">
            <v>167200</v>
          </cell>
          <cell r="H446">
            <v>51546900</v>
          </cell>
        </row>
        <row r="447">
          <cell r="C447">
            <v>510575</v>
          </cell>
          <cell r="D447" t="str">
            <v>Aportes icbf</v>
          </cell>
          <cell r="E447">
            <v>0</v>
          </cell>
          <cell r="F447">
            <v>2695700</v>
          </cell>
          <cell r="G447">
            <v>0</v>
          </cell>
          <cell r="H447">
            <v>2695700</v>
          </cell>
        </row>
        <row r="448">
          <cell r="C448">
            <v>51057501</v>
          </cell>
          <cell r="D448" t="str">
            <v>Aportes icbf</v>
          </cell>
          <cell r="E448">
            <v>0</v>
          </cell>
          <cell r="F448">
            <v>2695700</v>
          </cell>
          <cell r="G448">
            <v>0</v>
          </cell>
          <cell r="H448">
            <v>2695700</v>
          </cell>
        </row>
        <row r="449">
          <cell r="C449">
            <v>510578</v>
          </cell>
          <cell r="D449" t="str">
            <v>Aportes Sena</v>
          </cell>
          <cell r="E449">
            <v>0</v>
          </cell>
          <cell r="F449">
            <v>1797200</v>
          </cell>
          <cell r="G449">
            <v>0</v>
          </cell>
          <cell r="H449">
            <v>1797200</v>
          </cell>
        </row>
        <row r="450">
          <cell r="C450">
            <v>51057801</v>
          </cell>
          <cell r="D450" t="str">
            <v>Aportes Sena</v>
          </cell>
          <cell r="E450">
            <v>0</v>
          </cell>
          <cell r="F450">
            <v>1797200</v>
          </cell>
          <cell r="G450">
            <v>0</v>
          </cell>
          <cell r="H450">
            <v>1797200</v>
          </cell>
        </row>
        <row r="451">
          <cell r="C451">
            <v>510584</v>
          </cell>
          <cell r="D451" t="str">
            <v>Gastos médicos y drogas</v>
          </cell>
          <cell r="E451">
            <v>0</v>
          </cell>
          <cell r="F451">
            <v>1679564</v>
          </cell>
          <cell r="G451">
            <v>0</v>
          </cell>
          <cell r="H451">
            <v>1679564</v>
          </cell>
        </row>
        <row r="452">
          <cell r="C452">
            <v>51058401</v>
          </cell>
          <cell r="D452" t="str">
            <v>Gastos médicos y drogas</v>
          </cell>
          <cell r="E452">
            <v>0</v>
          </cell>
          <cell r="F452">
            <v>1679564</v>
          </cell>
          <cell r="G452">
            <v>0</v>
          </cell>
          <cell r="H452">
            <v>1679564</v>
          </cell>
        </row>
        <row r="453">
          <cell r="C453">
            <v>510595</v>
          </cell>
          <cell r="D453" t="str">
            <v>Otros</v>
          </cell>
          <cell r="E453">
            <v>0</v>
          </cell>
          <cell r="F453">
            <v>6200000</v>
          </cell>
          <cell r="G453">
            <v>0</v>
          </cell>
          <cell r="H453">
            <v>6200000</v>
          </cell>
        </row>
        <row r="454">
          <cell r="C454">
            <v>51059501</v>
          </cell>
          <cell r="D454" t="str">
            <v>Bienestar y atención a empleados</v>
          </cell>
          <cell r="E454">
            <v>0</v>
          </cell>
          <cell r="F454">
            <v>6200000</v>
          </cell>
          <cell r="G454">
            <v>0</v>
          </cell>
          <cell r="H454">
            <v>6200000</v>
          </cell>
        </row>
        <row r="455">
          <cell r="C455">
            <v>5110</v>
          </cell>
          <cell r="D455" t="str">
            <v>Honorarios</v>
          </cell>
          <cell r="E455">
            <v>0</v>
          </cell>
          <cell r="F455">
            <v>236115043</v>
          </cell>
          <cell r="G455">
            <v>0</v>
          </cell>
          <cell r="H455">
            <v>236115043</v>
          </cell>
        </row>
        <row r="456">
          <cell r="C456">
            <v>511010</v>
          </cell>
          <cell r="D456" t="str">
            <v>Revisoría fiscal</v>
          </cell>
          <cell r="E456">
            <v>0</v>
          </cell>
          <cell r="F456">
            <v>50199630</v>
          </cell>
          <cell r="G456">
            <v>0</v>
          </cell>
          <cell r="H456">
            <v>50199630</v>
          </cell>
        </row>
        <row r="457">
          <cell r="C457">
            <v>51101001</v>
          </cell>
          <cell r="D457" t="str">
            <v>Honorarios - Revisoría fiscal</v>
          </cell>
          <cell r="E457">
            <v>0</v>
          </cell>
          <cell r="F457">
            <v>50199630</v>
          </cell>
          <cell r="G457">
            <v>0</v>
          </cell>
          <cell r="H457">
            <v>50199630</v>
          </cell>
        </row>
        <row r="458">
          <cell r="C458">
            <v>511025</v>
          </cell>
          <cell r="D458" t="str">
            <v>Asesoría jurídica</v>
          </cell>
          <cell r="E458">
            <v>0</v>
          </cell>
          <cell r="F458">
            <v>4325913</v>
          </cell>
          <cell r="G458">
            <v>0</v>
          </cell>
          <cell r="H458">
            <v>4325913</v>
          </cell>
        </row>
        <row r="459">
          <cell r="C459">
            <v>51102501</v>
          </cell>
          <cell r="D459" t="str">
            <v>Honorarios - Asesoría jurídica</v>
          </cell>
          <cell r="E459">
            <v>0</v>
          </cell>
          <cell r="F459">
            <v>4325913</v>
          </cell>
          <cell r="G459">
            <v>0</v>
          </cell>
          <cell r="H459">
            <v>4325913</v>
          </cell>
        </row>
        <row r="460">
          <cell r="C460">
            <v>511035</v>
          </cell>
          <cell r="D460" t="str">
            <v>Asesoría técnica</v>
          </cell>
          <cell r="E460">
            <v>0</v>
          </cell>
          <cell r="F460">
            <v>181589500</v>
          </cell>
          <cell r="G460">
            <v>0</v>
          </cell>
          <cell r="H460">
            <v>181589500</v>
          </cell>
        </row>
        <row r="461">
          <cell r="C461">
            <v>51103501</v>
          </cell>
          <cell r="D461" t="str">
            <v>Asesoría técnica</v>
          </cell>
          <cell r="E461">
            <v>0</v>
          </cell>
          <cell r="F461">
            <v>181589500</v>
          </cell>
          <cell r="G461">
            <v>0</v>
          </cell>
          <cell r="H461">
            <v>181589500</v>
          </cell>
        </row>
        <row r="462">
          <cell r="C462">
            <v>5115</v>
          </cell>
          <cell r="D462" t="str">
            <v>Impuestos</v>
          </cell>
          <cell r="E462">
            <v>0</v>
          </cell>
          <cell r="F462">
            <v>19163558</v>
          </cell>
          <cell r="G462">
            <v>0</v>
          </cell>
          <cell r="H462">
            <v>19163558</v>
          </cell>
        </row>
        <row r="463">
          <cell r="C463">
            <v>511515</v>
          </cell>
          <cell r="D463" t="str">
            <v>A la propiedad raíz</v>
          </cell>
          <cell r="E463">
            <v>0</v>
          </cell>
          <cell r="F463">
            <v>19163558</v>
          </cell>
          <cell r="G463">
            <v>0</v>
          </cell>
          <cell r="H463">
            <v>19163558</v>
          </cell>
        </row>
        <row r="464">
          <cell r="C464">
            <v>51151501</v>
          </cell>
          <cell r="D464" t="str">
            <v>A la propiedad raíz</v>
          </cell>
          <cell r="E464">
            <v>0</v>
          </cell>
          <cell r="F464">
            <v>19163558</v>
          </cell>
          <cell r="G464">
            <v>0</v>
          </cell>
          <cell r="H464">
            <v>19163558</v>
          </cell>
        </row>
        <row r="465">
          <cell r="C465">
            <v>5120</v>
          </cell>
          <cell r="D465" t="str">
            <v>Arrendamientos</v>
          </cell>
          <cell r="E465">
            <v>0</v>
          </cell>
          <cell r="F465">
            <v>215902912</v>
          </cell>
          <cell r="G465">
            <v>0</v>
          </cell>
          <cell r="H465">
            <v>215902912</v>
          </cell>
        </row>
        <row r="466">
          <cell r="C466">
            <v>512010</v>
          </cell>
          <cell r="D466" t="str">
            <v>Construcciones y edificaciones</v>
          </cell>
          <cell r="E466">
            <v>0</v>
          </cell>
          <cell r="F466">
            <v>185302912</v>
          </cell>
          <cell r="G466">
            <v>0</v>
          </cell>
          <cell r="H466">
            <v>185302912</v>
          </cell>
        </row>
        <row r="467">
          <cell r="C467">
            <v>51201001</v>
          </cell>
          <cell r="D467" t="str">
            <v>Arrendamientos - Construcciones y edificaciones</v>
          </cell>
          <cell r="E467">
            <v>0</v>
          </cell>
          <cell r="F467">
            <v>185302912</v>
          </cell>
          <cell r="G467">
            <v>0</v>
          </cell>
          <cell r="H467">
            <v>185302912</v>
          </cell>
        </row>
        <row r="468">
          <cell r="C468">
            <v>512040</v>
          </cell>
          <cell r="D468" t="str">
            <v>Flota y Equipo de Transporte</v>
          </cell>
          <cell r="E468">
            <v>0</v>
          </cell>
          <cell r="F468">
            <v>30600000</v>
          </cell>
          <cell r="G468">
            <v>0</v>
          </cell>
          <cell r="H468">
            <v>30600000</v>
          </cell>
        </row>
        <row r="469">
          <cell r="C469">
            <v>51204001</v>
          </cell>
          <cell r="D469" t="str">
            <v>Vehiculos</v>
          </cell>
          <cell r="E469">
            <v>0</v>
          </cell>
          <cell r="F469">
            <v>30600000</v>
          </cell>
          <cell r="G469">
            <v>0</v>
          </cell>
          <cell r="H469">
            <v>30600000</v>
          </cell>
        </row>
        <row r="470">
          <cell r="C470">
            <v>5125</v>
          </cell>
          <cell r="D470" t="str">
            <v>Contribuciones y afiliaciones</v>
          </cell>
          <cell r="E470">
            <v>0</v>
          </cell>
          <cell r="F470">
            <v>5579707</v>
          </cell>
          <cell r="G470">
            <v>0</v>
          </cell>
          <cell r="H470">
            <v>5579707</v>
          </cell>
        </row>
        <row r="471">
          <cell r="C471">
            <v>512505</v>
          </cell>
          <cell r="D471" t="str">
            <v>Contribuciones</v>
          </cell>
          <cell r="E471">
            <v>0</v>
          </cell>
          <cell r="F471">
            <v>5579707</v>
          </cell>
          <cell r="G471">
            <v>0</v>
          </cell>
          <cell r="H471">
            <v>5579707</v>
          </cell>
        </row>
        <row r="472">
          <cell r="C472">
            <v>51250501</v>
          </cell>
          <cell r="D472" t="str">
            <v>Contribuciones y Afiliaciones</v>
          </cell>
          <cell r="E472">
            <v>0</v>
          </cell>
          <cell r="F472">
            <v>5579707</v>
          </cell>
          <cell r="G472">
            <v>0</v>
          </cell>
          <cell r="H472">
            <v>5579707</v>
          </cell>
        </row>
        <row r="473">
          <cell r="C473">
            <v>5130</v>
          </cell>
          <cell r="D473" t="str">
            <v>Seguros</v>
          </cell>
          <cell r="E473">
            <v>0</v>
          </cell>
          <cell r="F473">
            <v>48715588</v>
          </cell>
          <cell r="G473">
            <v>7316872</v>
          </cell>
          <cell r="H473">
            <v>41398716</v>
          </cell>
        </row>
        <row r="474">
          <cell r="C474">
            <v>513010</v>
          </cell>
          <cell r="D474" t="str">
            <v>Cumplimiento</v>
          </cell>
          <cell r="E474">
            <v>0</v>
          </cell>
          <cell r="F474">
            <v>521480</v>
          </cell>
          <cell r="G474">
            <v>0</v>
          </cell>
          <cell r="H474">
            <v>521480</v>
          </cell>
        </row>
        <row r="475">
          <cell r="C475">
            <v>51301001</v>
          </cell>
          <cell r="D475" t="str">
            <v>Cumplimiento</v>
          </cell>
          <cell r="E475">
            <v>0</v>
          </cell>
          <cell r="F475">
            <v>521480</v>
          </cell>
          <cell r="G475">
            <v>0</v>
          </cell>
          <cell r="H475">
            <v>521480</v>
          </cell>
        </row>
        <row r="476">
          <cell r="C476">
            <v>513025</v>
          </cell>
          <cell r="D476" t="str">
            <v>Incendio</v>
          </cell>
          <cell r="E476">
            <v>0</v>
          </cell>
          <cell r="F476">
            <v>1046448</v>
          </cell>
          <cell r="G476">
            <v>0</v>
          </cell>
          <cell r="H476">
            <v>1046448</v>
          </cell>
        </row>
        <row r="477">
          <cell r="C477">
            <v>51302501</v>
          </cell>
          <cell r="D477" t="str">
            <v>Incendio</v>
          </cell>
          <cell r="E477">
            <v>0</v>
          </cell>
          <cell r="F477">
            <v>1046448</v>
          </cell>
          <cell r="G477">
            <v>0</v>
          </cell>
          <cell r="H477">
            <v>1046448</v>
          </cell>
        </row>
        <row r="478">
          <cell r="C478">
            <v>513030</v>
          </cell>
          <cell r="D478" t="str">
            <v>Terremoto</v>
          </cell>
          <cell r="E478">
            <v>0</v>
          </cell>
          <cell r="F478">
            <v>298827</v>
          </cell>
          <cell r="G478">
            <v>0</v>
          </cell>
          <cell r="H478">
            <v>298827</v>
          </cell>
        </row>
        <row r="479">
          <cell r="C479">
            <v>51303001</v>
          </cell>
          <cell r="D479" t="str">
            <v>Seguros - Terremoto</v>
          </cell>
          <cell r="E479">
            <v>0</v>
          </cell>
          <cell r="F479">
            <v>298827</v>
          </cell>
          <cell r="G479">
            <v>0</v>
          </cell>
          <cell r="H479">
            <v>298827</v>
          </cell>
        </row>
        <row r="480">
          <cell r="C480">
            <v>513035</v>
          </cell>
          <cell r="D480" t="str">
            <v>Sustracción y hurto</v>
          </cell>
          <cell r="E480">
            <v>0</v>
          </cell>
          <cell r="F480">
            <v>699646</v>
          </cell>
          <cell r="G480">
            <v>0</v>
          </cell>
          <cell r="H480">
            <v>699646</v>
          </cell>
        </row>
        <row r="481">
          <cell r="C481">
            <v>51303501</v>
          </cell>
          <cell r="D481" t="str">
            <v>Sustracción y hurto</v>
          </cell>
          <cell r="E481">
            <v>0</v>
          </cell>
          <cell r="F481">
            <v>699646</v>
          </cell>
          <cell r="G481">
            <v>0</v>
          </cell>
          <cell r="H481">
            <v>699646</v>
          </cell>
        </row>
        <row r="482">
          <cell r="C482">
            <v>513060</v>
          </cell>
          <cell r="D482" t="str">
            <v>Manejo y Responsabilidad Civil</v>
          </cell>
          <cell r="E482">
            <v>0</v>
          </cell>
          <cell r="F482">
            <v>770240</v>
          </cell>
          <cell r="G482">
            <v>0</v>
          </cell>
          <cell r="H482">
            <v>770240</v>
          </cell>
        </row>
        <row r="483">
          <cell r="C483">
            <v>51306001</v>
          </cell>
          <cell r="D483" t="str">
            <v>Manejo y Responsabilidad Civil</v>
          </cell>
          <cell r="E483">
            <v>0</v>
          </cell>
          <cell r="F483">
            <v>770240</v>
          </cell>
          <cell r="G483">
            <v>0</v>
          </cell>
          <cell r="H483">
            <v>770240</v>
          </cell>
        </row>
        <row r="484">
          <cell r="C484">
            <v>513070</v>
          </cell>
          <cell r="D484" t="str">
            <v>Rotura de maquinaria</v>
          </cell>
          <cell r="E484">
            <v>0</v>
          </cell>
          <cell r="F484">
            <v>36784</v>
          </cell>
          <cell r="G484">
            <v>0</v>
          </cell>
          <cell r="H484">
            <v>36784</v>
          </cell>
        </row>
        <row r="485">
          <cell r="C485">
            <v>51307001</v>
          </cell>
          <cell r="D485" t="str">
            <v>Rotura de maquinaria</v>
          </cell>
          <cell r="E485">
            <v>0</v>
          </cell>
          <cell r="F485">
            <v>36784</v>
          </cell>
          <cell r="G485">
            <v>0</v>
          </cell>
          <cell r="H485">
            <v>36784</v>
          </cell>
        </row>
        <row r="486">
          <cell r="C486">
            <v>513085</v>
          </cell>
          <cell r="D486" t="str">
            <v>Transporte de Mercancia</v>
          </cell>
          <cell r="E486">
            <v>0</v>
          </cell>
          <cell r="F486">
            <v>0</v>
          </cell>
          <cell r="G486">
            <v>350000</v>
          </cell>
          <cell r="H486">
            <v>-350000</v>
          </cell>
        </row>
        <row r="487">
          <cell r="C487">
            <v>51308501</v>
          </cell>
          <cell r="D487" t="str">
            <v>Transporte de Mercancia</v>
          </cell>
          <cell r="E487">
            <v>0</v>
          </cell>
          <cell r="F487">
            <v>0</v>
          </cell>
          <cell r="G487">
            <v>350000</v>
          </cell>
          <cell r="H487">
            <v>-350000</v>
          </cell>
        </row>
        <row r="488">
          <cell r="C488">
            <v>513095</v>
          </cell>
          <cell r="D488" t="str">
            <v>Otros</v>
          </cell>
          <cell r="E488">
            <v>0</v>
          </cell>
          <cell r="F488">
            <v>45342163</v>
          </cell>
          <cell r="G488">
            <v>6966872</v>
          </cell>
          <cell r="H488">
            <v>38375291</v>
          </cell>
        </row>
        <row r="489">
          <cell r="C489">
            <v>51309501</v>
          </cell>
          <cell r="D489" t="str">
            <v>Otros</v>
          </cell>
          <cell r="E489">
            <v>0</v>
          </cell>
          <cell r="F489">
            <v>44711285</v>
          </cell>
          <cell r="G489">
            <v>6966872</v>
          </cell>
          <cell r="H489">
            <v>37744413</v>
          </cell>
        </row>
        <row r="490">
          <cell r="C490">
            <v>51309502</v>
          </cell>
          <cell r="D490" t="str">
            <v>Equipos Electronicos</v>
          </cell>
          <cell r="E490">
            <v>0</v>
          </cell>
          <cell r="F490">
            <v>630878</v>
          </cell>
          <cell r="G490">
            <v>0</v>
          </cell>
          <cell r="H490">
            <v>630878</v>
          </cell>
        </row>
        <row r="491">
          <cell r="C491">
            <v>5135</v>
          </cell>
          <cell r="D491" t="str">
            <v>Servicios</v>
          </cell>
          <cell r="E491">
            <v>0</v>
          </cell>
          <cell r="F491">
            <v>298735322</v>
          </cell>
          <cell r="G491">
            <v>2549851</v>
          </cell>
          <cell r="H491">
            <v>296185471</v>
          </cell>
        </row>
        <row r="492">
          <cell r="C492">
            <v>513505</v>
          </cell>
          <cell r="D492" t="str">
            <v>Aseo y vigilancia</v>
          </cell>
          <cell r="E492">
            <v>0</v>
          </cell>
          <cell r="F492">
            <v>45777287</v>
          </cell>
          <cell r="G492">
            <v>0</v>
          </cell>
          <cell r="H492">
            <v>45777287</v>
          </cell>
        </row>
        <row r="493">
          <cell r="C493">
            <v>51350501</v>
          </cell>
          <cell r="D493" t="str">
            <v>Servicios - Aseo y vigilancia</v>
          </cell>
          <cell r="E493">
            <v>0</v>
          </cell>
          <cell r="F493">
            <v>45777287</v>
          </cell>
          <cell r="G493">
            <v>0</v>
          </cell>
          <cell r="H493">
            <v>45777287</v>
          </cell>
        </row>
        <row r="494">
          <cell r="C494">
            <v>513510</v>
          </cell>
          <cell r="D494" t="str">
            <v>Temporales</v>
          </cell>
          <cell r="E494">
            <v>0</v>
          </cell>
          <cell r="F494">
            <v>4058590</v>
          </cell>
          <cell r="G494">
            <v>0</v>
          </cell>
          <cell r="H494">
            <v>4058590</v>
          </cell>
        </row>
        <row r="495">
          <cell r="C495">
            <v>51351001</v>
          </cell>
          <cell r="D495" t="str">
            <v>Temporales</v>
          </cell>
          <cell r="E495">
            <v>0</v>
          </cell>
          <cell r="F495">
            <v>4058590</v>
          </cell>
          <cell r="G495">
            <v>0</v>
          </cell>
          <cell r="H495">
            <v>4058590</v>
          </cell>
        </row>
        <row r="496">
          <cell r="C496">
            <v>513520</v>
          </cell>
          <cell r="D496" t="str">
            <v>Procesamiento electrónico de datos</v>
          </cell>
          <cell r="E496">
            <v>0</v>
          </cell>
          <cell r="F496">
            <v>41258676</v>
          </cell>
          <cell r="G496">
            <v>308650</v>
          </cell>
          <cell r="H496">
            <v>40950026</v>
          </cell>
        </row>
        <row r="497">
          <cell r="C497">
            <v>51352001</v>
          </cell>
          <cell r="D497" t="str">
            <v>Servicios - Procesamiento electrónico de datos</v>
          </cell>
          <cell r="E497">
            <v>0</v>
          </cell>
          <cell r="F497">
            <v>41258676</v>
          </cell>
          <cell r="G497">
            <v>308650</v>
          </cell>
          <cell r="H497">
            <v>40950026</v>
          </cell>
        </row>
        <row r="498">
          <cell r="C498">
            <v>513525</v>
          </cell>
          <cell r="D498" t="str">
            <v>Acueducto y alcantarillado</v>
          </cell>
          <cell r="E498">
            <v>0</v>
          </cell>
          <cell r="F498">
            <v>8179781</v>
          </cell>
          <cell r="G498">
            <v>0</v>
          </cell>
          <cell r="H498">
            <v>8179781</v>
          </cell>
        </row>
        <row r="499">
          <cell r="C499">
            <v>51352501</v>
          </cell>
          <cell r="D499" t="str">
            <v>Servicios públicos - Acueducto y alcantarillado</v>
          </cell>
          <cell r="E499">
            <v>0</v>
          </cell>
          <cell r="F499">
            <v>8179781</v>
          </cell>
          <cell r="G499">
            <v>0</v>
          </cell>
          <cell r="H499">
            <v>8179781</v>
          </cell>
        </row>
        <row r="500">
          <cell r="C500">
            <v>513530</v>
          </cell>
          <cell r="D500" t="str">
            <v>Energía eléctrica</v>
          </cell>
          <cell r="E500">
            <v>0</v>
          </cell>
          <cell r="F500">
            <v>105884713</v>
          </cell>
          <cell r="G500">
            <v>0</v>
          </cell>
          <cell r="H500">
            <v>105884713</v>
          </cell>
        </row>
        <row r="501">
          <cell r="C501">
            <v>51353001</v>
          </cell>
          <cell r="D501" t="str">
            <v>Servicios públicos - Energía eléctrica</v>
          </cell>
          <cell r="E501">
            <v>0</v>
          </cell>
          <cell r="F501">
            <v>105884713</v>
          </cell>
          <cell r="G501">
            <v>0</v>
          </cell>
          <cell r="H501">
            <v>105884713</v>
          </cell>
        </row>
        <row r="502">
          <cell r="C502">
            <v>513535</v>
          </cell>
          <cell r="D502" t="str">
            <v>Teléfono</v>
          </cell>
          <cell r="E502">
            <v>0</v>
          </cell>
          <cell r="F502">
            <v>38053741</v>
          </cell>
          <cell r="G502">
            <v>183361</v>
          </cell>
          <cell r="H502">
            <v>37870380</v>
          </cell>
        </row>
        <row r="503">
          <cell r="C503">
            <v>51353501</v>
          </cell>
          <cell r="D503" t="str">
            <v>Servicios públicos - Teléfono</v>
          </cell>
          <cell r="E503">
            <v>0</v>
          </cell>
          <cell r="F503">
            <v>27583435</v>
          </cell>
          <cell r="G503">
            <v>183361</v>
          </cell>
          <cell r="H503">
            <v>27400074</v>
          </cell>
        </row>
        <row r="504">
          <cell r="C504">
            <v>51353502</v>
          </cell>
          <cell r="D504" t="str">
            <v>Servicios públicos - Celular</v>
          </cell>
          <cell r="E504">
            <v>0</v>
          </cell>
          <cell r="F504">
            <v>7135984</v>
          </cell>
          <cell r="G504">
            <v>0</v>
          </cell>
          <cell r="H504">
            <v>7135984</v>
          </cell>
        </row>
        <row r="505">
          <cell r="C505">
            <v>51353503</v>
          </cell>
          <cell r="D505" t="str">
            <v>Internet</v>
          </cell>
          <cell r="E505">
            <v>0</v>
          </cell>
          <cell r="F505">
            <v>3334322</v>
          </cell>
          <cell r="G505">
            <v>0</v>
          </cell>
          <cell r="H505">
            <v>3334322</v>
          </cell>
        </row>
        <row r="506">
          <cell r="C506">
            <v>513550</v>
          </cell>
          <cell r="D506" t="str">
            <v>Transporte fletes y acarreos</v>
          </cell>
          <cell r="E506">
            <v>0</v>
          </cell>
          <cell r="F506">
            <v>1842150</v>
          </cell>
          <cell r="G506">
            <v>0</v>
          </cell>
          <cell r="H506">
            <v>1842150</v>
          </cell>
        </row>
        <row r="507">
          <cell r="C507">
            <v>51355001</v>
          </cell>
          <cell r="D507" t="str">
            <v>Transporte fletes y acarreos</v>
          </cell>
          <cell r="E507">
            <v>0</v>
          </cell>
          <cell r="F507">
            <v>1842150</v>
          </cell>
          <cell r="G507">
            <v>0</v>
          </cell>
          <cell r="H507">
            <v>1842150</v>
          </cell>
        </row>
        <row r="508">
          <cell r="C508">
            <v>513595</v>
          </cell>
          <cell r="D508" t="str">
            <v xml:space="preserve">servicios de administración </v>
          </cell>
          <cell r="E508">
            <v>0</v>
          </cell>
          <cell r="F508">
            <v>53680384</v>
          </cell>
          <cell r="G508">
            <v>2057840</v>
          </cell>
          <cell r="H508">
            <v>51622544</v>
          </cell>
        </row>
        <row r="509">
          <cell r="C509">
            <v>51359501</v>
          </cell>
          <cell r="D509" t="str">
            <v xml:space="preserve">Administración </v>
          </cell>
          <cell r="E509">
            <v>0</v>
          </cell>
          <cell r="F509">
            <v>53680384</v>
          </cell>
          <cell r="G509">
            <v>2057840</v>
          </cell>
          <cell r="H509">
            <v>51622544</v>
          </cell>
        </row>
        <row r="510">
          <cell r="C510">
            <v>5140</v>
          </cell>
          <cell r="D510" t="str">
            <v>Gastos legales</v>
          </cell>
          <cell r="E510">
            <v>0</v>
          </cell>
          <cell r="F510">
            <v>6236229</v>
          </cell>
          <cell r="G510">
            <v>0</v>
          </cell>
          <cell r="H510">
            <v>6236229</v>
          </cell>
        </row>
        <row r="511">
          <cell r="C511">
            <v>514010</v>
          </cell>
          <cell r="D511" t="str">
            <v>Registro mercantil</v>
          </cell>
          <cell r="E511">
            <v>0</v>
          </cell>
          <cell r="F511">
            <v>2861400</v>
          </cell>
          <cell r="G511">
            <v>0</v>
          </cell>
          <cell r="H511">
            <v>2861400</v>
          </cell>
        </row>
        <row r="512">
          <cell r="C512">
            <v>51401001</v>
          </cell>
          <cell r="D512" t="str">
            <v>Registro mercantil</v>
          </cell>
          <cell r="E512">
            <v>0</v>
          </cell>
          <cell r="F512">
            <v>2861400</v>
          </cell>
          <cell r="G512">
            <v>0</v>
          </cell>
          <cell r="H512">
            <v>2861400</v>
          </cell>
        </row>
        <row r="513">
          <cell r="C513">
            <v>514095</v>
          </cell>
          <cell r="D513" t="str">
            <v>Otros</v>
          </cell>
          <cell r="E513">
            <v>0</v>
          </cell>
          <cell r="F513">
            <v>3374829</v>
          </cell>
          <cell r="G513">
            <v>0</v>
          </cell>
          <cell r="H513">
            <v>3374829</v>
          </cell>
        </row>
        <row r="514">
          <cell r="C514">
            <v>51409501</v>
          </cell>
          <cell r="D514" t="str">
            <v>Otros</v>
          </cell>
          <cell r="E514">
            <v>0</v>
          </cell>
          <cell r="F514">
            <v>3374829</v>
          </cell>
          <cell r="G514">
            <v>0</v>
          </cell>
          <cell r="H514">
            <v>3374829</v>
          </cell>
        </row>
        <row r="515">
          <cell r="C515">
            <v>5145</v>
          </cell>
          <cell r="D515" t="str">
            <v>Mantenimiento y reparaciones</v>
          </cell>
          <cell r="E515">
            <v>0</v>
          </cell>
          <cell r="F515">
            <v>26235333</v>
          </cell>
          <cell r="G515">
            <v>0</v>
          </cell>
          <cell r="H515">
            <v>26235333</v>
          </cell>
        </row>
        <row r="516">
          <cell r="C516">
            <v>514510</v>
          </cell>
          <cell r="D516" t="str">
            <v>Construcciones y edificaciones</v>
          </cell>
          <cell r="E516">
            <v>0</v>
          </cell>
          <cell r="F516">
            <v>3058093</v>
          </cell>
          <cell r="G516">
            <v>0</v>
          </cell>
          <cell r="H516">
            <v>3058093</v>
          </cell>
        </row>
        <row r="517">
          <cell r="C517">
            <v>51451001</v>
          </cell>
          <cell r="D517" t="str">
            <v>Mantenimientos - Construcciones y edificaciones</v>
          </cell>
          <cell r="E517">
            <v>0</v>
          </cell>
          <cell r="F517">
            <v>3058093</v>
          </cell>
          <cell r="G517">
            <v>0</v>
          </cell>
          <cell r="H517">
            <v>3058093</v>
          </cell>
        </row>
        <row r="518">
          <cell r="C518">
            <v>514515</v>
          </cell>
          <cell r="D518" t="str">
            <v>Maquinaria y Equipo</v>
          </cell>
          <cell r="E518">
            <v>0</v>
          </cell>
          <cell r="F518">
            <v>22869624</v>
          </cell>
          <cell r="G518">
            <v>0</v>
          </cell>
          <cell r="H518">
            <v>22869624</v>
          </cell>
        </row>
        <row r="519">
          <cell r="C519">
            <v>51451501</v>
          </cell>
          <cell r="D519" t="str">
            <v>Maquinaria y Equipo</v>
          </cell>
          <cell r="E519">
            <v>0</v>
          </cell>
          <cell r="F519">
            <v>22869624</v>
          </cell>
          <cell r="G519">
            <v>0</v>
          </cell>
          <cell r="H519">
            <v>22869624</v>
          </cell>
        </row>
        <row r="520">
          <cell r="C520">
            <v>514525</v>
          </cell>
          <cell r="D520" t="str">
            <v>Equipo de computación y comunicación</v>
          </cell>
          <cell r="E520">
            <v>0</v>
          </cell>
          <cell r="F520">
            <v>307616</v>
          </cell>
          <cell r="G520">
            <v>0</v>
          </cell>
          <cell r="H520">
            <v>307616</v>
          </cell>
        </row>
        <row r="521">
          <cell r="C521">
            <v>51452501</v>
          </cell>
          <cell r="D521" t="str">
            <v>Mantenimiento - Equipo de computación y comunicación</v>
          </cell>
          <cell r="E521">
            <v>0</v>
          </cell>
          <cell r="F521">
            <v>307616</v>
          </cell>
          <cell r="G521">
            <v>0</v>
          </cell>
          <cell r="H521">
            <v>307616</v>
          </cell>
        </row>
        <row r="522">
          <cell r="C522">
            <v>5150</v>
          </cell>
          <cell r="D522" t="str">
            <v>Adecuación e instalación</v>
          </cell>
          <cell r="E522">
            <v>0</v>
          </cell>
          <cell r="F522">
            <v>10290200</v>
          </cell>
          <cell r="G522">
            <v>0</v>
          </cell>
          <cell r="H522">
            <v>10290200</v>
          </cell>
        </row>
        <row r="523">
          <cell r="C523">
            <v>515015</v>
          </cell>
          <cell r="D523" t="str">
            <v>Reparaciones locativas</v>
          </cell>
          <cell r="E523">
            <v>0</v>
          </cell>
          <cell r="F523">
            <v>10290200</v>
          </cell>
          <cell r="G523">
            <v>0</v>
          </cell>
          <cell r="H523">
            <v>10290200</v>
          </cell>
        </row>
        <row r="524">
          <cell r="C524">
            <v>51501501</v>
          </cell>
          <cell r="D524" t="str">
            <v>Reparaciones locativas</v>
          </cell>
          <cell r="E524">
            <v>0</v>
          </cell>
          <cell r="F524">
            <v>10290200</v>
          </cell>
          <cell r="G524">
            <v>0</v>
          </cell>
          <cell r="H524">
            <v>10290200</v>
          </cell>
        </row>
        <row r="525">
          <cell r="C525">
            <v>5155</v>
          </cell>
          <cell r="D525" t="str">
            <v>Gastos de viaje</v>
          </cell>
          <cell r="E525">
            <v>0</v>
          </cell>
          <cell r="F525">
            <v>18231651</v>
          </cell>
          <cell r="G525">
            <v>0</v>
          </cell>
          <cell r="H525">
            <v>18231651</v>
          </cell>
        </row>
        <row r="526">
          <cell r="C526">
            <v>515505</v>
          </cell>
          <cell r="D526" t="str">
            <v>Alojamiento y manutención</v>
          </cell>
          <cell r="E526">
            <v>0</v>
          </cell>
          <cell r="F526">
            <v>5406907</v>
          </cell>
          <cell r="G526">
            <v>0</v>
          </cell>
          <cell r="H526">
            <v>5406907</v>
          </cell>
        </row>
        <row r="527">
          <cell r="C527">
            <v>51550501</v>
          </cell>
          <cell r="D527" t="str">
            <v>Gastos de viaje - Alojamiento y manutención</v>
          </cell>
          <cell r="E527">
            <v>0</v>
          </cell>
          <cell r="F527">
            <v>5406907</v>
          </cell>
          <cell r="G527">
            <v>0</v>
          </cell>
          <cell r="H527">
            <v>5406907</v>
          </cell>
        </row>
        <row r="528">
          <cell r="C528">
            <v>515515</v>
          </cell>
          <cell r="D528" t="str">
            <v>Pasajes aéreos</v>
          </cell>
          <cell r="E528">
            <v>0</v>
          </cell>
          <cell r="F528">
            <v>12024744</v>
          </cell>
          <cell r="G528">
            <v>0</v>
          </cell>
          <cell r="H528">
            <v>12024744</v>
          </cell>
        </row>
        <row r="529">
          <cell r="C529">
            <v>51551501</v>
          </cell>
          <cell r="D529" t="str">
            <v>Gastos de viaje - Pasajes aéreos</v>
          </cell>
          <cell r="E529">
            <v>0</v>
          </cell>
          <cell r="F529">
            <v>12024744</v>
          </cell>
          <cell r="G529">
            <v>0</v>
          </cell>
          <cell r="H529">
            <v>12024744</v>
          </cell>
        </row>
        <row r="530">
          <cell r="C530">
            <v>515595</v>
          </cell>
          <cell r="D530" t="str">
            <v>Otros gastos de viaje</v>
          </cell>
          <cell r="E530">
            <v>0</v>
          </cell>
          <cell r="F530">
            <v>800000</v>
          </cell>
          <cell r="G530">
            <v>0</v>
          </cell>
          <cell r="H530">
            <v>800000</v>
          </cell>
        </row>
        <row r="531">
          <cell r="C531">
            <v>51559501</v>
          </cell>
          <cell r="D531" t="str">
            <v>Otros gastos de viaje</v>
          </cell>
          <cell r="E531">
            <v>0</v>
          </cell>
          <cell r="F531">
            <v>800000</v>
          </cell>
          <cell r="G531">
            <v>0</v>
          </cell>
          <cell r="H531">
            <v>800000</v>
          </cell>
        </row>
        <row r="532">
          <cell r="C532">
            <v>5160</v>
          </cell>
          <cell r="D532" t="str">
            <v>Depreciaciones</v>
          </cell>
          <cell r="E532">
            <v>0</v>
          </cell>
          <cell r="F532">
            <v>97129781.329999998</v>
          </cell>
          <cell r="G532">
            <v>26399932.52</v>
          </cell>
          <cell r="H532">
            <v>70729848.810000002</v>
          </cell>
        </row>
        <row r="533">
          <cell r="C533">
            <v>516005</v>
          </cell>
          <cell r="D533" t="str">
            <v>Construcciones y edificaciones</v>
          </cell>
          <cell r="E533">
            <v>0</v>
          </cell>
          <cell r="F533">
            <v>5651111.1600000001</v>
          </cell>
          <cell r="G533">
            <v>258847.08</v>
          </cell>
          <cell r="H533">
            <v>5392264.0800000001</v>
          </cell>
        </row>
        <row r="534">
          <cell r="C534">
            <v>51600501</v>
          </cell>
          <cell r="D534" t="str">
            <v>Construcciones y edificaciones</v>
          </cell>
          <cell r="E534">
            <v>0</v>
          </cell>
          <cell r="F534">
            <v>5651111.1600000001</v>
          </cell>
          <cell r="G534">
            <v>0</v>
          </cell>
          <cell r="H534">
            <v>5651111.1600000001</v>
          </cell>
        </row>
        <row r="535">
          <cell r="C535">
            <v>51600597</v>
          </cell>
          <cell r="D535" t="str">
            <v>D. fiscal construcciones y edificaciones</v>
          </cell>
          <cell r="E535">
            <v>0</v>
          </cell>
          <cell r="F535">
            <v>0</v>
          </cell>
          <cell r="G535">
            <v>258847.08</v>
          </cell>
          <cell r="H535">
            <v>-258847.08</v>
          </cell>
        </row>
        <row r="536">
          <cell r="C536">
            <v>516010</v>
          </cell>
          <cell r="D536" t="str">
            <v>Maquinaria y Equipo</v>
          </cell>
          <cell r="E536">
            <v>0</v>
          </cell>
          <cell r="F536">
            <v>4922277.8600000003</v>
          </cell>
          <cell r="G536">
            <v>1762652.46</v>
          </cell>
          <cell r="H536">
            <v>3159625.4</v>
          </cell>
        </row>
        <row r="537">
          <cell r="C537">
            <v>51601001</v>
          </cell>
          <cell r="D537" t="str">
            <v>Maquinaria y Equipo</v>
          </cell>
          <cell r="E537">
            <v>0</v>
          </cell>
          <cell r="F537">
            <v>4421949.7300000004</v>
          </cell>
          <cell r="G537">
            <v>3500.34</v>
          </cell>
          <cell r="H537">
            <v>4418449.3899999997</v>
          </cell>
        </row>
        <row r="538">
          <cell r="C538">
            <v>51601097</v>
          </cell>
          <cell r="D538" t="str">
            <v>Dif. Fiscal de Depreciacion Maquinaria y Equipo</v>
          </cell>
          <cell r="E538">
            <v>0</v>
          </cell>
          <cell r="F538">
            <v>500328.13</v>
          </cell>
          <cell r="G538">
            <v>1759152.12</v>
          </cell>
          <cell r="H538">
            <v>-1258823.99</v>
          </cell>
        </row>
        <row r="539">
          <cell r="C539">
            <v>516015</v>
          </cell>
          <cell r="D539" t="str">
            <v>Equipo de oficina</v>
          </cell>
          <cell r="E539">
            <v>0</v>
          </cell>
          <cell r="F539">
            <v>30475460.879999999</v>
          </cell>
          <cell r="G539">
            <v>3047356.52</v>
          </cell>
          <cell r="H539">
            <v>27428104.359999999</v>
          </cell>
        </row>
        <row r="540">
          <cell r="C540">
            <v>51601501</v>
          </cell>
          <cell r="D540" t="str">
            <v>Equipo de oficina</v>
          </cell>
          <cell r="E540">
            <v>0</v>
          </cell>
          <cell r="F540">
            <v>4835258.8</v>
          </cell>
          <cell r="G540">
            <v>0.02</v>
          </cell>
          <cell r="H540">
            <v>4835258.78</v>
          </cell>
        </row>
        <row r="541">
          <cell r="C541">
            <v>51601597</v>
          </cell>
          <cell r="D541" t="str">
            <v>D. fiscal equipo de oficina</v>
          </cell>
          <cell r="E541">
            <v>0</v>
          </cell>
          <cell r="F541">
            <v>25640202.079999998</v>
          </cell>
          <cell r="G541">
            <v>3047356.5</v>
          </cell>
          <cell r="H541">
            <v>22592845.579999998</v>
          </cell>
        </row>
        <row r="542">
          <cell r="C542">
            <v>516020</v>
          </cell>
          <cell r="D542" t="str">
            <v>Equipo de computación y comunicación</v>
          </cell>
          <cell r="E542">
            <v>0</v>
          </cell>
          <cell r="F542">
            <v>4704256.8899999997</v>
          </cell>
          <cell r="G542">
            <v>0</v>
          </cell>
          <cell r="H542">
            <v>4704256.8899999997</v>
          </cell>
        </row>
        <row r="543">
          <cell r="C543">
            <v>51602001</v>
          </cell>
          <cell r="D543" t="str">
            <v>Equipo de computación y comunicación</v>
          </cell>
          <cell r="E543">
            <v>0</v>
          </cell>
          <cell r="F543">
            <v>4488502.05</v>
          </cell>
          <cell r="G543">
            <v>0</v>
          </cell>
          <cell r="H543">
            <v>4488502.05</v>
          </cell>
        </row>
        <row r="544">
          <cell r="C544">
            <v>51602097</v>
          </cell>
          <cell r="D544" t="str">
            <v>D. fiscal equipo de computación y comunicación</v>
          </cell>
          <cell r="E544">
            <v>0</v>
          </cell>
          <cell r="F544">
            <v>215754.84</v>
          </cell>
          <cell r="G544">
            <v>0</v>
          </cell>
          <cell r="H544">
            <v>215754.84</v>
          </cell>
        </row>
        <row r="545">
          <cell r="C545">
            <v>516025</v>
          </cell>
          <cell r="D545" t="str">
            <v>Equipo Medico Cientifico</v>
          </cell>
          <cell r="E545">
            <v>0</v>
          </cell>
          <cell r="F545">
            <v>51376674.539999999</v>
          </cell>
          <cell r="G545">
            <v>21331076.460000001</v>
          </cell>
          <cell r="H545">
            <v>30045598.079999998</v>
          </cell>
        </row>
        <row r="546">
          <cell r="C546">
            <v>51602501</v>
          </cell>
          <cell r="D546" t="str">
            <v>Equipo Medico Cientifico</v>
          </cell>
          <cell r="E546">
            <v>0</v>
          </cell>
          <cell r="F546">
            <v>33706619.119999997</v>
          </cell>
          <cell r="G546">
            <v>9658531.5800000001</v>
          </cell>
          <cell r="H546">
            <v>24048087.539999999</v>
          </cell>
        </row>
        <row r="547">
          <cell r="C547">
            <v>51602597</v>
          </cell>
          <cell r="D547" t="str">
            <v>D. Fiscal Equipo Medico Cientifico</v>
          </cell>
          <cell r="E547">
            <v>0</v>
          </cell>
          <cell r="F547">
            <v>17670055.420000002</v>
          </cell>
          <cell r="G547">
            <v>11672544.880000001</v>
          </cell>
          <cell r="H547">
            <v>5997510.54</v>
          </cell>
        </row>
        <row r="548">
          <cell r="C548">
            <v>5195</v>
          </cell>
          <cell r="D548" t="str">
            <v>Diversos</v>
          </cell>
          <cell r="E548">
            <v>0</v>
          </cell>
          <cell r="F548">
            <v>122823869</v>
          </cell>
          <cell r="G548">
            <v>461700</v>
          </cell>
          <cell r="H548">
            <v>122362169</v>
          </cell>
        </row>
        <row r="549">
          <cell r="C549">
            <v>519510</v>
          </cell>
          <cell r="D549" t="str">
            <v>Libros suscripciones periódicos y revistas</v>
          </cell>
          <cell r="E549">
            <v>0</v>
          </cell>
          <cell r="F549">
            <v>2322000</v>
          </cell>
          <cell r="G549">
            <v>342000</v>
          </cell>
          <cell r="H549">
            <v>1980000</v>
          </cell>
        </row>
        <row r="550">
          <cell r="C550">
            <v>51951001</v>
          </cell>
          <cell r="D550" t="str">
            <v>Libros suscripciones periódicos y revistas</v>
          </cell>
          <cell r="E550">
            <v>0</v>
          </cell>
          <cell r="F550">
            <v>2322000</v>
          </cell>
          <cell r="G550">
            <v>342000</v>
          </cell>
          <cell r="H550">
            <v>1980000</v>
          </cell>
        </row>
        <row r="551">
          <cell r="C551">
            <v>519515</v>
          </cell>
          <cell r="D551" t="str">
            <v>Musica Ambiental</v>
          </cell>
          <cell r="E551">
            <v>0</v>
          </cell>
          <cell r="F551">
            <v>1399395</v>
          </cell>
          <cell r="G551">
            <v>0</v>
          </cell>
          <cell r="H551">
            <v>1399395</v>
          </cell>
        </row>
        <row r="552">
          <cell r="C552">
            <v>51951501</v>
          </cell>
          <cell r="D552" t="str">
            <v>Musica Ambiental</v>
          </cell>
          <cell r="E552">
            <v>0</v>
          </cell>
          <cell r="F552">
            <v>1399395</v>
          </cell>
          <cell r="G552">
            <v>0</v>
          </cell>
          <cell r="H552">
            <v>1399395</v>
          </cell>
        </row>
        <row r="553">
          <cell r="C553">
            <v>519525</v>
          </cell>
          <cell r="D553" t="str">
            <v>Elementos de aseo y cafetería</v>
          </cell>
          <cell r="E553">
            <v>0</v>
          </cell>
          <cell r="F553">
            <v>24817964</v>
          </cell>
          <cell r="G553">
            <v>20700</v>
          </cell>
          <cell r="H553">
            <v>24797264</v>
          </cell>
        </row>
        <row r="554">
          <cell r="C554">
            <v>51952501</v>
          </cell>
          <cell r="D554" t="str">
            <v>Elementos de aseo y cafetería</v>
          </cell>
          <cell r="E554">
            <v>0</v>
          </cell>
          <cell r="F554">
            <v>24817964</v>
          </cell>
          <cell r="G554">
            <v>20700</v>
          </cell>
          <cell r="H554">
            <v>24797264</v>
          </cell>
        </row>
        <row r="555">
          <cell r="C555">
            <v>519530</v>
          </cell>
          <cell r="D555" t="str">
            <v>Útiles papelería y fotocopias</v>
          </cell>
          <cell r="E555">
            <v>0</v>
          </cell>
          <cell r="F555">
            <v>8313330</v>
          </cell>
          <cell r="G555">
            <v>99000</v>
          </cell>
          <cell r="H555">
            <v>8214330</v>
          </cell>
        </row>
        <row r="556">
          <cell r="C556">
            <v>51953001</v>
          </cell>
          <cell r="D556" t="str">
            <v>Útiles papelería y fotocopias</v>
          </cell>
          <cell r="E556">
            <v>0</v>
          </cell>
          <cell r="F556">
            <v>8313330</v>
          </cell>
          <cell r="G556">
            <v>99000</v>
          </cell>
          <cell r="H556">
            <v>8214330</v>
          </cell>
        </row>
        <row r="557">
          <cell r="C557">
            <v>519545</v>
          </cell>
          <cell r="D557" t="str">
            <v>Taxis y buses</v>
          </cell>
          <cell r="E557">
            <v>0</v>
          </cell>
          <cell r="F557">
            <v>8371050</v>
          </cell>
          <cell r="G557">
            <v>0</v>
          </cell>
          <cell r="H557">
            <v>8371050</v>
          </cell>
        </row>
        <row r="558">
          <cell r="C558">
            <v>51954501</v>
          </cell>
          <cell r="D558" t="str">
            <v>Taxis y buses</v>
          </cell>
          <cell r="E558">
            <v>0</v>
          </cell>
          <cell r="F558">
            <v>8371050</v>
          </cell>
          <cell r="G558">
            <v>0</v>
          </cell>
          <cell r="H558">
            <v>8371050</v>
          </cell>
        </row>
        <row r="559">
          <cell r="C559">
            <v>519560</v>
          </cell>
          <cell r="D559" t="str">
            <v>Casino y restaurante</v>
          </cell>
          <cell r="E559">
            <v>0</v>
          </cell>
          <cell r="F559">
            <v>51967148</v>
          </cell>
          <cell r="G559">
            <v>0</v>
          </cell>
          <cell r="H559">
            <v>51967148</v>
          </cell>
        </row>
        <row r="560">
          <cell r="C560">
            <v>51956001</v>
          </cell>
          <cell r="D560" t="str">
            <v>Casino y restaurante</v>
          </cell>
          <cell r="E560">
            <v>0</v>
          </cell>
          <cell r="F560">
            <v>51967148</v>
          </cell>
          <cell r="G560">
            <v>0</v>
          </cell>
          <cell r="H560">
            <v>51967148</v>
          </cell>
        </row>
        <row r="561">
          <cell r="C561">
            <v>519595</v>
          </cell>
          <cell r="D561" t="str">
            <v>Otros</v>
          </cell>
          <cell r="E561">
            <v>0</v>
          </cell>
          <cell r="F561">
            <v>25632982</v>
          </cell>
          <cell r="G561">
            <v>0</v>
          </cell>
          <cell r="H561">
            <v>25632982</v>
          </cell>
        </row>
        <row r="562">
          <cell r="C562">
            <v>51959501</v>
          </cell>
          <cell r="D562" t="str">
            <v>Otros</v>
          </cell>
          <cell r="E562">
            <v>0</v>
          </cell>
          <cell r="F562">
            <v>25632982</v>
          </cell>
          <cell r="G562">
            <v>0</v>
          </cell>
          <cell r="H562">
            <v>25632982</v>
          </cell>
        </row>
        <row r="563">
          <cell r="C563">
            <v>52</v>
          </cell>
          <cell r="D563" t="str">
            <v>Ventas</v>
          </cell>
          <cell r="E563">
            <v>0</v>
          </cell>
          <cell r="F563">
            <v>238353094.03</v>
          </cell>
          <cell r="G563">
            <v>37616741</v>
          </cell>
          <cell r="H563">
            <v>200736353.03</v>
          </cell>
        </row>
        <row r="564">
          <cell r="C564">
            <v>5215</v>
          </cell>
          <cell r="D564" t="str">
            <v>Impuestos</v>
          </cell>
          <cell r="E564">
            <v>0</v>
          </cell>
          <cell r="F564">
            <v>91000957.430000007</v>
          </cell>
          <cell r="G564">
            <v>0</v>
          </cell>
          <cell r="H564">
            <v>91000957.430000007</v>
          </cell>
        </row>
        <row r="565">
          <cell r="C565">
            <v>521505</v>
          </cell>
          <cell r="D565" t="str">
            <v>Industria y Comercio</v>
          </cell>
          <cell r="E565">
            <v>0</v>
          </cell>
          <cell r="F565">
            <v>6014321.3399999999</v>
          </cell>
          <cell r="G565">
            <v>0</v>
          </cell>
          <cell r="H565">
            <v>6014321.3399999999</v>
          </cell>
        </row>
        <row r="566">
          <cell r="C566">
            <v>52150501</v>
          </cell>
          <cell r="D566" t="str">
            <v>Industria y Comercio</v>
          </cell>
          <cell r="E566">
            <v>0</v>
          </cell>
          <cell r="F566">
            <v>6014321.3399999999</v>
          </cell>
          <cell r="G566">
            <v>0</v>
          </cell>
          <cell r="H566">
            <v>6014321.3399999999</v>
          </cell>
        </row>
        <row r="567">
          <cell r="C567">
            <v>521570</v>
          </cell>
          <cell r="D567" t="str">
            <v>IVA Descontable</v>
          </cell>
          <cell r="E567">
            <v>0</v>
          </cell>
          <cell r="F567">
            <v>83903661.659999996</v>
          </cell>
          <cell r="G567">
            <v>0</v>
          </cell>
          <cell r="H567">
            <v>83903661.659999996</v>
          </cell>
        </row>
        <row r="568">
          <cell r="C568">
            <v>52157001</v>
          </cell>
          <cell r="D568" t="str">
            <v>IVA Descontable</v>
          </cell>
          <cell r="E568">
            <v>0</v>
          </cell>
          <cell r="F568">
            <v>83903661.659999996</v>
          </cell>
          <cell r="G568">
            <v>0</v>
          </cell>
          <cell r="H568">
            <v>83903661.659999996</v>
          </cell>
        </row>
        <row r="569">
          <cell r="C569">
            <v>521595</v>
          </cell>
          <cell r="D569" t="str">
            <v>Otros</v>
          </cell>
          <cell r="E569">
            <v>0</v>
          </cell>
          <cell r="F569">
            <v>1082974.43</v>
          </cell>
          <cell r="G569">
            <v>0</v>
          </cell>
          <cell r="H569">
            <v>1082974.43</v>
          </cell>
        </row>
        <row r="570">
          <cell r="C570">
            <v>52159501</v>
          </cell>
          <cell r="D570" t="str">
            <v>Otros</v>
          </cell>
          <cell r="E570">
            <v>0</v>
          </cell>
          <cell r="F570">
            <v>1082974.43</v>
          </cell>
          <cell r="G570">
            <v>0</v>
          </cell>
          <cell r="H570">
            <v>1082974.43</v>
          </cell>
        </row>
        <row r="571">
          <cell r="C571">
            <v>5235</v>
          </cell>
          <cell r="D571" t="str">
            <v>Servicios</v>
          </cell>
          <cell r="E571">
            <v>0</v>
          </cell>
          <cell r="F571">
            <v>10244621</v>
          </cell>
          <cell r="G571">
            <v>0</v>
          </cell>
          <cell r="H571">
            <v>10244621</v>
          </cell>
        </row>
        <row r="572">
          <cell r="C572">
            <v>523550</v>
          </cell>
          <cell r="D572" t="str">
            <v>transporte Fletes y Acarreos</v>
          </cell>
          <cell r="E572">
            <v>0</v>
          </cell>
          <cell r="F572">
            <v>8954621</v>
          </cell>
          <cell r="G572">
            <v>0</v>
          </cell>
          <cell r="H572">
            <v>8954621</v>
          </cell>
        </row>
        <row r="573">
          <cell r="C573">
            <v>52355001</v>
          </cell>
          <cell r="D573" t="str">
            <v>Transporte Fletes y Acarreos</v>
          </cell>
          <cell r="E573">
            <v>0</v>
          </cell>
          <cell r="F573">
            <v>8954621</v>
          </cell>
          <cell r="G573">
            <v>0</v>
          </cell>
          <cell r="H573">
            <v>8954621</v>
          </cell>
        </row>
        <row r="574">
          <cell r="C574">
            <v>523560</v>
          </cell>
          <cell r="D574" t="str">
            <v>Publicidad propaganda y promoción</v>
          </cell>
          <cell r="E574">
            <v>0</v>
          </cell>
          <cell r="F574">
            <v>1290000</v>
          </cell>
          <cell r="G574">
            <v>0</v>
          </cell>
          <cell r="H574">
            <v>1290000</v>
          </cell>
        </row>
        <row r="575">
          <cell r="C575">
            <v>52356001</v>
          </cell>
          <cell r="D575" t="str">
            <v>Medios</v>
          </cell>
          <cell r="E575">
            <v>0</v>
          </cell>
          <cell r="F575">
            <v>1290000</v>
          </cell>
          <cell r="G575">
            <v>0</v>
          </cell>
          <cell r="H575">
            <v>1290000</v>
          </cell>
        </row>
        <row r="576">
          <cell r="C576">
            <v>5295</v>
          </cell>
          <cell r="D576" t="str">
            <v>Diversos</v>
          </cell>
          <cell r="E576">
            <v>0</v>
          </cell>
          <cell r="F576">
            <v>137107515.59999999</v>
          </cell>
          <cell r="G576">
            <v>37616741</v>
          </cell>
          <cell r="H576">
            <v>99490774.599999994</v>
          </cell>
        </row>
        <row r="577">
          <cell r="C577">
            <v>529505</v>
          </cell>
          <cell r="D577" t="str">
            <v>Comisiones</v>
          </cell>
          <cell r="E577">
            <v>0</v>
          </cell>
          <cell r="F577">
            <v>127357725.59999999</v>
          </cell>
          <cell r="G577">
            <v>37616741</v>
          </cell>
          <cell r="H577">
            <v>89740984.599999994</v>
          </cell>
        </row>
        <row r="578">
          <cell r="C578">
            <v>52950501</v>
          </cell>
          <cell r="D578" t="str">
            <v>Comisiones</v>
          </cell>
          <cell r="E578">
            <v>0</v>
          </cell>
          <cell r="F578">
            <v>127357725.59999999</v>
          </cell>
          <cell r="G578">
            <v>37616741</v>
          </cell>
          <cell r="H578">
            <v>89740984.599999994</v>
          </cell>
        </row>
        <row r="579">
          <cell r="C579">
            <v>529530</v>
          </cell>
          <cell r="D579" t="str">
            <v>Útiles, Papelería y Fotocopias</v>
          </cell>
          <cell r="E579">
            <v>0</v>
          </cell>
          <cell r="F579">
            <v>2669790</v>
          </cell>
          <cell r="G579">
            <v>0</v>
          </cell>
          <cell r="H579">
            <v>2669790</v>
          </cell>
        </row>
        <row r="580">
          <cell r="C580">
            <v>52953001</v>
          </cell>
          <cell r="D580" t="str">
            <v>Utiles, Papeleria y Fotocopias</v>
          </cell>
          <cell r="E580">
            <v>0</v>
          </cell>
          <cell r="F580">
            <v>2669790</v>
          </cell>
          <cell r="G580">
            <v>0</v>
          </cell>
          <cell r="H580">
            <v>2669790</v>
          </cell>
        </row>
        <row r="581">
          <cell r="C581">
            <v>529595</v>
          </cell>
          <cell r="D581" t="str">
            <v>Otros diversos</v>
          </cell>
          <cell r="E581">
            <v>0</v>
          </cell>
          <cell r="F581">
            <v>7080000</v>
          </cell>
          <cell r="G581">
            <v>0</v>
          </cell>
          <cell r="H581">
            <v>7080000</v>
          </cell>
        </row>
        <row r="582">
          <cell r="C582">
            <v>52959501</v>
          </cell>
          <cell r="D582" t="str">
            <v>Atención al cliente</v>
          </cell>
          <cell r="E582">
            <v>0</v>
          </cell>
          <cell r="F582">
            <v>7080000</v>
          </cell>
          <cell r="G582">
            <v>0</v>
          </cell>
          <cell r="H582">
            <v>7080000</v>
          </cell>
        </row>
        <row r="583">
          <cell r="C583">
            <v>53</v>
          </cell>
          <cell r="D583" t="str">
            <v>Otros gastos de actividades ordinarias</v>
          </cell>
          <cell r="E583">
            <v>0</v>
          </cell>
          <cell r="F583">
            <v>599755242.11000001</v>
          </cell>
          <cell r="G583">
            <v>64532010.07</v>
          </cell>
          <cell r="H583">
            <v>535223232.04000002</v>
          </cell>
        </row>
        <row r="584">
          <cell r="C584">
            <v>5305</v>
          </cell>
          <cell r="D584" t="str">
            <v>Financieros</v>
          </cell>
          <cell r="E584">
            <v>0</v>
          </cell>
          <cell r="F584">
            <v>571499588.96000004</v>
          </cell>
          <cell r="G584">
            <v>63243434.18</v>
          </cell>
          <cell r="H584">
            <v>508256154.77999997</v>
          </cell>
        </row>
        <row r="585">
          <cell r="C585">
            <v>530505</v>
          </cell>
          <cell r="D585" t="str">
            <v>Gastos bancarios</v>
          </cell>
          <cell r="E585">
            <v>0</v>
          </cell>
          <cell r="F585">
            <v>61681126.390000001</v>
          </cell>
          <cell r="G585">
            <v>1310.97</v>
          </cell>
          <cell r="H585">
            <v>61679815.420000002</v>
          </cell>
        </row>
        <row r="586">
          <cell r="C586">
            <v>53050501</v>
          </cell>
          <cell r="D586" t="str">
            <v>Gastos bancarios</v>
          </cell>
          <cell r="E586">
            <v>0</v>
          </cell>
          <cell r="F586">
            <v>32271613.859999999</v>
          </cell>
          <cell r="G586">
            <v>1310.97</v>
          </cell>
          <cell r="H586">
            <v>32270302.890000001</v>
          </cell>
        </row>
        <row r="587">
          <cell r="C587">
            <v>53050510</v>
          </cell>
          <cell r="D587" t="str">
            <v>Contribucion Emergencia Economica</v>
          </cell>
          <cell r="E587">
            <v>0</v>
          </cell>
          <cell r="F587">
            <v>29409512.530000001</v>
          </cell>
          <cell r="G587">
            <v>0</v>
          </cell>
          <cell r="H587">
            <v>29409512.530000001</v>
          </cell>
        </row>
        <row r="588">
          <cell r="C588">
            <v>530515</v>
          </cell>
          <cell r="D588" t="str">
            <v>Comisiones</v>
          </cell>
          <cell r="E588">
            <v>0</v>
          </cell>
          <cell r="F588">
            <v>98404407.180000007</v>
          </cell>
          <cell r="G588">
            <v>14382640.300000001</v>
          </cell>
          <cell r="H588">
            <v>84021766.879999995</v>
          </cell>
        </row>
        <row r="589">
          <cell r="C589">
            <v>53051501</v>
          </cell>
          <cell r="D589" t="str">
            <v>Comisiones</v>
          </cell>
          <cell r="E589">
            <v>0</v>
          </cell>
          <cell r="F589">
            <v>98404407.180000007</v>
          </cell>
          <cell r="G589">
            <v>14382640.300000001</v>
          </cell>
          <cell r="H589">
            <v>84021766.879999995</v>
          </cell>
        </row>
        <row r="590">
          <cell r="C590">
            <v>530520</v>
          </cell>
          <cell r="D590" t="str">
            <v>Intereses</v>
          </cell>
          <cell r="E590">
            <v>0</v>
          </cell>
          <cell r="F590">
            <v>409969951.13999999</v>
          </cell>
          <cell r="G590">
            <v>45391471.509999998</v>
          </cell>
          <cell r="H590">
            <v>364578479.63</v>
          </cell>
        </row>
        <row r="591">
          <cell r="C591">
            <v>53052001</v>
          </cell>
          <cell r="D591" t="str">
            <v>Intereses corrientes</v>
          </cell>
          <cell r="E591">
            <v>0</v>
          </cell>
          <cell r="F591">
            <v>409969951.13999999</v>
          </cell>
          <cell r="G591">
            <v>45391471.509999998</v>
          </cell>
          <cell r="H591">
            <v>364578479.63</v>
          </cell>
        </row>
        <row r="592">
          <cell r="C592">
            <v>530535</v>
          </cell>
          <cell r="D592" t="str">
            <v>Descuentos comerciales condicionados</v>
          </cell>
          <cell r="E592">
            <v>0</v>
          </cell>
          <cell r="F592">
            <v>1405908.25</v>
          </cell>
          <cell r="G592">
            <v>3468011.4</v>
          </cell>
          <cell r="H592">
            <v>-2062103.15</v>
          </cell>
        </row>
        <row r="593">
          <cell r="C593">
            <v>53053501</v>
          </cell>
          <cell r="D593" t="str">
            <v>Descuentos comerciales condicionados</v>
          </cell>
          <cell r="E593">
            <v>0</v>
          </cell>
          <cell r="F593">
            <v>1405908.25</v>
          </cell>
          <cell r="G593">
            <v>3468011.4</v>
          </cell>
          <cell r="H593">
            <v>-2062103.15</v>
          </cell>
        </row>
        <row r="594">
          <cell r="C594">
            <v>530595</v>
          </cell>
          <cell r="D594" t="str">
            <v>OTROS</v>
          </cell>
          <cell r="E594">
            <v>0</v>
          </cell>
          <cell r="F594">
            <v>38196</v>
          </cell>
          <cell r="G594">
            <v>0</v>
          </cell>
          <cell r="H594">
            <v>38196</v>
          </cell>
        </row>
        <row r="595">
          <cell r="C595">
            <v>53059501</v>
          </cell>
          <cell r="D595" t="str">
            <v>Otros Gastos (recuperaciones)</v>
          </cell>
          <cell r="E595">
            <v>0</v>
          </cell>
          <cell r="F595">
            <v>38196</v>
          </cell>
          <cell r="G595">
            <v>0</v>
          </cell>
          <cell r="H595">
            <v>38196</v>
          </cell>
        </row>
        <row r="596">
          <cell r="C596">
            <v>5315</v>
          </cell>
          <cell r="D596" t="str">
            <v>Gastos extraordinarios</v>
          </cell>
          <cell r="E596">
            <v>0</v>
          </cell>
          <cell r="F596">
            <v>28129185.149999999</v>
          </cell>
          <cell r="G596">
            <v>1288575.8899999999</v>
          </cell>
          <cell r="H596">
            <v>26840609.260000002</v>
          </cell>
        </row>
        <row r="597">
          <cell r="C597">
            <v>531515</v>
          </cell>
          <cell r="D597" t="str">
            <v>Costos y gastos de ejercicios anteriores</v>
          </cell>
          <cell r="E597">
            <v>0</v>
          </cell>
          <cell r="F597">
            <v>10160030</v>
          </cell>
          <cell r="G597">
            <v>634372</v>
          </cell>
          <cell r="H597">
            <v>9525658</v>
          </cell>
        </row>
        <row r="598">
          <cell r="C598">
            <v>53151501</v>
          </cell>
          <cell r="D598" t="str">
            <v>Costos y gastos de ejercicios anteriores</v>
          </cell>
          <cell r="E598">
            <v>0</v>
          </cell>
          <cell r="F598">
            <v>10160030</v>
          </cell>
          <cell r="G598">
            <v>634372</v>
          </cell>
          <cell r="H598">
            <v>9525658</v>
          </cell>
        </row>
        <row r="599">
          <cell r="C599">
            <v>531520</v>
          </cell>
          <cell r="D599" t="str">
            <v>Impuestos asumidos</v>
          </cell>
          <cell r="E599">
            <v>0</v>
          </cell>
          <cell r="F599">
            <v>17804304.149999999</v>
          </cell>
          <cell r="G599">
            <v>654203.89</v>
          </cell>
          <cell r="H599">
            <v>17150100.260000002</v>
          </cell>
        </row>
        <row r="600">
          <cell r="C600">
            <v>53152001</v>
          </cell>
          <cell r="D600" t="str">
            <v>Renta y Complementarios</v>
          </cell>
          <cell r="E600">
            <v>0</v>
          </cell>
          <cell r="F600">
            <v>206997</v>
          </cell>
          <cell r="G600">
            <v>6006</v>
          </cell>
          <cell r="H600">
            <v>200991</v>
          </cell>
        </row>
        <row r="601">
          <cell r="C601">
            <v>53152002</v>
          </cell>
          <cell r="D601" t="str">
            <v>Otros impuestos asumidos</v>
          </cell>
          <cell r="E601">
            <v>0</v>
          </cell>
          <cell r="F601">
            <v>17597307.149999999</v>
          </cell>
          <cell r="G601">
            <v>648197.89</v>
          </cell>
          <cell r="H601">
            <v>16949109.260000002</v>
          </cell>
        </row>
        <row r="602">
          <cell r="C602">
            <v>531595</v>
          </cell>
          <cell r="D602" t="str">
            <v>Otros Gastos</v>
          </cell>
          <cell r="E602">
            <v>0</v>
          </cell>
          <cell r="F602">
            <v>164851</v>
          </cell>
          <cell r="G602">
            <v>0</v>
          </cell>
          <cell r="H602">
            <v>164851</v>
          </cell>
        </row>
        <row r="603">
          <cell r="C603">
            <v>53159501</v>
          </cell>
          <cell r="D603" t="str">
            <v>Otros Gastos</v>
          </cell>
          <cell r="E603">
            <v>0</v>
          </cell>
          <cell r="F603">
            <v>164851</v>
          </cell>
          <cell r="G603">
            <v>0</v>
          </cell>
          <cell r="H603">
            <v>164851</v>
          </cell>
        </row>
        <row r="604">
          <cell r="C604">
            <v>5395</v>
          </cell>
          <cell r="D604" t="str">
            <v>Gastos diversos</v>
          </cell>
          <cell r="E604">
            <v>0</v>
          </cell>
          <cell r="F604">
            <v>126468</v>
          </cell>
          <cell r="G604">
            <v>0</v>
          </cell>
          <cell r="H604">
            <v>126468</v>
          </cell>
        </row>
        <row r="605">
          <cell r="C605">
            <v>539525</v>
          </cell>
          <cell r="D605" t="str">
            <v>Donaciones</v>
          </cell>
          <cell r="E605">
            <v>0</v>
          </cell>
          <cell r="F605">
            <v>101168</v>
          </cell>
          <cell r="G605">
            <v>0</v>
          </cell>
          <cell r="H605">
            <v>101168</v>
          </cell>
        </row>
        <row r="606">
          <cell r="C606">
            <v>53952501</v>
          </cell>
          <cell r="D606" t="str">
            <v>Donaciones</v>
          </cell>
          <cell r="E606">
            <v>0</v>
          </cell>
          <cell r="F606">
            <v>101168</v>
          </cell>
          <cell r="G606">
            <v>0</v>
          </cell>
          <cell r="H606">
            <v>101168</v>
          </cell>
        </row>
        <row r="607">
          <cell r="C607">
            <v>539595</v>
          </cell>
          <cell r="D607" t="str">
            <v>Otros</v>
          </cell>
          <cell r="E607">
            <v>0</v>
          </cell>
          <cell r="F607">
            <v>25300</v>
          </cell>
          <cell r="G607">
            <v>0</v>
          </cell>
          <cell r="H607">
            <v>25300</v>
          </cell>
        </row>
        <row r="608">
          <cell r="C608">
            <v>53959501</v>
          </cell>
          <cell r="D608" t="str">
            <v>Otros</v>
          </cell>
          <cell r="E608">
            <v>0</v>
          </cell>
          <cell r="F608">
            <v>25300</v>
          </cell>
          <cell r="G608">
            <v>0</v>
          </cell>
          <cell r="H608">
            <v>25300</v>
          </cell>
        </row>
        <row r="609">
          <cell r="C609">
            <v>54</v>
          </cell>
          <cell r="D609" t="str">
            <v>Impuesto de renta y complementarios</v>
          </cell>
          <cell r="E609">
            <v>0</v>
          </cell>
          <cell r="F609">
            <v>46127991</v>
          </cell>
          <cell r="G609">
            <v>90316822</v>
          </cell>
          <cell r="H609">
            <v>-44188831</v>
          </cell>
        </row>
        <row r="610">
          <cell r="C610">
            <v>5405</v>
          </cell>
          <cell r="D610" t="str">
            <v>Impuesto de renta y complementarios</v>
          </cell>
          <cell r="E610">
            <v>0</v>
          </cell>
          <cell r="F610">
            <v>46127991</v>
          </cell>
          <cell r="G610">
            <v>90316822</v>
          </cell>
          <cell r="H610">
            <v>-44188831</v>
          </cell>
        </row>
        <row r="611">
          <cell r="C611">
            <v>540505</v>
          </cell>
          <cell r="D611" t="str">
            <v>Impuesto de renta y complementarios</v>
          </cell>
          <cell r="E611">
            <v>0</v>
          </cell>
          <cell r="F611">
            <v>46127991</v>
          </cell>
          <cell r="G611">
            <v>90316822</v>
          </cell>
          <cell r="H611">
            <v>-44188831</v>
          </cell>
        </row>
        <row r="612">
          <cell r="C612">
            <v>54050501</v>
          </cell>
          <cell r="D612" t="str">
            <v>Impuesto de renta y complementarios</v>
          </cell>
          <cell r="E612">
            <v>0</v>
          </cell>
          <cell r="F612">
            <v>46127991</v>
          </cell>
          <cell r="G612">
            <v>0</v>
          </cell>
          <cell r="H612">
            <v>46127991</v>
          </cell>
        </row>
        <row r="613">
          <cell r="C613">
            <v>54050597</v>
          </cell>
          <cell r="D613" t="str">
            <v>D. fiscal impuesto de renta y complementarios</v>
          </cell>
          <cell r="E613">
            <v>0</v>
          </cell>
          <cell r="F613">
            <v>0</v>
          </cell>
          <cell r="G613">
            <v>90316822</v>
          </cell>
          <cell r="H613">
            <v>-90316822</v>
          </cell>
        </row>
        <row r="614">
          <cell r="C614">
            <v>6</v>
          </cell>
          <cell r="D614" t="str">
            <v>Costos de venta</v>
          </cell>
          <cell r="E614">
            <v>0</v>
          </cell>
          <cell r="F614">
            <v>3535501879</v>
          </cell>
          <cell r="G614">
            <v>199019670</v>
          </cell>
          <cell r="H614">
            <v>3336482209</v>
          </cell>
        </row>
        <row r="615">
          <cell r="C615">
            <v>61</v>
          </cell>
          <cell r="D615" t="str">
            <v>Costo de ventas y de prestación de servicios</v>
          </cell>
          <cell r="E615">
            <v>0</v>
          </cell>
          <cell r="F615">
            <v>3535501879</v>
          </cell>
          <cell r="G615">
            <v>199019670</v>
          </cell>
          <cell r="H615">
            <v>3336482209</v>
          </cell>
        </row>
        <row r="616">
          <cell r="C616">
            <v>6135</v>
          </cell>
          <cell r="D616" t="str">
            <v>Comercio al por mayor y al por menor</v>
          </cell>
          <cell r="E616">
            <v>0</v>
          </cell>
          <cell r="F616">
            <v>3535501879</v>
          </cell>
          <cell r="G616">
            <v>199019670</v>
          </cell>
          <cell r="H616">
            <v>3336482209</v>
          </cell>
        </row>
        <row r="617">
          <cell r="C617">
            <v>613595</v>
          </cell>
          <cell r="D617" t="str">
            <v>Venta de Otros Productos</v>
          </cell>
          <cell r="E617">
            <v>0</v>
          </cell>
          <cell r="F617">
            <v>3535501879</v>
          </cell>
          <cell r="G617">
            <v>199019670</v>
          </cell>
          <cell r="H617">
            <v>3336482209</v>
          </cell>
        </row>
        <row r="618">
          <cell r="C618">
            <v>61359501</v>
          </cell>
          <cell r="D618" t="str">
            <v>Contos de Venta Lentes Oftalmicos</v>
          </cell>
          <cell r="E618">
            <v>0</v>
          </cell>
          <cell r="F618">
            <v>2093860296</v>
          </cell>
          <cell r="G618">
            <v>1000</v>
          </cell>
          <cell r="H618">
            <v>2093859296</v>
          </cell>
        </row>
        <row r="619">
          <cell r="C619">
            <v>61359502</v>
          </cell>
          <cell r="D619" t="str">
            <v>Costo de Venta Lentes de Contacto</v>
          </cell>
          <cell r="E619">
            <v>0</v>
          </cell>
          <cell r="F619">
            <v>541594640</v>
          </cell>
          <cell r="G619">
            <v>180000000</v>
          </cell>
          <cell r="H619">
            <v>361594640</v>
          </cell>
        </row>
        <row r="620">
          <cell r="C620">
            <v>61359503</v>
          </cell>
          <cell r="D620" t="str">
            <v>Costo de Venta de Monturas</v>
          </cell>
          <cell r="E620">
            <v>0</v>
          </cell>
          <cell r="F620">
            <v>822019521</v>
          </cell>
          <cell r="G620">
            <v>0</v>
          </cell>
          <cell r="H620">
            <v>822019521</v>
          </cell>
        </row>
        <row r="621">
          <cell r="C621">
            <v>61359504</v>
          </cell>
          <cell r="D621" t="str">
            <v>Costo de Venta de Liquidos</v>
          </cell>
          <cell r="E621">
            <v>0</v>
          </cell>
          <cell r="F621">
            <v>39831026</v>
          </cell>
          <cell r="G621">
            <v>0</v>
          </cell>
          <cell r="H621">
            <v>39831026</v>
          </cell>
        </row>
        <row r="622">
          <cell r="C622">
            <v>61359505</v>
          </cell>
          <cell r="D622" t="str">
            <v>Costo de Venta Accesorios</v>
          </cell>
          <cell r="E622">
            <v>0</v>
          </cell>
          <cell r="F622">
            <v>5473013</v>
          </cell>
          <cell r="G622">
            <v>0</v>
          </cell>
          <cell r="H622">
            <v>5473013</v>
          </cell>
        </row>
        <row r="623">
          <cell r="C623">
            <v>61359511</v>
          </cell>
          <cell r="D623" t="str">
            <v>Ajustes al Inventario</v>
          </cell>
          <cell r="E623">
            <v>0</v>
          </cell>
          <cell r="F623">
            <v>32723383</v>
          </cell>
          <cell r="G623">
            <v>19018670</v>
          </cell>
          <cell r="H623">
            <v>13704713</v>
          </cell>
        </row>
        <row r="625">
          <cell r="C625"/>
          <cell r="D625"/>
          <cell r="E625"/>
          <cell r="F625">
            <v>42081141544.309998</v>
          </cell>
          <cell r="G625">
            <v>42081141544.309998</v>
          </cell>
          <cell r="H625">
            <v>-14071240015.130043</v>
          </cell>
        </row>
        <row r="626">
          <cell r="C626"/>
          <cell r="D626"/>
          <cell r="E626"/>
          <cell r="F626"/>
          <cell r="G626"/>
          <cell r="H626"/>
        </row>
        <row r="627">
          <cell r="C627"/>
          <cell r="D627"/>
          <cell r="E627"/>
          <cell r="F627"/>
          <cell r="G627"/>
          <cell r="H627"/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z Leidi Martinez Mercado" id="{34A33039-CD3A-41E2-9FE4-F45DDDC9009A}" userId="8e13633e28cea297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M51" dT="2026-04-23T16:42:08.62" personId="{34A33039-CD3A-41E2-9FE4-F45DDDC9009A}" id="{30D5F74B-6E84-45D5-8175-3F87C9EF778B}">
    <text>Lo coloque manual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G31" dT="2026-04-23T16:56:13.94" personId="{34A33039-CD3A-41E2-9FE4-F45DDDC9009A}" id="{3A13DACD-3DAD-40B1-AF99-365EB9B8108F}">
    <text xml:space="preserve">Lo coloque manual, </text>
  </threadedComment>
  <threadedComment ref="AC70" dT="2026-01-08T21:36:20.03" personId="{34A33039-CD3A-41E2-9FE4-F45DDDC9009A}" id="{6453CED6-7AD6-4954-8A59-57EFCBA61EFD}">
    <text>Estime 5 millones mas de gastos bancarios</text>
  </threadedComment>
  <threadedComment ref="AP70" dT="2026-01-08T21:36:20.03" personId="{34A33039-CD3A-41E2-9FE4-F45DDDC9009A}" id="{24AE2EF1-2538-4CFB-95B9-9F05058DB6B0}">
    <text>Estime 5 millones mas de gastos bancarios</text>
  </threadedComment>
  <threadedComment ref="AC72" dT="2026-01-08T21:41:41.73" personId="{34A33039-CD3A-41E2-9FE4-F45DDDC9009A}" id="{CBEF2918-D6AB-4F17-9EC8-B5FE009ED2C1}">
    <text>Estos pueden ser pequeños ajustes</text>
  </threadedComment>
  <threadedComment ref="AP72" dT="2026-01-08T21:41:41.73" personId="{34A33039-CD3A-41E2-9FE4-F45DDDC9009A}" id="{726B6C13-A5C3-45DA-A438-8E0626C85D6F}">
    <text>Estos pueden ser pequeños ajustes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65906-7858-4DB7-BD5C-F801F84CFDAF}">
  <sheetPr>
    <tabColor rgb="FF92D050"/>
    <pageSetUpPr fitToPage="1"/>
  </sheetPr>
  <dimension ref="A1:BP137"/>
  <sheetViews>
    <sheetView showGridLines="0" tabSelected="1" workbookViewId="0">
      <pane xSplit="4" ySplit="5" topLeftCell="E56" activePane="bottomRight" state="frozen"/>
      <selection activeCell="D74" sqref="D74"/>
      <selection pane="topRight" activeCell="D74" sqref="D74"/>
      <selection pane="bottomLeft" activeCell="D74" sqref="D74"/>
      <selection pane="bottomRight" activeCell="D74" sqref="D74"/>
    </sheetView>
  </sheetViews>
  <sheetFormatPr defaultColWidth="11.453125" defaultRowHeight="14.5" outlineLevelCol="2" x14ac:dyDescent="0.35"/>
  <cols>
    <col min="1" max="1" width="11.453125" style="1" hidden="1" customWidth="1" outlineLevel="1"/>
    <col min="2" max="2" width="11.453125" style="2" hidden="1" customWidth="1" outlineLevel="1"/>
    <col min="3" max="3" width="6.81640625" style="2" hidden="1" customWidth="1" outlineLevel="1"/>
    <col min="4" max="4" width="40.453125" style="2" bestFit="1" customWidth="1" collapsed="1"/>
    <col min="5" max="10" width="15.36328125" style="15" hidden="1" customWidth="1" outlineLevel="1"/>
    <col min="11" max="11" width="6.90625" style="15" hidden="1" customWidth="1" outlineLevel="1"/>
    <col min="12" max="12" width="15.36328125" style="15" bestFit="1" customWidth="1" collapsed="1"/>
    <col min="13" max="14" width="10.453125" style="15" customWidth="1" outlineLevel="1"/>
    <col min="15" max="18" width="10.81640625" style="15" customWidth="1" outlineLevel="1"/>
    <col min="19" max="19" width="10.453125" style="15" customWidth="1" outlineLevel="1"/>
    <col min="20" max="20" width="10.453125" style="15" customWidth="1" outlineLevel="2"/>
    <col min="21" max="22" width="10.81640625" style="15" customWidth="1" outlineLevel="2"/>
    <col min="23" max="24" width="10.453125" style="15" customWidth="1" outlineLevel="2"/>
    <col min="25" max="36" width="10.453125" style="15" bestFit="1" customWidth="1"/>
    <col min="37" max="37" width="10.453125" style="80" bestFit="1" customWidth="1"/>
    <col min="38" max="39" width="10.453125" style="15" bestFit="1" customWidth="1"/>
    <col min="40" max="48" width="10.453125" style="15" hidden="1" customWidth="1" outlineLevel="1"/>
    <col min="49" max="49" width="15.36328125" style="15" customWidth="1" collapsed="1"/>
    <col min="50" max="60" width="15.36328125" style="15" customWidth="1"/>
    <col min="61" max="63" width="15.36328125" style="15" customWidth="1" outlineLevel="1"/>
    <col min="64" max="66" width="14.08984375" style="15" customWidth="1" outlineLevel="1"/>
    <col min="67" max="67" width="10.6328125" style="2" bestFit="1" customWidth="1"/>
    <col min="68" max="301" width="11.453125" style="2"/>
    <col min="302" max="302" width="26.453125" style="2" customWidth="1"/>
    <col min="303" max="304" width="0" style="2" hidden="1" customWidth="1"/>
    <col min="305" max="305" width="2.90625" style="2" customWidth="1"/>
    <col min="306" max="306" width="3.08984375" style="2" customWidth="1"/>
    <col min="307" max="307" width="9.453125" style="2" customWidth="1"/>
    <col min="308" max="312" width="11.54296875" style="2" customWidth="1"/>
    <col min="313" max="313" width="6.90625" style="2" customWidth="1"/>
    <col min="314" max="314" width="14.54296875" style="2" bestFit="1" customWidth="1"/>
    <col min="315" max="315" width="21.90625" style="2" customWidth="1"/>
    <col min="316" max="316" width="11.453125" style="2"/>
    <col min="317" max="317" width="13.453125" style="2" customWidth="1"/>
    <col min="318" max="557" width="11.453125" style="2"/>
    <col min="558" max="558" width="26.453125" style="2" customWidth="1"/>
    <col min="559" max="560" width="0" style="2" hidden="1" customWidth="1"/>
    <col min="561" max="561" width="2.90625" style="2" customWidth="1"/>
    <col min="562" max="562" width="3.08984375" style="2" customWidth="1"/>
    <col min="563" max="563" width="9.453125" style="2" customWidth="1"/>
    <col min="564" max="568" width="11.54296875" style="2" customWidth="1"/>
    <col min="569" max="569" width="6.90625" style="2" customWidth="1"/>
    <col min="570" max="570" width="14.54296875" style="2" bestFit="1" customWidth="1"/>
    <col min="571" max="571" width="21.90625" style="2" customWidth="1"/>
    <col min="572" max="572" width="11.453125" style="2"/>
    <col min="573" max="573" width="13.453125" style="2" customWidth="1"/>
    <col min="574" max="813" width="11.453125" style="2"/>
    <col min="814" max="814" width="26.453125" style="2" customWidth="1"/>
    <col min="815" max="816" width="0" style="2" hidden="1" customWidth="1"/>
    <col min="817" max="817" width="2.90625" style="2" customWidth="1"/>
    <col min="818" max="818" width="3.08984375" style="2" customWidth="1"/>
    <col min="819" max="819" width="9.453125" style="2" customWidth="1"/>
    <col min="820" max="824" width="11.54296875" style="2" customWidth="1"/>
    <col min="825" max="825" width="6.90625" style="2" customWidth="1"/>
    <col min="826" max="826" width="14.54296875" style="2" bestFit="1" customWidth="1"/>
    <col min="827" max="827" width="21.90625" style="2" customWidth="1"/>
    <col min="828" max="828" width="11.453125" style="2"/>
    <col min="829" max="829" width="13.453125" style="2" customWidth="1"/>
    <col min="830" max="1069" width="11.453125" style="2"/>
    <col min="1070" max="1070" width="26.453125" style="2" customWidth="1"/>
    <col min="1071" max="1072" width="0" style="2" hidden="1" customWidth="1"/>
    <col min="1073" max="1073" width="2.90625" style="2" customWidth="1"/>
    <col min="1074" max="1074" width="3.08984375" style="2" customWidth="1"/>
    <col min="1075" max="1075" width="9.453125" style="2" customWidth="1"/>
    <col min="1076" max="1080" width="11.54296875" style="2" customWidth="1"/>
    <col min="1081" max="1081" width="6.90625" style="2" customWidth="1"/>
    <col min="1082" max="1082" width="14.54296875" style="2" bestFit="1" customWidth="1"/>
    <col min="1083" max="1083" width="21.90625" style="2" customWidth="1"/>
    <col min="1084" max="1084" width="11.453125" style="2"/>
    <col min="1085" max="1085" width="13.453125" style="2" customWidth="1"/>
    <col min="1086" max="1325" width="11.453125" style="2"/>
    <col min="1326" max="1326" width="26.453125" style="2" customWidth="1"/>
    <col min="1327" max="1328" width="0" style="2" hidden="1" customWidth="1"/>
    <col min="1329" max="1329" width="2.90625" style="2" customWidth="1"/>
    <col min="1330" max="1330" width="3.08984375" style="2" customWidth="1"/>
    <col min="1331" max="1331" width="9.453125" style="2" customWidth="1"/>
    <col min="1332" max="1336" width="11.54296875" style="2" customWidth="1"/>
    <col min="1337" max="1337" width="6.90625" style="2" customWidth="1"/>
    <col min="1338" max="1338" width="14.54296875" style="2" bestFit="1" customWidth="1"/>
    <col min="1339" max="1339" width="21.90625" style="2" customWidth="1"/>
    <col min="1340" max="1340" width="11.453125" style="2"/>
    <col min="1341" max="1341" width="13.453125" style="2" customWidth="1"/>
    <col min="1342" max="1581" width="11.453125" style="2"/>
    <col min="1582" max="1582" width="26.453125" style="2" customWidth="1"/>
    <col min="1583" max="1584" width="0" style="2" hidden="1" customWidth="1"/>
    <col min="1585" max="1585" width="2.90625" style="2" customWidth="1"/>
    <col min="1586" max="1586" width="3.08984375" style="2" customWidth="1"/>
    <col min="1587" max="1587" width="9.453125" style="2" customWidth="1"/>
    <col min="1588" max="1592" width="11.54296875" style="2" customWidth="1"/>
    <col min="1593" max="1593" width="6.90625" style="2" customWidth="1"/>
    <col min="1594" max="1594" width="14.54296875" style="2" bestFit="1" customWidth="1"/>
    <col min="1595" max="1595" width="21.90625" style="2" customWidth="1"/>
    <col min="1596" max="1596" width="11.453125" style="2"/>
    <col min="1597" max="1597" width="13.453125" style="2" customWidth="1"/>
    <col min="1598" max="1837" width="11.453125" style="2"/>
    <col min="1838" max="1838" width="26.453125" style="2" customWidth="1"/>
    <col min="1839" max="1840" width="0" style="2" hidden="1" customWidth="1"/>
    <col min="1841" max="1841" width="2.90625" style="2" customWidth="1"/>
    <col min="1842" max="1842" width="3.08984375" style="2" customWidth="1"/>
    <col min="1843" max="1843" width="9.453125" style="2" customWidth="1"/>
    <col min="1844" max="1848" width="11.54296875" style="2" customWidth="1"/>
    <col min="1849" max="1849" width="6.90625" style="2" customWidth="1"/>
    <col min="1850" max="1850" width="14.54296875" style="2" bestFit="1" customWidth="1"/>
    <col min="1851" max="1851" width="21.90625" style="2" customWidth="1"/>
    <col min="1852" max="1852" width="11.453125" style="2"/>
    <col min="1853" max="1853" width="13.453125" style="2" customWidth="1"/>
    <col min="1854" max="2093" width="11.453125" style="2"/>
    <col min="2094" max="2094" width="26.453125" style="2" customWidth="1"/>
    <col min="2095" max="2096" width="0" style="2" hidden="1" customWidth="1"/>
    <col min="2097" max="2097" width="2.90625" style="2" customWidth="1"/>
    <col min="2098" max="2098" width="3.08984375" style="2" customWidth="1"/>
    <col min="2099" max="2099" width="9.453125" style="2" customWidth="1"/>
    <col min="2100" max="2104" width="11.54296875" style="2" customWidth="1"/>
    <col min="2105" max="2105" width="6.90625" style="2" customWidth="1"/>
    <col min="2106" max="2106" width="14.54296875" style="2" bestFit="1" customWidth="1"/>
    <col min="2107" max="2107" width="21.90625" style="2" customWidth="1"/>
    <col min="2108" max="2108" width="11.453125" style="2"/>
    <col min="2109" max="2109" width="13.453125" style="2" customWidth="1"/>
    <col min="2110" max="2349" width="11.453125" style="2"/>
    <col min="2350" max="2350" width="26.453125" style="2" customWidth="1"/>
    <col min="2351" max="2352" width="0" style="2" hidden="1" customWidth="1"/>
    <col min="2353" max="2353" width="2.90625" style="2" customWidth="1"/>
    <col min="2354" max="2354" width="3.08984375" style="2" customWidth="1"/>
    <col min="2355" max="2355" width="9.453125" style="2" customWidth="1"/>
    <col min="2356" max="2360" width="11.54296875" style="2" customWidth="1"/>
    <col min="2361" max="2361" width="6.90625" style="2" customWidth="1"/>
    <col min="2362" max="2362" width="14.54296875" style="2" bestFit="1" customWidth="1"/>
    <col min="2363" max="2363" width="21.90625" style="2" customWidth="1"/>
    <col min="2364" max="2364" width="11.453125" style="2"/>
    <col min="2365" max="2365" width="13.453125" style="2" customWidth="1"/>
    <col min="2366" max="2605" width="11.453125" style="2"/>
    <col min="2606" max="2606" width="26.453125" style="2" customWidth="1"/>
    <col min="2607" max="2608" width="0" style="2" hidden="1" customWidth="1"/>
    <col min="2609" max="2609" width="2.90625" style="2" customWidth="1"/>
    <col min="2610" max="2610" width="3.08984375" style="2" customWidth="1"/>
    <col min="2611" max="2611" width="9.453125" style="2" customWidth="1"/>
    <col min="2612" max="2616" width="11.54296875" style="2" customWidth="1"/>
    <col min="2617" max="2617" width="6.90625" style="2" customWidth="1"/>
    <col min="2618" max="2618" width="14.54296875" style="2" bestFit="1" customWidth="1"/>
    <col min="2619" max="2619" width="21.90625" style="2" customWidth="1"/>
    <col min="2620" max="2620" width="11.453125" style="2"/>
    <col min="2621" max="2621" width="13.453125" style="2" customWidth="1"/>
    <col min="2622" max="2861" width="11.453125" style="2"/>
    <col min="2862" max="2862" width="26.453125" style="2" customWidth="1"/>
    <col min="2863" max="2864" width="0" style="2" hidden="1" customWidth="1"/>
    <col min="2865" max="2865" width="2.90625" style="2" customWidth="1"/>
    <col min="2866" max="2866" width="3.08984375" style="2" customWidth="1"/>
    <col min="2867" max="2867" width="9.453125" style="2" customWidth="1"/>
    <col min="2868" max="2872" width="11.54296875" style="2" customWidth="1"/>
    <col min="2873" max="2873" width="6.90625" style="2" customWidth="1"/>
    <col min="2874" max="2874" width="14.54296875" style="2" bestFit="1" customWidth="1"/>
    <col min="2875" max="2875" width="21.90625" style="2" customWidth="1"/>
    <col min="2876" max="2876" width="11.453125" style="2"/>
    <col min="2877" max="2877" width="13.453125" style="2" customWidth="1"/>
    <col min="2878" max="3117" width="11.453125" style="2"/>
    <col min="3118" max="3118" width="26.453125" style="2" customWidth="1"/>
    <col min="3119" max="3120" width="0" style="2" hidden="1" customWidth="1"/>
    <col min="3121" max="3121" width="2.90625" style="2" customWidth="1"/>
    <col min="3122" max="3122" width="3.08984375" style="2" customWidth="1"/>
    <col min="3123" max="3123" width="9.453125" style="2" customWidth="1"/>
    <col min="3124" max="3128" width="11.54296875" style="2" customWidth="1"/>
    <col min="3129" max="3129" width="6.90625" style="2" customWidth="1"/>
    <col min="3130" max="3130" width="14.54296875" style="2" bestFit="1" customWidth="1"/>
    <col min="3131" max="3131" width="21.90625" style="2" customWidth="1"/>
    <col min="3132" max="3132" width="11.453125" style="2"/>
    <col min="3133" max="3133" width="13.453125" style="2" customWidth="1"/>
    <col min="3134" max="3373" width="11.453125" style="2"/>
    <col min="3374" max="3374" width="26.453125" style="2" customWidth="1"/>
    <col min="3375" max="3376" width="0" style="2" hidden="1" customWidth="1"/>
    <col min="3377" max="3377" width="2.90625" style="2" customWidth="1"/>
    <col min="3378" max="3378" width="3.08984375" style="2" customWidth="1"/>
    <col min="3379" max="3379" width="9.453125" style="2" customWidth="1"/>
    <col min="3380" max="3384" width="11.54296875" style="2" customWidth="1"/>
    <col min="3385" max="3385" width="6.90625" style="2" customWidth="1"/>
    <col min="3386" max="3386" width="14.54296875" style="2" bestFit="1" customWidth="1"/>
    <col min="3387" max="3387" width="21.90625" style="2" customWidth="1"/>
    <col min="3388" max="3388" width="11.453125" style="2"/>
    <col min="3389" max="3389" width="13.453125" style="2" customWidth="1"/>
    <col min="3390" max="3629" width="11.453125" style="2"/>
    <col min="3630" max="3630" width="26.453125" style="2" customWidth="1"/>
    <col min="3631" max="3632" width="0" style="2" hidden="1" customWidth="1"/>
    <col min="3633" max="3633" width="2.90625" style="2" customWidth="1"/>
    <col min="3634" max="3634" width="3.08984375" style="2" customWidth="1"/>
    <col min="3635" max="3635" width="9.453125" style="2" customWidth="1"/>
    <col min="3636" max="3640" width="11.54296875" style="2" customWidth="1"/>
    <col min="3641" max="3641" width="6.90625" style="2" customWidth="1"/>
    <col min="3642" max="3642" width="14.54296875" style="2" bestFit="1" customWidth="1"/>
    <col min="3643" max="3643" width="21.90625" style="2" customWidth="1"/>
    <col min="3644" max="3644" width="11.453125" style="2"/>
    <col min="3645" max="3645" width="13.453125" style="2" customWidth="1"/>
    <col min="3646" max="3885" width="11.453125" style="2"/>
    <col min="3886" max="3886" width="26.453125" style="2" customWidth="1"/>
    <col min="3887" max="3888" width="0" style="2" hidden="1" customWidth="1"/>
    <col min="3889" max="3889" width="2.90625" style="2" customWidth="1"/>
    <col min="3890" max="3890" width="3.08984375" style="2" customWidth="1"/>
    <col min="3891" max="3891" width="9.453125" style="2" customWidth="1"/>
    <col min="3892" max="3896" width="11.54296875" style="2" customWidth="1"/>
    <col min="3897" max="3897" width="6.90625" style="2" customWidth="1"/>
    <col min="3898" max="3898" width="14.54296875" style="2" bestFit="1" customWidth="1"/>
    <col min="3899" max="3899" width="21.90625" style="2" customWidth="1"/>
    <col min="3900" max="3900" width="11.453125" style="2"/>
    <col min="3901" max="3901" width="13.453125" style="2" customWidth="1"/>
    <col min="3902" max="4141" width="11.453125" style="2"/>
    <col min="4142" max="4142" width="26.453125" style="2" customWidth="1"/>
    <col min="4143" max="4144" width="0" style="2" hidden="1" customWidth="1"/>
    <col min="4145" max="4145" width="2.90625" style="2" customWidth="1"/>
    <col min="4146" max="4146" width="3.08984375" style="2" customWidth="1"/>
    <col min="4147" max="4147" width="9.453125" style="2" customWidth="1"/>
    <col min="4148" max="4152" width="11.54296875" style="2" customWidth="1"/>
    <col min="4153" max="4153" width="6.90625" style="2" customWidth="1"/>
    <col min="4154" max="4154" width="14.54296875" style="2" bestFit="1" customWidth="1"/>
    <col min="4155" max="4155" width="21.90625" style="2" customWidth="1"/>
    <col min="4156" max="4156" width="11.453125" style="2"/>
    <col min="4157" max="4157" width="13.453125" style="2" customWidth="1"/>
    <col min="4158" max="4397" width="11.453125" style="2"/>
    <col min="4398" max="4398" width="26.453125" style="2" customWidth="1"/>
    <col min="4399" max="4400" width="0" style="2" hidden="1" customWidth="1"/>
    <col min="4401" max="4401" width="2.90625" style="2" customWidth="1"/>
    <col min="4402" max="4402" width="3.08984375" style="2" customWidth="1"/>
    <col min="4403" max="4403" width="9.453125" style="2" customWidth="1"/>
    <col min="4404" max="4408" width="11.54296875" style="2" customWidth="1"/>
    <col min="4409" max="4409" width="6.90625" style="2" customWidth="1"/>
    <col min="4410" max="4410" width="14.54296875" style="2" bestFit="1" customWidth="1"/>
    <col min="4411" max="4411" width="21.90625" style="2" customWidth="1"/>
    <col min="4412" max="4412" width="11.453125" style="2"/>
    <col min="4413" max="4413" width="13.453125" style="2" customWidth="1"/>
    <col min="4414" max="4653" width="11.453125" style="2"/>
    <col min="4654" max="4654" width="26.453125" style="2" customWidth="1"/>
    <col min="4655" max="4656" width="0" style="2" hidden="1" customWidth="1"/>
    <col min="4657" max="4657" width="2.90625" style="2" customWidth="1"/>
    <col min="4658" max="4658" width="3.08984375" style="2" customWidth="1"/>
    <col min="4659" max="4659" width="9.453125" style="2" customWidth="1"/>
    <col min="4660" max="4664" width="11.54296875" style="2" customWidth="1"/>
    <col min="4665" max="4665" width="6.90625" style="2" customWidth="1"/>
    <col min="4666" max="4666" width="14.54296875" style="2" bestFit="1" customWidth="1"/>
    <col min="4667" max="4667" width="21.90625" style="2" customWidth="1"/>
    <col min="4668" max="4668" width="11.453125" style="2"/>
    <col min="4669" max="4669" width="13.453125" style="2" customWidth="1"/>
    <col min="4670" max="4909" width="11.453125" style="2"/>
    <col min="4910" max="4910" width="26.453125" style="2" customWidth="1"/>
    <col min="4911" max="4912" width="0" style="2" hidden="1" customWidth="1"/>
    <col min="4913" max="4913" width="2.90625" style="2" customWidth="1"/>
    <col min="4914" max="4914" width="3.08984375" style="2" customWidth="1"/>
    <col min="4915" max="4915" width="9.453125" style="2" customWidth="1"/>
    <col min="4916" max="4920" width="11.54296875" style="2" customWidth="1"/>
    <col min="4921" max="4921" width="6.90625" style="2" customWidth="1"/>
    <col min="4922" max="4922" width="14.54296875" style="2" bestFit="1" customWidth="1"/>
    <col min="4923" max="4923" width="21.90625" style="2" customWidth="1"/>
    <col min="4924" max="4924" width="11.453125" style="2"/>
    <col min="4925" max="4925" width="13.453125" style="2" customWidth="1"/>
    <col min="4926" max="5165" width="11.453125" style="2"/>
    <col min="5166" max="5166" width="26.453125" style="2" customWidth="1"/>
    <col min="5167" max="5168" width="0" style="2" hidden="1" customWidth="1"/>
    <col min="5169" max="5169" width="2.90625" style="2" customWidth="1"/>
    <col min="5170" max="5170" width="3.08984375" style="2" customWidth="1"/>
    <col min="5171" max="5171" width="9.453125" style="2" customWidth="1"/>
    <col min="5172" max="5176" width="11.54296875" style="2" customWidth="1"/>
    <col min="5177" max="5177" width="6.90625" style="2" customWidth="1"/>
    <col min="5178" max="5178" width="14.54296875" style="2" bestFit="1" customWidth="1"/>
    <col min="5179" max="5179" width="21.90625" style="2" customWidth="1"/>
    <col min="5180" max="5180" width="11.453125" style="2"/>
    <col min="5181" max="5181" width="13.453125" style="2" customWidth="1"/>
    <col min="5182" max="5421" width="11.453125" style="2"/>
    <col min="5422" max="5422" width="26.453125" style="2" customWidth="1"/>
    <col min="5423" max="5424" width="0" style="2" hidden="1" customWidth="1"/>
    <col min="5425" max="5425" width="2.90625" style="2" customWidth="1"/>
    <col min="5426" max="5426" width="3.08984375" style="2" customWidth="1"/>
    <col min="5427" max="5427" width="9.453125" style="2" customWidth="1"/>
    <col min="5428" max="5432" width="11.54296875" style="2" customWidth="1"/>
    <col min="5433" max="5433" width="6.90625" style="2" customWidth="1"/>
    <col min="5434" max="5434" width="14.54296875" style="2" bestFit="1" customWidth="1"/>
    <col min="5435" max="5435" width="21.90625" style="2" customWidth="1"/>
    <col min="5436" max="5436" width="11.453125" style="2"/>
    <col min="5437" max="5437" width="13.453125" style="2" customWidth="1"/>
    <col min="5438" max="5677" width="11.453125" style="2"/>
    <col min="5678" max="5678" width="26.453125" style="2" customWidth="1"/>
    <col min="5679" max="5680" width="0" style="2" hidden="1" customWidth="1"/>
    <col min="5681" max="5681" width="2.90625" style="2" customWidth="1"/>
    <col min="5682" max="5682" width="3.08984375" style="2" customWidth="1"/>
    <col min="5683" max="5683" width="9.453125" style="2" customWidth="1"/>
    <col min="5684" max="5688" width="11.54296875" style="2" customWidth="1"/>
    <col min="5689" max="5689" width="6.90625" style="2" customWidth="1"/>
    <col min="5690" max="5690" width="14.54296875" style="2" bestFit="1" customWidth="1"/>
    <col min="5691" max="5691" width="21.90625" style="2" customWidth="1"/>
    <col min="5692" max="5692" width="11.453125" style="2"/>
    <col min="5693" max="5693" width="13.453125" style="2" customWidth="1"/>
    <col min="5694" max="5933" width="11.453125" style="2"/>
    <col min="5934" max="5934" width="26.453125" style="2" customWidth="1"/>
    <col min="5935" max="5936" width="0" style="2" hidden="1" customWidth="1"/>
    <col min="5937" max="5937" width="2.90625" style="2" customWidth="1"/>
    <col min="5938" max="5938" width="3.08984375" style="2" customWidth="1"/>
    <col min="5939" max="5939" width="9.453125" style="2" customWidth="1"/>
    <col min="5940" max="5944" width="11.54296875" style="2" customWidth="1"/>
    <col min="5945" max="5945" width="6.90625" style="2" customWidth="1"/>
    <col min="5946" max="5946" width="14.54296875" style="2" bestFit="1" customWidth="1"/>
    <col min="5947" max="5947" width="21.90625" style="2" customWidth="1"/>
    <col min="5948" max="5948" width="11.453125" style="2"/>
    <col min="5949" max="5949" width="13.453125" style="2" customWidth="1"/>
    <col min="5950" max="6189" width="11.453125" style="2"/>
    <col min="6190" max="6190" width="26.453125" style="2" customWidth="1"/>
    <col min="6191" max="6192" width="0" style="2" hidden="1" customWidth="1"/>
    <col min="6193" max="6193" width="2.90625" style="2" customWidth="1"/>
    <col min="6194" max="6194" width="3.08984375" style="2" customWidth="1"/>
    <col min="6195" max="6195" width="9.453125" style="2" customWidth="1"/>
    <col min="6196" max="6200" width="11.54296875" style="2" customWidth="1"/>
    <col min="6201" max="6201" width="6.90625" style="2" customWidth="1"/>
    <col min="6202" max="6202" width="14.54296875" style="2" bestFit="1" customWidth="1"/>
    <col min="6203" max="6203" width="21.90625" style="2" customWidth="1"/>
    <col min="6204" max="6204" width="11.453125" style="2"/>
    <col min="6205" max="6205" width="13.453125" style="2" customWidth="1"/>
    <col min="6206" max="6445" width="11.453125" style="2"/>
    <col min="6446" max="6446" width="26.453125" style="2" customWidth="1"/>
    <col min="6447" max="6448" width="0" style="2" hidden="1" customWidth="1"/>
    <col min="6449" max="6449" width="2.90625" style="2" customWidth="1"/>
    <col min="6450" max="6450" width="3.08984375" style="2" customWidth="1"/>
    <col min="6451" max="6451" width="9.453125" style="2" customWidth="1"/>
    <col min="6452" max="6456" width="11.54296875" style="2" customWidth="1"/>
    <col min="6457" max="6457" width="6.90625" style="2" customWidth="1"/>
    <col min="6458" max="6458" width="14.54296875" style="2" bestFit="1" customWidth="1"/>
    <col min="6459" max="6459" width="21.90625" style="2" customWidth="1"/>
    <col min="6460" max="6460" width="11.453125" style="2"/>
    <col min="6461" max="6461" width="13.453125" style="2" customWidth="1"/>
    <col min="6462" max="6701" width="11.453125" style="2"/>
    <col min="6702" max="6702" width="26.453125" style="2" customWidth="1"/>
    <col min="6703" max="6704" width="0" style="2" hidden="1" customWidth="1"/>
    <col min="6705" max="6705" width="2.90625" style="2" customWidth="1"/>
    <col min="6706" max="6706" width="3.08984375" style="2" customWidth="1"/>
    <col min="6707" max="6707" width="9.453125" style="2" customWidth="1"/>
    <col min="6708" max="6712" width="11.54296875" style="2" customWidth="1"/>
    <col min="6713" max="6713" width="6.90625" style="2" customWidth="1"/>
    <col min="6714" max="6714" width="14.54296875" style="2" bestFit="1" customWidth="1"/>
    <col min="6715" max="6715" width="21.90625" style="2" customWidth="1"/>
    <col min="6716" max="6716" width="11.453125" style="2"/>
    <col min="6717" max="6717" width="13.453125" style="2" customWidth="1"/>
    <col min="6718" max="6957" width="11.453125" style="2"/>
    <col min="6958" max="6958" width="26.453125" style="2" customWidth="1"/>
    <col min="6959" max="6960" width="0" style="2" hidden="1" customWidth="1"/>
    <col min="6961" max="6961" width="2.90625" style="2" customWidth="1"/>
    <col min="6962" max="6962" width="3.08984375" style="2" customWidth="1"/>
    <col min="6963" max="6963" width="9.453125" style="2" customWidth="1"/>
    <col min="6964" max="6968" width="11.54296875" style="2" customWidth="1"/>
    <col min="6969" max="6969" width="6.90625" style="2" customWidth="1"/>
    <col min="6970" max="6970" width="14.54296875" style="2" bestFit="1" customWidth="1"/>
    <col min="6971" max="6971" width="21.90625" style="2" customWidth="1"/>
    <col min="6972" max="6972" width="11.453125" style="2"/>
    <col min="6973" max="6973" width="13.453125" style="2" customWidth="1"/>
    <col min="6974" max="7213" width="11.453125" style="2"/>
    <col min="7214" max="7214" width="26.453125" style="2" customWidth="1"/>
    <col min="7215" max="7216" width="0" style="2" hidden="1" customWidth="1"/>
    <col min="7217" max="7217" width="2.90625" style="2" customWidth="1"/>
    <col min="7218" max="7218" width="3.08984375" style="2" customWidth="1"/>
    <col min="7219" max="7219" width="9.453125" style="2" customWidth="1"/>
    <col min="7220" max="7224" width="11.54296875" style="2" customWidth="1"/>
    <col min="7225" max="7225" width="6.90625" style="2" customWidth="1"/>
    <col min="7226" max="7226" width="14.54296875" style="2" bestFit="1" customWidth="1"/>
    <col min="7227" max="7227" width="21.90625" style="2" customWidth="1"/>
    <col min="7228" max="7228" width="11.453125" style="2"/>
    <col min="7229" max="7229" width="13.453125" style="2" customWidth="1"/>
    <col min="7230" max="7469" width="11.453125" style="2"/>
    <col min="7470" max="7470" width="26.453125" style="2" customWidth="1"/>
    <col min="7471" max="7472" width="0" style="2" hidden="1" customWidth="1"/>
    <col min="7473" max="7473" width="2.90625" style="2" customWidth="1"/>
    <col min="7474" max="7474" width="3.08984375" style="2" customWidth="1"/>
    <col min="7475" max="7475" width="9.453125" style="2" customWidth="1"/>
    <col min="7476" max="7480" width="11.54296875" style="2" customWidth="1"/>
    <col min="7481" max="7481" width="6.90625" style="2" customWidth="1"/>
    <col min="7482" max="7482" width="14.54296875" style="2" bestFit="1" customWidth="1"/>
    <col min="7483" max="7483" width="21.90625" style="2" customWidth="1"/>
    <col min="7484" max="7484" width="11.453125" style="2"/>
    <col min="7485" max="7485" width="13.453125" style="2" customWidth="1"/>
    <col min="7486" max="7725" width="11.453125" style="2"/>
    <col min="7726" max="7726" width="26.453125" style="2" customWidth="1"/>
    <col min="7727" max="7728" width="0" style="2" hidden="1" customWidth="1"/>
    <col min="7729" max="7729" width="2.90625" style="2" customWidth="1"/>
    <col min="7730" max="7730" width="3.08984375" style="2" customWidth="1"/>
    <col min="7731" max="7731" width="9.453125" style="2" customWidth="1"/>
    <col min="7732" max="7736" width="11.54296875" style="2" customWidth="1"/>
    <col min="7737" max="7737" width="6.90625" style="2" customWidth="1"/>
    <col min="7738" max="7738" width="14.54296875" style="2" bestFit="1" customWidth="1"/>
    <col min="7739" max="7739" width="21.90625" style="2" customWidth="1"/>
    <col min="7740" max="7740" width="11.453125" style="2"/>
    <col min="7741" max="7741" width="13.453125" style="2" customWidth="1"/>
    <col min="7742" max="7981" width="11.453125" style="2"/>
    <col min="7982" max="7982" width="26.453125" style="2" customWidth="1"/>
    <col min="7983" max="7984" width="0" style="2" hidden="1" customWidth="1"/>
    <col min="7985" max="7985" width="2.90625" style="2" customWidth="1"/>
    <col min="7986" max="7986" width="3.08984375" style="2" customWidth="1"/>
    <col min="7987" max="7987" width="9.453125" style="2" customWidth="1"/>
    <col min="7988" max="7992" width="11.54296875" style="2" customWidth="1"/>
    <col min="7993" max="7993" width="6.90625" style="2" customWidth="1"/>
    <col min="7994" max="7994" width="14.54296875" style="2" bestFit="1" customWidth="1"/>
    <col min="7995" max="7995" width="21.90625" style="2" customWidth="1"/>
    <col min="7996" max="7996" width="11.453125" style="2"/>
    <col min="7997" max="7997" width="13.453125" style="2" customWidth="1"/>
    <col min="7998" max="8237" width="11.453125" style="2"/>
    <col min="8238" max="8238" width="26.453125" style="2" customWidth="1"/>
    <col min="8239" max="8240" width="0" style="2" hidden="1" customWidth="1"/>
    <col min="8241" max="8241" width="2.90625" style="2" customWidth="1"/>
    <col min="8242" max="8242" width="3.08984375" style="2" customWidth="1"/>
    <col min="8243" max="8243" width="9.453125" style="2" customWidth="1"/>
    <col min="8244" max="8248" width="11.54296875" style="2" customWidth="1"/>
    <col min="8249" max="8249" width="6.90625" style="2" customWidth="1"/>
    <col min="8250" max="8250" width="14.54296875" style="2" bestFit="1" customWidth="1"/>
    <col min="8251" max="8251" width="21.90625" style="2" customWidth="1"/>
    <col min="8252" max="8252" width="11.453125" style="2"/>
    <col min="8253" max="8253" width="13.453125" style="2" customWidth="1"/>
    <col min="8254" max="8493" width="11.453125" style="2"/>
    <col min="8494" max="8494" width="26.453125" style="2" customWidth="1"/>
    <col min="8495" max="8496" width="0" style="2" hidden="1" customWidth="1"/>
    <col min="8497" max="8497" width="2.90625" style="2" customWidth="1"/>
    <col min="8498" max="8498" width="3.08984375" style="2" customWidth="1"/>
    <col min="8499" max="8499" width="9.453125" style="2" customWidth="1"/>
    <col min="8500" max="8504" width="11.54296875" style="2" customWidth="1"/>
    <col min="8505" max="8505" width="6.90625" style="2" customWidth="1"/>
    <col min="8506" max="8506" width="14.54296875" style="2" bestFit="1" customWidth="1"/>
    <col min="8507" max="8507" width="21.90625" style="2" customWidth="1"/>
    <col min="8508" max="8508" width="11.453125" style="2"/>
    <col min="8509" max="8509" width="13.453125" style="2" customWidth="1"/>
    <col min="8510" max="8749" width="11.453125" style="2"/>
    <col min="8750" max="8750" width="26.453125" style="2" customWidth="1"/>
    <col min="8751" max="8752" width="0" style="2" hidden="1" customWidth="1"/>
    <col min="8753" max="8753" width="2.90625" style="2" customWidth="1"/>
    <col min="8754" max="8754" width="3.08984375" style="2" customWidth="1"/>
    <col min="8755" max="8755" width="9.453125" style="2" customWidth="1"/>
    <col min="8756" max="8760" width="11.54296875" style="2" customWidth="1"/>
    <col min="8761" max="8761" width="6.90625" style="2" customWidth="1"/>
    <col min="8762" max="8762" width="14.54296875" style="2" bestFit="1" customWidth="1"/>
    <col min="8763" max="8763" width="21.90625" style="2" customWidth="1"/>
    <col min="8764" max="8764" width="11.453125" style="2"/>
    <col min="8765" max="8765" width="13.453125" style="2" customWidth="1"/>
    <col min="8766" max="9005" width="11.453125" style="2"/>
    <col min="9006" max="9006" width="26.453125" style="2" customWidth="1"/>
    <col min="9007" max="9008" width="0" style="2" hidden="1" customWidth="1"/>
    <col min="9009" max="9009" width="2.90625" style="2" customWidth="1"/>
    <col min="9010" max="9010" width="3.08984375" style="2" customWidth="1"/>
    <col min="9011" max="9011" width="9.453125" style="2" customWidth="1"/>
    <col min="9012" max="9016" width="11.54296875" style="2" customWidth="1"/>
    <col min="9017" max="9017" width="6.90625" style="2" customWidth="1"/>
    <col min="9018" max="9018" width="14.54296875" style="2" bestFit="1" customWidth="1"/>
    <col min="9019" max="9019" width="21.90625" style="2" customWidth="1"/>
    <col min="9020" max="9020" width="11.453125" style="2"/>
    <col min="9021" max="9021" width="13.453125" style="2" customWidth="1"/>
    <col min="9022" max="9261" width="11.453125" style="2"/>
    <col min="9262" max="9262" width="26.453125" style="2" customWidth="1"/>
    <col min="9263" max="9264" width="0" style="2" hidden="1" customWidth="1"/>
    <col min="9265" max="9265" width="2.90625" style="2" customWidth="1"/>
    <col min="9266" max="9266" width="3.08984375" style="2" customWidth="1"/>
    <col min="9267" max="9267" width="9.453125" style="2" customWidth="1"/>
    <col min="9268" max="9272" width="11.54296875" style="2" customWidth="1"/>
    <col min="9273" max="9273" width="6.90625" style="2" customWidth="1"/>
    <col min="9274" max="9274" width="14.54296875" style="2" bestFit="1" customWidth="1"/>
    <col min="9275" max="9275" width="21.90625" style="2" customWidth="1"/>
    <col min="9276" max="9276" width="11.453125" style="2"/>
    <col min="9277" max="9277" width="13.453125" style="2" customWidth="1"/>
    <col min="9278" max="9517" width="11.453125" style="2"/>
    <col min="9518" max="9518" width="26.453125" style="2" customWidth="1"/>
    <col min="9519" max="9520" width="0" style="2" hidden="1" customWidth="1"/>
    <col min="9521" max="9521" width="2.90625" style="2" customWidth="1"/>
    <col min="9522" max="9522" width="3.08984375" style="2" customWidth="1"/>
    <col min="9523" max="9523" width="9.453125" style="2" customWidth="1"/>
    <col min="9524" max="9528" width="11.54296875" style="2" customWidth="1"/>
    <col min="9529" max="9529" width="6.90625" style="2" customWidth="1"/>
    <col min="9530" max="9530" width="14.54296875" style="2" bestFit="1" customWidth="1"/>
    <col min="9531" max="9531" width="21.90625" style="2" customWidth="1"/>
    <col min="9532" max="9532" width="11.453125" style="2"/>
    <col min="9533" max="9533" width="13.453125" style="2" customWidth="1"/>
    <col min="9534" max="9773" width="11.453125" style="2"/>
    <col min="9774" max="9774" width="26.453125" style="2" customWidth="1"/>
    <col min="9775" max="9776" width="0" style="2" hidden="1" customWidth="1"/>
    <col min="9777" max="9777" width="2.90625" style="2" customWidth="1"/>
    <col min="9778" max="9778" width="3.08984375" style="2" customWidth="1"/>
    <col min="9779" max="9779" width="9.453125" style="2" customWidth="1"/>
    <col min="9780" max="9784" width="11.54296875" style="2" customWidth="1"/>
    <col min="9785" max="9785" width="6.90625" style="2" customWidth="1"/>
    <col min="9786" max="9786" width="14.54296875" style="2" bestFit="1" customWidth="1"/>
    <col min="9787" max="9787" width="21.90625" style="2" customWidth="1"/>
    <col min="9788" max="9788" width="11.453125" style="2"/>
    <col min="9789" max="9789" width="13.453125" style="2" customWidth="1"/>
    <col min="9790" max="10029" width="11.453125" style="2"/>
    <col min="10030" max="10030" width="26.453125" style="2" customWidth="1"/>
    <col min="10031" max="10032" width="0" style="2" hidden="1" customWidth="1"/>
    <col min="10033" max="10033" width="2.90625" style="2" customWidth="1"/>
    <col min="10034" max="10034" width="3.08984375" style="2" customWidth="1"/>
    <col min="10035" max="10035" width="9.453125" style="2" customWidth="1"/>
    <col min="10036" max="10040" width="11.54296875" style="2" customWidth="1"/>
    <col min="10041" max="10041" width="6.90625" style="2" customWidth="1"/>
    <col min="10042" max="10042" width="14.54296875" style="2" bestFit="1" customWidth="1"/>
    <col min="10043" max="10043" width="21.90625" style="2" customWidth="1"/>
    <col min="10044" max="10044" width="11.453125" style="2"/>
    <col min="10045" max="10045" width="13.453125" style="2" customWidth="1"/>
    <col min="10046" max="10285" width="11.453125" style="2"/>
    <col min="10286" max="10286" width="26.453125" style="2" customWidth="1"/>
    <col min="10287" max="10288" width="0" style="2" hidden="1" customWidth="1"/>
    <col min="10289" max="10289" width="2.90625" style="2" customWidth="1"/>
    <col min="10290" max="10290" width="3.08984375" style="2" customWidth="1"/>
    <col min="10291" max="10291" width="9.453125" style="2" customWidth="1"/>
    <col min="10292" max="10296" width="11.54296875" style="2" customWidth="1"/>
    <col min="10297" max="10297" width="6.90625" style="2" customWidth="1"/>
    <col min="10298" max="10298" width="14.54296875" style="2" bestFit="1" customWidth="1"/>
    <col min="10299" max="10299" width="21.90625" style="2" customWidth="1"/>
    <col min="10300" max="10300" width="11.453125" style="2"/>
    <col min="10301" max="10301" width="13.453125" style="2" customWidth="1"/>
    <col min="10302" max="10541" width="11.453125" style="2"/>
    <col min="10542" max="10542" width="26.453125" style="2" customWidth="1"/>
    <col min="10543" max="10544" width="0" style="2" hidden="1" customWidth="1"/>
    <col min="10545" max="10545" width="2.90625" style="2" customWidth="1"/>
    <col min="10546" max="10546" width="3.08984375" style="2" customWidth="1"/>
    <col min="10547" max="10547" width="9.453125" style="2" customWidth="1"/>
    <col min="10548" max="10552" width="11.54296875" style="2" customWidth="1"/>
    <col min="10553" max="10553" width="6.90625" style="2" customWidth="1"/>
    <col min="10554" max="10554" width="14.54296875" style="2" bestFit="1" customWidth="1"/>
    <col min="10555" max="10555" width="21.90625" style="2" customWidth="1"/>
    <col min="10556" max="10556" width="11.453125" style="2"/>
    <col min="10557" max="10557" width="13.453125" style="2" customWidth="1"/>
    <col min="10558" max="10797" width="11.453125" style="2"/>
    <col min="10798" max="10798" width="26.453125" style="2" customWidth="1"/>
    <col min="10799" max="10800" width="0" style="2" hidden="1" customWidth="1"/>
    <col min="10801" max="10801" width="2.90625" style="2" customWidth="1"/>
    <col min="10802" max="10802" width="3.08984375" style="2" customWidth="1"/>
    <col min="10803" max="10803" width="9.453125" style="2" customWidth="1"/>
    <col min="10804" max="10808" width="11.54296875" style="2" customWidth="1"/>
    <col min="10809" max="10809" width="6.90625" style="2" customWidth="1"/>
    <col min="10810" max="10810" width="14.54296875" style="2" bestFit="1" customWidth="1"/>
    <col min="10811" max="10811" width="21.90625" style="2" customWidth="1"/>
    <col min="10812" max="10812" width="11.453125" style="2"/>
    <col min="10813" max="10813" width="13.453125" style="2" customWidth="1"/>
    <col min="10814" max="11053" width="11.453125" style="2"/>
    <col min="11054" max="11054" width="26.453125" style="2" customWidth="1"/>
    <col min="11055" max="11056" width="0" style="2" hidden="1" customWidth="1"/>
    <col min="11057" max="11057" width="2.90625" style="2" customWidth="1"/>
    <col min="11058" max="11058" width="3.08984375" style="2" customWidth="1"/>
    <col min="11059" max="11059" width="9.453125" style="2" customWidth="1"/>
    <col min="11060" max="11064" width="11.54296875" style="2" customWidth="1"/>
    <col min="11065" max="11065" width="6.90625" style="2" customWidth="1"/>
    <col min="11066" max="11066" width="14.54296875" style="2" bestFit="1" customWidth="1"/>
    <col min="11067" max="11067" width="21.90625" style="2" customWidth="1"/>
    <col min="11068" max="11068" width="11.453125" style="2"/>
    <col min="11069" max="11069" width="13.453125" style="2" customWidth="1"/>
    <col min="11070" max="11309" width="11.453125" style="2"/>
    <col min="11310" max="11310" width="26.453125" style="2" customWidth="1"/>
    <col min="11311" max="11312" width="0" style="2" hidden="1" customWidth="1"/>
    <col min="11313" max="11313" width="2.90625" style="2" customWidth="1"/>
    <col min="11314" max="11314" width="3.08984375" style="2" customWidth="1"/>
    <col min="11315" max="11315" width="9.453125" style="2" customWidth="1"/>
    <col min="11316" max="11320" width="11.54296875" style="2" customWidth="1"/>
    <col min="11321" max="11321" width="6.90625" style="2" customWidth="1"/>
    <col min="11322" max="11322" width="14.54296875" style="2" bestFit="1" customWidth="1"/>
    <col min="11323" max="11323" width="21.90625" style="2" customWidth="1"/>
    <col min="11324" max="11324" width="11.453125" style="2"/>
    <col min="11325" max="11325" width="13.453125" style="2" customWidth="1"/>
    <col min="11326" max="11565" width="11.453125" style="2"/>
    <col min="11566" max="11566" width="26.453125" style="2" customWidth="1"/>
    <col min="11567" max="11568" width="0" style="2" hidden="1" customWidth="1"/>
    <col min="11569" max="11569" width="2.90625" style="2" customWidth="1"/>
    <col min="11570" max="11570" width="3.08984375" style="2" customWidth="1"/>
    <col min="11571" max="11571" width="9.453125" style="2" customWidth="1"/>
    <col min="11572" max="11576" width="11.54296875" style="2" customWidth="1"/>
    <col min="11577" max="11577" width="6.90625" style="2" customWidth="1"/>
    <col min="11578" max="11578" width="14.54296875" style="2" bestFit="1" customWidth="1"/>
    <col min="11579" max="11579" width="21.90625" style="2" customWidth="1"/>
    <col min="11580" max="11580" width="11.453125" style="2"/>
    <col min="11581" max="11581" width="13.453125" style="2" customWidth="1"/>
    <col min="11582" max="11821" width="11.453125" style="2"/>
    <col min="11822" max="11822" width="26.453125" style="2" customWidth="1"/>
    <col min="11823" max="11824" width="0" style="2" hidden="1" customWidth="1"/>
    <col min="11825" max="11825" width="2.90625" style="2" customWidth="1"/>
    <col min="11826" max="11826" width="3.08984375" style="2" customWidth="1"/>
    <col min="11827" max="11827" width="9.453125" style="2" customWidth="1"/>
    <col min="11828" max="11832" width="11.54296875" style="2" customWidth="1"/>
    <col min="11833" max="11833" width="6.90625" style="2" customWidth="1"/>
    <col min="11834" max="11834" width="14.54296875" style="2" bestFit="1" customWidth="1"/>
    <col min="11835" max="11835" width="21.90625" style="2" customWidth="1"/>
    <col min="11836" max="11836" width="11.453125" style="2"/>
    <col min="11837" max="11837" width="13.453125" style="2" customWidth="1"/>
    <col min="11838" max="12077" width="11.453125" style="2"/>
    <col min="12078" max="12078" width="26.453125" style="2" customWidth="1"/>
    <col min="12079" max="12080" width="0" style="2" hidden="1" customWidth="1"/>
    <col min="12081" max="12081" width="2.90625" style="2" customWidth="1"/>
    <col min="12082" max="12082" width="3.08984375" style="2" customWidth="1"/>
    <col min="12083" max="12083" width="9.453125" style="2" customWidth="1"/>
    <col min="12084" max="12088" width="11.54296875" style="2" customWidth="1"/>
    <col min="12089" max="12089" width="6.90625" style="2" customWidth="1"/>
    <col min="12090" max="12090" width="14.54296875" style="2" bestFit="1" customWidth="1"/>
    <col min="12091" max="12091" width="21.90625" style="2" customWidth="1"/>
    <col min="12092" max="12092" width="11.453125" style="2"/>
    <col min="12093" max="12093" width="13.453125" style="2" customWidth="1"/>
    <col min="12094" max="12333" width="11.453125" style="2"/>
    <col min="12334" max="12334" width="26.453125" style="2" customWidth="1"/>
    <col min="12335" max="12336" width="0" style="2" hidden="1" customWidth="1"/>
    <col min="12337" max="12337" width="2.90625" style="2" customWidth="1"/>
    <col min="12338" max="12338" width="3.08984375" style="2" customWidth="1"/>
    <col min="12339" max="12339" width="9.453125" style="2" customWidth="1"/>
    <col min="12340" max="12344" width="11.54296875" style="2" customWidth="1"/>
    <col min="12345" max="12345" width="6.90625" style="2" customWidth="1"/>
    <col min="12346" max="12346" width="14.54296875" style="2" bestFit="1" customWidth="1"/>
    <col min="12347" max="12347" width="21.90625" style="2" customWidth="1"/>
    <col min="12348" max="12348" width="11.453125" style="2"/>
    <col min="12349" max="12349" width="13.453125" style="2" customWidth="1"/>
    <col min="12350" max="12589" width="11.453125" style="2"/>
    <col min="12590" max="12590" width="26.453125" style="2" customWidth="1"/>
    <col min="12591" max="12592" width="0" style="2" hidden="1" customWidth="1"/>
    <col min="12593" max="12593" width="2.90625" style="2" customWidth="1"/>
    <col min="12594" max="12594" width="3.08984375" style="2" customWidth="1"/>
    <col min="12595" max="12595" width="9.453125" style="2" customWidth="1"/>
    <col min="12596" max="12600" width="11.54296875" style="2" customWidth="1"/>
    <col min="12601" max="12601" width="6.90625" style="2" customWidth="1"/>
    <col min="12602" max="12602" width="14.54296875" style="2" bestFit="1" customWidth="1"/>
    <col min="12603" max="12603" width="21.90625" style="2" customWidth="1"/>
    <col min="12604" max="12604" width="11.453125" style="2"/>
    <col min="12605" max="12605" width="13.453125" style="2" customWidth="1"/>
    <col min="12606" max="12845" width="11.453125" style="2"/>
    <col min="12846" max="12846" width="26.453125" style="2" customWidth="1"/>
    <col min="12847" max="12848" width="0" style="2" hidden="1" customWidth="1"/>
    <col min="12849" max="12849" width="2.90625" style="2" customWidth="1"/>
    <col min="12850" max="12850" width="3.08984375" style="2" customWidth="1"/>
    <col min="12851" max="12851" width="9.453125" style="2" customWidth="1"/>
    <col min="12852" max="12856" width="11.54296875" style="2" customWidth="1"/>
    <col min="12857" max="12857" width="6.90625" style="2" customWidth="1"/>
    <col min="12858" max="12858" width="14.54296875" style="2" bestFit="1" customWidth="1"/>
    <col min="12859" max="12859" width="21.90625" style="2" customWidth="1"/>
    <col min="12860" max="12860" width="11.453125" style="2"/>
    <col min="12861" max="12861" width="13.453125" style="2" customWidth="1"/>
    <col min="12862" max="13101" width="11.453125" style="2"/>
    <col min="13102" max="13102" width="26.453125" style="2" customWidth="1"/>
    <col min="13103" max="13104" width="0" style="2" hidden="1" customWidth="1"/>
    <col min="13105" max="13105" width="2.90625" style="2" customWidth="1"/>
    <col min="13106" max="13106" width="3.08984375" style="2" customWidth="1"/>
    <col min="13107" max="13107" width="9.453125" style="2" customWidth="1"/>
    <col min="13108" max="13112" width="11.54296875" style="2" customWidth="1"/>
    <col min="13113" max="13113" width="6.90625" style="2" customWidth="1"/>
    <col min="13114" max="13114" width="14.54296875" style="2" bestFit="1" customWidth="1"/>
    <col min="13115" max="13115" width="21.90625" style="2" customWidth="1"/>
    <col min="13116" max="13116" width="11.453125" style="2"/>
    <col min="13117" max="13117" width="13.453125" style="2" customWidth="1"/>
    <col min="13118" max="13357" width="11.453125" style="2"/>
    <col min="13358" max="13358" width="26.453125" style="2" customWidth="1"/>
    <col min="13359" max="13360" width="0" style="2" hidden="1" customWidth="1"/>
    <col min="13361" max="13361" width="2.90625" style="2" customWidth="1"/>
    <col min="13362" max="13362" width="3.08984375" style="2" customWidth="1"/>
    <col min="13363" max="13363" width="9.453125" style="2" customWidth="1"/>
    <col min="13364" max="13368" width="11.54296875" style="2" customWidth="1"/>
    <col min="13369" max="13369" width="6.90625" style="2" customWidth="1"/>
    <col min="13370" max="13370" width="14.54296875" style="2" bestFit="1" customWidth="1"/>
    <col min="13371" max="13371" width="21.90625" style="2" customWidth="1"/>
    <col min="13372" max="13372" width="11.453125" style="2"/>
    <col min="13373" max="13373" width="13.453125" style="2" customWidth="1"/>
    <col min="13374" max="13613" width="11.453125" style="2"/>
    <col min="13614" max="13614" width="26.453125" style="2" customWidth="1"/>
    <col min="13615" max="13616" width="0" style="2" hidden="1" customWidth="1"/>
    <col min="13617" max="13617" width="2.90625" style="2" customWidth="1"/>
    <col min="13618" max="13618" width="3.08984375" style="2" customWidth="1"/>
    <col min="13619" max="13619" width="9.453125" style="2" customWidth="1"/>
    <col min="13620" max="13624" width="11.54296875" style="2" customWidth="1"/>
    <col min="13625" max="13625" width="6.90625" style="2" customWidth="1"/>
    <col min="13626" max="13626" width="14.54296875" style="2" bestFit="1" customWidth="1"/>
    <col min="13627" max="13627" width="21.90625" style="2" customWidth="1"/>
    <col min="13628" max="13628" width="11.453125" style="2"/>
    <col min="13629" max="13629" width="13.453125" style="2" customWidth="1"/>
    <col min="13630" max="13869" width="11.453125" style="2"/>
    <col min="13870" max="13870" width="26.453125" style="2" customWidth="1"/>
    <col min="13871" max="13872" width="0" style="2" hidden="1" customWidth="1"/>
    <col min="13873" max="13873" width="2.90625" style="2" customWidth="1"/>
    <col min="13874" max="13874" width="3.08984375" style="2" customWidth="1"/>
    <col min="13875" max="13875" width="9.453125" style="2" customWidth="1"/>
    <col min="13876" max="13880" width="11.54296875" style="2" customWidth="1"/>
    <col min="13881" max="13881" width="6.90625" style="2" customWidth="1"/>
    <col min="13882" max="13882" width="14.54296875" style="2" bestFit="1" customWidth="1"/>
    <col min="13883" max="13883" width="21.90625" style="2" customWidth="1"/>
    <col min="13884" max="13884" width="11.453125" style="2"/>
    <col min="13885" max="13885" width="13.453125" style="2" customWidth="1"/>
    <col min="13886" max="14125" width="11.453125" style="2"/>
    <col min="14126" max="14126" width="26.453125" style="2" customWidth="1"/>
    <col min="14127" max="14128" width="0" style="2" hidden="1" customWidth="1"/>
    <col min="14129" max="14129" width="2.90625" style="2" customWidth="1"/>
    <col min="14130" max="14130" width="3.08984375" style="2" customWidth="1"/>
    <col min="14131" max="14131" width="9.453125" style="2" customWidth="1"/>
    <col min="14132" max="14136" width="11.54296875" style="2" customWidth="1"/>
    <col min="14137" max="14137" width="6.90625" style="2" customWidth="1"/>
    <col min="14138" max="14138" width="14.54296875" style="2" bestFit="1" customWidth="1"/>
    <col min="14139" max="14139" width="21.90625" style="2" customWidth="1"/>
    <col min="14140" max="14140" width="11.453125" style="2"/>
    <col min="14141" max="14141" width="13.453125" style="2" customWidth="1"/>
    <col min="14142" max="14381" width="11.453125" style="2"/>
    <col min="14382" max="14382" width="26.453125" style="2" customWidth="1"/>
    <col min="14383" max="14384" width="0" style="2" hidden="1" customWidth="1"/>
    <col min="14385" max="14385" width="2.90625" style="2" customWidth="1"/>
    <col min="14386" max="14386" width="3.08984375" style="2" customWidth="1"/>
    <col min="14387" max="14387" width="9.453125" style="2" customWidth="1"/>
    <col min="14388" max="14392" width="11.54296875" style="2" customWidth="1"/>
    <col min="14393" max="14393" width="6.90625" style="2" customWidth="1"/>
    <col min="14394" max="14394" width="14.54296875" style="2" bestFit="1" customWidth="1"/>
    <col min="14395" max="14395" width="21.90625" style="2" customWidth="1"/>
    <col min="14396" max="14396" width="11.453125" style="2"/>
    <col min="14397" max="14397" width="13.453125" style="2" customWidth="1"/>
    <col min="14398" max="14637" width="11.453125" style="2"/>
    <col min="14638" max="14638" width="26.453125" style="2" customWidth="1"/>
    <col min="14639" max="14640" width="0" style="2" hidden="1" customWidth="1"/>
    <col min="14641" max="14641" width="2.90625" style="2" customWidth="1"/>
    <col min="14642" max="14642" width="3.08984375" style="2" customWidth="1"/>
    <col min="14643" max="14643" width="9.453125" style="2" customWidth="1"/>
    <col min="14644" max="14648" width="11.54296875" style="2" customWidth="1"/>
    <col min="14649" max="14649" width="6.90625" style="2" customWidth="1"/>
    <col min="14650" max="14650" width="14.54296875" style="2" bestFit="1" customWidth="1"/>
    <col min="14651" max="14651" width="21.90625" style="2" customWidth="1"/>
    <col min="14652" max="14652" width="11.453125" style="2"/>
    <col min="14653" max="14653" width="13.453125" style="2" customWidth="1"/>
    <col min="14654" max="14893" width="11.453125" style="2"/>
    <col min="14894" max="14894" width="26.453125" style="2" customWidth="1"/>
    <col min="14895" max="14896" width="0" style="2" hidden="1" customWidth="1"/>
    <col min="14897" max="14897" width="2.90625" style="2" customWidth="1"/>
    <col min="14898" max="14898" width="3.08984375" style="2" customWidth="1"/>
    <col min="14899" max="14899" width="9.453125" style="2" customWidth="1"/>
    <col min="14900" max="14904" width="11.54296875" style="2" customWidth="1"/>
    <col min="14905" max="14905" width="6.90625" style="2" customWidth="1"/>
    <col min="14906" max="14906" width="14.54296875" style="2" bestFit="1" customWidth="1"/>
    <col min="14907" max="14907" width="21.90625" style="2" customWidth="1"/>
    <col min="14908" max="14908" width="11.453125" style="2"/>
    <col min="14909" max="14909" width="13.453125" style="2" customWidth="1"/>
    <col min="14910" max="15149" width="11.453125" style="2"/>
    <col min="15150" max="15150" width="26.453125" style="2" customWidth="1"/>
    <col min="15151" max="15152" width="0" style="2" hidden="1" customWidth="1"/>
    <col min="15153" max="15153" width="2.90625" style="2" customWidth="1"/>
    <col min="15154" max="15154" width="3.08984375" style="2" customWidth="1"/>
    <col min="15155" max="15155" width="9.453125" style="2" customWidth="1"/>
    <col min="15156" max="15160" width="11.54296875" style="2" customWidth="1"/>
    <col min="15161" max="15161" width="6.90625" style="2" customWidth="1"/>
    <col min="15162" max="15162" width="14.54296875" style="2" bestFit="1" customWidth="1"/>
    <col min="15163" max="15163" width="21.90625" style="2" customWidth="1"/>
    <col min="15164" max="15164" width="11.453125" style="2"/>
    <col min="15165" max="15165" width="13.453125" style="2" customWidth="1"/>
    <col min="15166" max="15405" width="11.453125" style="2"/>
    <col min="15406" max="15406" width="26.453125" style="2" customWidth="1"/>
    <col min="15407" max="15408" width="0" style="2" hidden="1" customWidth="1"/>
    <col min="15409" max="15409" width="2.90625" style="2" customWidth="1"/>
    <col min="15410" max="15410" width="3.08984375" style="2" customWidth="1"/>
    <col min="15411" max="15411" width="9.453125" style="2" customWidth="1"/>
    <col min="15412" max="15416" width="11.54296875" style="2" customWidth="1"/>
    <col min="15417" max="15417" width="6.90625" style="2" customWidth="1"/>
    <col min="15418" max="15418" width="14.54296875" style="2" bestFit="1" customWidth="1"/>
    <col min="15419" max="15419" width="21.90625" style="2" customWidth="1"/>
    <col min="15420" max="15420" width="11.453125" style="2"/>
    <col min="15421" max="15421" width="13.453125" style="2" customWidth="1"/>
    <col min="15422" max="15661" width="11.453125" style="2"/>
    <col min="15662" max="15662" width="26.453125" style="2" customWidth="1"/>
    <col min="15663" max="15664" width="0" style="2" hidden="1" customWidth="1"/>
    <col min="15665" max="15665" width="2.90625" style="2" customWidth="1"/>
    <col min="15666" max="15666" width="3.08984375" style="2" customWidth="1"/>
    <col min="15667" max="15667" width="9.453125" style="2" customWidth="1"/>
    <col min="15668" max="15672" width="11.54296875" style="2" customWidth="1"/>
    <col min="15673" max="15673" width="6.90625" style="2" customWidth="1"/>
    <col min="15674" max="15674" width="14.54296875" style="2" bestFit="1" customWidth="1"/>
    <col min="15675" max="15675" width="21.90625" style="2" customWidth="1"/>
    <col min="15676" max="15676" width="11.453125" style="2"/>
    <col min="15677" max="15677" width="13.453125" style="2" customWidth="1"/>
    <col min="15678" max="15917" width="11.453125" style="2"/>
    <col min="15918" max="15918" width="26.453125" style="2" customWidth="1"/>
    <col min="15919" max="15920" width="0" style="2" hidden="1" customWidth="1"/>
    <col min="15921" max="15921" width="2.90625" style="2" customWidth="1"/>
    <col min="15922" max="15922" width="3.08984375" style="2" customWidth="1"/>
    <col min="15923" max="15923" width="9.453125" style="2" customWidth="1"/>
    <col min="15924" max="15928" width="11.54296875" style="2" customWidth="1"/>
    <col min="15929" max="15929" width="6.90625" style="2" customWidth="1"/>
    <col min="15930" max="15930" width="14.54296875" style="2" bestFit="1" customWidth="1"/>
    <col min="15931" max="15931" width="21.90625" style="2" customWidth="1"/>
    <col min="15932" max="15932" width="11.453125" style="2"/>
    <col min="15933" max="15933" width="13.453125" style="2" customWidth="1"/>
    <col min="15934" max="16173" width="11.453125" style="2"/>
    <col min="16174" max="16174" width="26.453125" style="2" customWidth="1"/>
    <col min="16175" max="16176" width="0" style="2" hidden="1" customWidth="1"/>
    <col min="16177" max="16177" width="2.90625" style="2" customWidth="1"/>
    <col min="16178" max="16178" width="3.08984375" style="2" customWidth="1"/>
    <col min="16179" max="16179" width="9.453125" style="2" customWidth="1"/>
    <col min="16180" max="16184" width="11.54296875" style="2" customWidth="1"/>
    <col min="16185" max="16185" width="6.90625" style="2" customWidth="1"/>
    <col min="16186" max="16186" width="14.54296875" style="2" bestFit="1" customWidth="1"/>
    <col min="16187" max="16187" width="21.90625" style="2" customWidth="1"/>
    <col min="16188" max="16188" width="11.453125" style="2"/>
    <col min="16189" max="16189" width="13.453125" style="2" customWidth="1"/>
    <col min="16190" max="16384" width="11.453125" style="2"/>
  </cols>
  <sheetData>
    <row r="1" spans="1:66" ht="13" x14ac:dyDescent="0.3">
      <c r="D1" s="3"/>
      <c r="E1" s="4">
        <v>2023</v>
      </c>
      <c r="F1" s="5"/>
      <c r="G1" s="5"/>
      <c r="H1" s="5"/>
      <c r="I1" s="5"/>
      <c r="J1" s="5"/>
      <c r="K1" s="5"/>
      <c r="L1" s="6"/>
      <c r="M1" s="4" t="s">
        <v>0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4" t="s">
        <v>1</v>
      </c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4" t="s">
        <v>2</v>
      </c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8" t="s">
        <v>3</v>
      </c>
      <c r="BJ1" s="8"/>
      <c r="BK1" s="8"/>
      <c r="BL1" s="9"/>
      <c r="BM1" s="9"/>
      <c r="BN1" s="9"/>
    </row>
    <row r="2" spans="1:66" ht="13" x14ac:dyDescent="0.3">
      <c r="D2" s="10" t="s">
        <v>4</v>
      </c>
      <c r="E2" s="11">
        <v>45047</v>
      </c>
      <c r="F2" s="11">
        <v>45078</v>
      </c>
      <c r="G2" s="11">
        <v>45108</v>
      </c>
      <c r="H2" s="11">
        <v>45139</v>
      </c>
      <c r="I2" s="11">
        <v>45170</v>
      </c>
      <c r="J2" s="11">
        <v>45200</v>
      </c>
      <c r="K2" s="11">
        <v>45231</v>
      </c>
      <c r="L2" s="11">
        <v>45261</v>
      </c>
      <c r="M2" s="12">
        <v>45292</v>
      </c>
      <c r="N2" s="12">
        <v>45323</v>
      </c>
      <c r="O2" s="12">
        <v>45352</v>
      </c>
      <c r="P2" s="12">
        <v>45383</v>
      </c>
      <c r="Q2" s="12">
        <v>45413</v>
      </c>
      <c r="R2" s="12">
        <v>45444</v>
      </c>
      <c r="S2" s="12">
        <v>45474</v>
      </c>
      <c r="T2" s="12">
        <v>45505</v>
      </c>
      <c r="U2" s="12">
        <v>45536</v>
      </c>
      <c r="V2" s="12">
        <v>45566</v>
      </c>
      <c r="W2" s="12">
        <v>45597</v>
      </c>
      <c r="X2" s="12">
        <v>45627</v>
      </c>
      <c r="Y2" s="12">
        <v>45658</v>
      </c>
      <c r="Z2" s="12">
        <v>45689</v>
      </c>
      <c r="AA2" s="12">
        <v>45717</v>
      </c>
      <c r="AB2" s="12">
        <v>45748</v>
      </c>
      <c r="AC2" s="12">
        <v>45778</v>
      </c>
      <c r="AD2" s="12">
        <v>45809</v>
      </c>
      <c r="AE2" s="12">
        <v>45839</v>
      </c>
      <c r="AF2" s="12">
        <v>45870</v>
      </c>
      <c r="AG2" s="12">
        <v>45901</v>
      </c>
      <c r="AH2" s="12">
        <v>45931</v>
      </c>
      <c r="AI2" s="12">
        <v>45962</v>
      </c>
      <c r="AJ2" s="12">
        <v>45992</v>
      </c>
      <c r="AK2" s="12">
        <v>46023</v>
      </c>
      <c r="AL2" s="12">
        <v>46054</v>
      </c>
      <c r="AM2" s="12">
        <v>46082</v>
      </c>
      <c r="AN2" s="12">
        <v>46113</v>
      </c>
      <c r="AO2" s="12">
        <v>46143</v>
      </c>
      <c r="AP2" s="12">
        <v>46174</v>
      </c>
      <c r="AQ2" s="12">
        <v>46204</v>
      </c>
      <c r="AR2" s="12">
        <v>46235</v>
      </c>
      <c r="AS2" s="12">
        <v>46266</v>
      </c>
      <c r="AT2" s="12">
        <v>46296</v>
      </c>
      <c r="AU2" s="12">
        <v>46327</v>
      </c>
      <c r="AV2" s="12">
        <v>46357</v>
      </c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3">
        <v>45658</v>
      </c>
      <c r="BJ2" s="13">
        <v>45689</v>
      </c>
      <c r="BK2" s="13">
        <v>45717</v>
      </c>
      <c r="BL2" s="14"/>
      <c r="BM2" s="14"/>
      <c r="BN2" s="14"/>
    </row>
    <row r="3" spans="1:66" x14ac:dyDescent="0.35">
      <c r="AK3" s="15"/>
    </row>
    <row r="4" spans="1:66" ht="15" thickBot="1" x14ac:dyDescent="0.4"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</row>
    <row r="5" spans="1:66" ht="13" x14ac:dyDescent="0.3">
      <c r="C5" s="2" t="s">
        <v>5</v>
      </c>
      <c r="D5" s="18" t="s">
        <v>6</v>
      </c>
      <c r="E5" s="19"/>
      <c r="F5" s="20"/>
      <c r="G5" s="20"/>
      <c r="H5" s="20"/>
      <c r="I5" s="20"/>
      <c r="J5" s="20"/>
      <c r="K5" s="20"/>
      <c r="L5" s="21">
        <f t="shared" ref="L5:AV5" si="0">+L7+L14+L26+L29</f>
        <v>1089754.2371200002</v>
      </c>
      <c r="M5" s="22">
        <f t="shared" si="0"/>
        <v>1056415.0044399998</v>
      </c>
      <c r="N5" s="23">
        <f t="shared" si="0"/>
        <v>1097172.9137299999</v>
      </c>
      <c r="O5" s="23">
        <f t="shared" si="0"/>
        <v>1130835.7725099998</v>
      </c>
      <c r="P5" s="23">
        <f t="shared" si="0"/>
        <v>1254214.1182299999</v>
      </c>
      <c r="Q5" s="23">
        <f t="shared" si="0"/>
        <v>1088480.8939200002</v>
      </c>
      <c r="R5" s="23">
        <f t="shared" si="0"/>
        <v>1049524.4831300001</v>
      </c>
      <c r="S5" s="23">
        <f t="shared" si="0"/>
        <v>1363065.3619600001</v>
      </c>
      <c r="T5" s="23">
        <f t="shared" si="0"/>
        <v>1560237.9672699999</v>
      </c>
      <c r="U5" s="23">
        <f t="shared" si="0"/>
        <v>1613238.6600100002</v>
      </c>
      <c r="V5" s="23">
        <f t="shared" si="0"/>
        <v>1673583.9582000002</v>
      </c>
      <c r="W5" s="23">
        <f t="shared" si="0"/>
        <v>1731995.0121000004</v>
      </c>
      <c r="X5" s="21">
        <f t="shared" si="0"/>
        <v>1738498.9235099999</v>
      </c>
      <c r="Y5" s="22">
        <f t="shared" si="0"/>
        <v>1605792.20037</v>
      </c>
      <c r="Z5" s="23">
        <f t="shared" si="0"/>
        <v>1776186.0216900001</v>
      </c>
      <c r="AA5" s="23">
        <f t="shared" si="0"/>
        <v>1885554.53945</v>
      </c>
      <c r="AB5" s="23">
        <f t="shared" si="0"/>
        <v>2130378.54795</v>
      </c>
      <c r="AC5" s="23">
        <f t="shared" si="0"/>
        <v>1833260.9962400002</v>
      </c>
      <c r="AD5" s="23">
        <f t="shared" si="0"/>
        <v>1886036.84819</v>
      </c>
      <c r="AE5" s="23">
        <f t="shared" si="0"/>
        <v>1820407.9022400002</v>
      </c>
      <c r="AF5" s="23">
        <f t="shared" si="0"/>
        <v>2009247.8736500004</v>
      </c>
      <c r="AG5" s="23">
        <f t="shared" si="0"/>
        <v>1919603.7228000001</v>
      </c>
      <c r="AH5" s="23">
        <f t="shared" si="0"/>
        <v>2073832.6367800003</v>
      </c>
      <c r="AI5" s="23">
        <f t="shared" si="0"/>
        <v>1971530.6403200002</v>
      </c>
      <c r="AJ5" s="21">
        <f t="shared" si="0"/>
        <v>1676316.47484</v>
      </c>
      <c r="AK5" s="22">
        <f t="shared" si="0"/>
        <v>1588591.5181100001</v>
      </c>
      <c r="AL5" s="23">
        <f t="shared" si="0"/>
        <v>1544327.19881</v>
      </c>
      <c r="AM5" s="23">
        <f t="shared" si="0"/>
        <v>1473449.5416099997</v>
      </c>
      <c r="AN5" s="23">
        <f t="shared" si="0"/>
        <v>1402571.8844099997</v>
      </c>
      <c r="AO5" s="23">
        <f t="shared" si="0"/>
        <v>1199704.9511799996</v>
      </c>
      <c r="AP5" s="23">
        <f t="shared" si="0"/>
        <v>1583400.2556699996</v>
      </c>
      <c r="AQ5" s="23">
        <f t="shared" si="0"/>
        <v>1583400.2556699996</v>
      </c>
      <c r="AR5" s="23">
        <f t="shared" si="0"/>
        <v>1583400.2556699996</v>
      </c>
      <c r="AS5" s="23">
        <f t="shared" si="0"/>
        <v>1583400.2556699996</v>
      </c>
      <c r="AT5" s="23">
        <f t="shared" si="0"/>
        <v>1583400.2556699996</v>
      </c>
      <c r="AU5" s="23">
        <f t="shared" si="0"/>
        <v>1583400.2556699996</v>
      </c>
      <c r="AV5" s="21">
        <f t="shared" si="0"/>
        <v>1583400.2556699996</v>
      </c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5" t="e">
        <f>+BI7+BI14+BI26+BI29</f>
        <v>#REF!</v>
      </c>
      <c r="BJ5" s="25" t="e">
        <f>+BJ7+BJ14+BJ26+BJ29</f>
        <v>#REF!</v>
      </c>
      <c r="BK5" s="25" t="e">
        <f>+BK7+BK14+BK26+BK29</f>
        <v>#REF!</v>
      </c>
      <c r="BL5" s="25"/>
      <c r="BM5" s="25"/>
      <c r="BN5" s="25"/>
    </row>
    <row r="6" spans="1:66" x14ac:dyDescent="0.35">
      <c r="C6"/>
      <c r="D6" s="3"/>
      <c r="E6" s="26"/>
      <c r="F6" s="27"/>
      <c r="G6" s="27"/>
      <c r="H6" s="27"/>
      <c r="I6" s="27"/>
      <c r="J6" s="27"/>
      <c r="K6" s="27"/>
      <c r="L6" s="28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30"/>
      <c r="Z6" s="31"/>
      <c r="AA6" s="31"/>
      <c r="AB6" s="31"/>
      <c r="AC6" s="31"/>
      <c r="AD6" s="31">
        <f>+AD7-AC7</f>
        <v>-54360.316420000046</v>
      </c>
      <c r="AE6" s="31">
        <f>+AE7-AD7</f>
        <v>-21582.511960000033</v>
      </c>
      <c r="AF6" s="31"/>
      <c r="AG6" s="31"/>
      <c r="AH6" s="31"/>
      <c r="AI6" s="31"/>
      <c r="AJ6" s="32"/>
      <c r="AK6" s="29"/>
      <c r="AL6" s="29"/>
      <c r="AM6" s="29"/>
      <c r="AN6" s="29"/>
      <c r="AO6" s="29"/>
      <c r="AP6" s="29">
        <f>+AP7-AO7</f>
        <v>56208.179360000009</v>
      </c>
      <c r="AQ6" s="29">
        <f>+AQ7-AP7</f>
        <v>0</v>
      </c>
      <c r="AR6" s="29"/>
      <c r="AS6" s="29"/>
      <c r="AT6" s="29"/>
      <c r="AU6" s="29"/>
      <c r="AV6" s="33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5"/>
      <c r="BJ6" s="35"/>
      <c r="BK6" s="35"/>
      <c r="BL6" s="35"/>
      <c r="BM6" s="35"/>
      <c r="BN6" s="35"/>
    </row>
    <row r="7" spans="1:66" ht="15" thickBot="1" x14ac:dyDescent="0.4">
      <c r="C7" s="36"/>
      <c r="D7" s="3" t="s">
        <v>7</v>
      </c>
      <c r="E7" s="37"/>
      <c r="F7" s="38"/>
      <c r="G7" s="38"/>
      <c r="H7" s="38"/>
      <c r="I7" s="38"/>
      <c r="J7" s="38"/>
      <c r="K7" s="38"/>
      <c r="L7" s="39">
        <f>+SUM(L8:L11)</f>
        <v>575483.92083000008</v>
      </c>
      <c r="M7" s="40">
        <f>+SUM(M8:M11)</f>
        <v>485511.07159000007</v>
      </c>
      <c r="N7" s="41">
        <f>+SUM(N8:N11)</f>
        <v>451542.47773000004</v>
      </c>
      <c r="O7" s="41">
        <f t="shared" ref="O7:AV7" si="1">+SUM(O8:O11)</f>
        <v>420193.38173000002</v>
      </c>
      <c r="P7" s="41">
        <f t="shared" si="1"/>
        <v>428561.64173000003</v>
      </c>
      <c r="Q7" s="41">
        <f t="shared" si="1"/>
        <v>428189.64173000003</v>
      </c>
      <c r="R7" s="41">
        <f t="shared" si="1"/>
        <v>403650.55996000004</v>
      </c>
      <c r="S7" s="41">
        <f t="shared" si="1"/>
        <v>495628.01263000007</v>
      </c>
      <c r="T7" s="41">
        <f t="shared" si="1"/>
        <v>488969.15850000008</v>
      </c>
      <c r="U7" s="41">
        <f t="shared" si="1"/>
        <v>526861.3195000001</v>
      </c>
      <c r="V7" s="41">
        <f t="shared" si="1"/>
        <v>587906.88083000015</v>
      </c>
      <c r="W7" s="41">
        <f t="shared" si="1"/>
        <v>667702.92349000019</v>
      </c>
      <c r="X7" s="41">
        <f t="shared" si="1"/>
        <v>658059.58879000018</v>
      </c>
      <c r="Y7" s="42">
        <f t="shared" si="1"/>
        <v>552413.36364000023</v>
      </c>
      <c r="Z7" s="43">
        <f t="shared" si="1"/>
        <v>547011.48764000018</v>
      </c>
      <c r="AA7" s="43">
        <f t="shared" si="1"/>
        <v>652640.56161000021</v>
      </c>
      <c r="AB7" s="43">
        <f t="shared" si="1"/>
        <v>668386.31026000017</v>
      </c>
      <c r="AC7" s="43">
        <f t="shared" si="1"/>
        <v>632062.60307000019</v>
      </c>
      <c r="AD7" s="43">
        <f t="shared" si="1"/>
        <v>577702.28665000014</v>
      </c>
      <c r="AE7" s="43">
        <f t="shared" si="1"/>
        <v>556119.77469000011</v>
      </c>
      <c r="AF7" s="43">
        <f t="shared" si="1"/>
        <v>587891.59471000009</v>
      </c>
      <c r="AG7" s="43">
        <f t="shared" si="1"/>
        <v>571204.56064000004</v>
      </c>
      <c r="AH7" s="43">
        <f t="shared" si="1"/>
        <v>769113.97522000014</v>
      </c>
      <c r="AI7" s="43">
        <f t="shared" si="1"/>
        <v>839892.07672000013</v>
      </c>
      <c r="AJ7" s="39">
        <f t="shared" si="1"/>
        <v>873093.66922000004</v>
      </c>
      <c r="AK7" s="40">
        <f t="shared" si="1"/>
        <v>773403.86822000006</v>
      </c>
      <c r="AL7" s="41">
        <f t="shared" si="1"/>
        <v>700999.83860999998</v>
      </c>
      <c r="AM7" s="41">
        <f t="shared" si="1"/>
        <v>631692.10018999991</v>
      </c>
      <c r="AN7" s="41">
        <f t="shared" si="1"/>
        <v>562384.36176999984</v>
      </c>
      <c r="AO7" s="41">
        <f t="shared" si="1"/>
        <v>320982.79273999983</v>
      </c>
      <c r="AP7" s="41">
        <f t="shared" si="1"/>
        <v>377190.97209999984</v>
      </c>
      <c r="AQ7" s="41">
        <f t="shared" si="1"/>
        <v>377190.97209999984</v>
      </c>
      <c r="AR7" s="41">
        <f t="shared" si="1"/>
        <v>377190.97209999984</v>
      </c>
      <c r="AS7" s="41">
        <f t="shared" si="1"/>
        <v>377190.97209999984</v>
      </c>
      <c r="AT7" s="41">
        <f t="shared" si="1"/>
        <v>377190.97209999984</v>
      </c>
      <c r="AU7" s="41">
        <f t="shared" si="1"/>
        <v>377190.97209999984</v>
      </c>
      <c r="AV7" s="44">
        <f t="shared" si="1"/>
        <v>377190.97209999984</v>
      </c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6" t="e">
        <f t="shared" ref="BI7:BK7" si="2">+BI8</f>
        <v>#REF!</v>
      </c>
      <c r="BJ7" s="46" t="e">
        <f t="shared" si="2"/>
        <v>#REF!</v>
      </c>
      <c r="BK7" s="46" t="e">
        <f t="shared" si="2"/>
        <v>#REF!</v>
      </c>
      <c r="BL7" s="47"/>
      <c r="BM7" s="47"/>
      <c r="BN7" s="47"/>
    </row>
    <row r="8" spans="1:66" ht="15" thickTop="1" x14ac:dyDescent="0.35">
      <c r="A8" s="48">
        <v>1105</v>
      </c>
      <c r="B8" s="2" t="str">
        <f t="shared" ref="B8:B73" si="3">+"COC"&amp;C8</f>
        <v>COC1405</v>
      </c>
      <c r="C8" s="36">
        <v>1405</v>
      </c>
      <c r="D8" s="16" t="s">
        <v>8</v>
      </c>
      <c r="E8" s="49"/>
      <c r="F8" s="50"/>
      <c r="G8" s="50"/>
      <c r="H8" s="50"/>
      <c r="I8" s="50"/>
      <c r="J8" s="50"/>
      <c r="K8" s="50"/>
      <c r="L8" s="32">
        <f>+_xlfn.XLOOKUP(C8,'[1]4'!$C:$C,'[1]4'!$I:$I,0)</f>
        <v>0</v>
      </c>
      <c r="M8" s="51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30">
        <f>+_xlfn.XLOOKUP(C8,'[2]Tabla BG 2'!$C:$C,'[2]Tabla BG 2'!$E:$E,0)</f>
        <v>0</v>
      </c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2"/>
      <c r="AK8" s="51">
        <f>+_xlfn.XLOOKUP(O8,'[2]Tabla BG 2'!$C:$C,'[2]Tabla BG 2'!$E:$E,0)</f>
        <v>0</v>
      </c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3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5" t="e">
        <f>+[3]Valoracion!U19*(-#REF!/360)</f>
        <v>#REF!</v>
      </c>
      <c r="BJ8" s="55" t="e">
        <f>+[3]Valoracion!V19*(-#REF!/360)</f>
        <v>#REF!</v>
      </c>
      <c r="BK8" s="55" t="e">
        <f>+[3]Valoracion!W19*(-#REF!/360)</f>
        <v>#REF!</v>
      </c>
      <c r="BL8" s="55"/>
      <c r="BM8" s="55"/>
      <c r="BN8" s="55"/>
    </row>
    <row r="9" spans="1:66" x14ac:dyDescent="0.35">
      <c r="A9" s="48">
        <v>1110</v>
      </c>
      <c r="B9" s="2" t="str">
        <f t="shared" si="3"/>
        <v>COC1410</v>
      </c>
      <c r="C9" s="36">
        <v>1410</v>
      </c>
      <c r="D9" s="16" t="s">
        <v>9</v>
      </c>
      <c r="E9" s="49"/>
      <c r="F9" s="50"/>
      <c r="G9" s="50"/>
      <c r="H9" s="50"/>
      <c r="I9" s="50"/>
      <c r="J9" s="50"/>
      <c r="K9" s="50"/>
      <c r="L9" s="32">
        <f>+_xlfn.XLOOKUP(C9,'[1]4'!$C:$C,'[1]4'!$I:$I,0)</f>
        <v>0</v>
      </c>
      <c r="M9" s="56">
        <f>+_xlfn.XLOOKUP(TEXT(C9,"@"),'[2]Tabla BG 2'!$C:$C,'[2]Tabla BG 2'!E:E,0)+L9</f>
        <v>0</v>
      </c>
      <c r="N9" s="57">
        <f>+_xlfn.XLOOKUP(TEXT(D9,"@"),'[2]Tabla BG 2'!$C:$C,'[2]Tabla BG 2'!F:F,0)+M9</f>
        <v>0</v>
      </c>
      <c r="O9" s="57">
        <f>+_xlfn.XLOOKUP(TEXT(E9,"@"),'[2]Tabla BG 2'!$C:$C,'[2]Tabla BG 2'!G:G,0)+N9</f>
        <v>0</v>
      </c>
      <c r="P9" s="57">
        <f>+_xlfn.XLOOKUP(TEXT(F9,"@"),'[2]Tabla BG 2'!$C:$C,'[2]Tabla BG 2'!H:H,0)+O9</f>
        <v>0</v>
      </c>
      <c r="Q9" s="57">
        <f>+_xlfn.XLOOKUP(TEXT(G9,"@"),'[2]Tabla BG 2'!$C:$C,'[2]Tabla BG 2'!I:I,0)+P9</f>
        <v>0</v>
      </c>
      <c r="R9" s="57">
        <f>+_xlfn.XLOOKUP(TEXT(H9,"@"),'[2]Tabla BG 2'!$C:$C,'[2]Tabla BG 2'!J:J,0)+Q9</f>
        <v>0</v>
      </c>
      <c r="S9" s="57">
        <f>+_xlfn.XLOOKUP(TEXT(I9,"@"),'[2]Tabla BG 2'!$C:$C,'[2]Tabla BG 2'!K:K,0)+R9</f>
        <v>0</v>
      </c>
      <c r="T9" s="57">
        <f>+_xlfn.XLOOKUP(TEXT(J9,"@"),'[2]Tabla BG 2'!$C:$C,'[2]Tabla BG 2'!L:L,0)+S9</f>
        <v>0</v>
      </c>
      <c r="U9" s="57">
        <f>+_xlfn.XLOOKUP(TEXT(K9,"@"),'[2]Tabla BG 2'!$C:$C,'[2]Tabla BG 2'!M:M,0)+T9</f>
        <v>0</v>
      </c>
      <c r="V9" s="57">
        <f>+_xlfn.XLOOKUP(TEXT(L9,"@"),'[2]Tabla BG 2'!$C:$C,'[2]Tabla BG 2'!N:N,0)+U9</f>
        <v>0</v>
      </c>
      <c r="W9" s="57">
        <f>+_xlfn.XLOOKUP(TEXT(M9,"@"),'[2]Tabla BG 2'!$C:$C,'[2]Tabla BG 2'!O:O,0)+V9</f>
        <v>0</v>
      </c>
      <c r="X9" s="57">
        <f>+_xlfn.XLOOKUP(TEXT(N9,"@"),'[2]Tabla BG 2'!$C:$C,'[2]Tabla BG 2'!P:P,0)+W9</f>
        <v>0</v>
      </c>
      <c r="Y9" s="30">
        <f>+_xlfn.XLOOKUP(TEXT(O9,"@"),'[2]Tabla BG 2'!$C:$C,'[2]Tabla BG 2'!R:R,0)+X9</f>
        <v>0</v>
      </c>
      <c r="Z9" s="31">
        <f>+_xlfn.XLOOKUP(TEXT(P9,"@"),'[2]Tabla BG 2'!$C:$C,'[2]Tabla BG 2'!S:S,0)+Y9</f>
        <v>0</v>
      </c>
      <c r="AA9" s="31"/>
      <c r="AB9" s="31"/>
      <c r="AC9" s="31"/>
      <c r="AD9" s="31"/>
      <c r="AE9" s="31"/>
      <c r="AF9" s="31"/>
      <c r="AG9" s="31"/>
      <c r="AH9" s="31"/>
      <c r="AI9" s="31"/>
      <c r="AJ9" s="32"/>
      <c r="AK9" s="56">
        <f>+_xlfn.XLOOKUP(TEXT(AA9,"@"),'[2]Tabla BG 2'!$C:$C,'[2]Tabla BG 2'!AE:AE,0)+AJ9</f>
        <v>0</v>
      </c>
      <c r="AL9" s="57">
        <f>+_xlfn.XLOOKUP(TEXT(AB9,"@"),'[2]Tabla BG 2'!$C:$C,'[2]Tabla BG 2'!AF:AF,0)+AK9</f>
        <v>0</v>
      </c>
      <c r="AM9" s="57">
        <f>+_xlfn.XLOOKUP(TEXT(AC9,"@"),'[2]Tabla BG 2'!$C:$C,'[2]Tabla BG 2'!AG:AG,0)+AL9</f>
        <v>0</v>
      </c>
      <c r="AN9" s="57"/>
      <c r="AO9" s="57"/>
      <c r="AP9" s="57"/>
      <c r="AQ9" s="57"/>
      <c r="AR9" s="57"/>
      <c r="AS9" s="57"/>
      <c r="AT9" s="57"/>
      <c r="AU9" s="57"/>
      <c r="AV9" s="58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/>
      <c r="BI9" s="55"/>
      <c r="BJ9" s="55"/>
      <c r="BK9" s="55"/>
      <c r="BL9" s="55"/>
      <c r="BM9" s="55"/>
      <c r="BN9" s="55"/>
    </row>
    <row r="10" spans="1:66" x14ac:dyDescent="0.35">
      <c r="A10" s="48">
        <v>1120</v>
      </c>
      <c r="B10" s="2" t="str">
        <f t="shared" si="3"/>
        <v>COC1435</v>
      </c>
      <c r="C10" s="36">
        <v>1435</v>
      </c>
      <c r="D10" s="16" t="s">
        <v>10</v>
      </c>
      <c r="E10" s="49"/>
      <c r="F10" s="50"/>
      <c r="G10" s="50"/>
      <c r="H10" s="50"/>
      <c r="I10" s="50"/>
      <c r="J10" s="50"/>
      <c r="K10" s="50"/>
      <c r="L10" s="32">
        <f>+_xlfn.XLOOKUP(C10,'[1]4'!$C:$C,'[1]4'!$I:$I,0)</f>
        <v>575483.92083000008</v>
      </c>
      <c r="M10" s="56">
        <f>+_xlfn.XLOOKUP(TEXT($C10,"@"),'[2]Tabla BG 2'!$C:$C,'[2]Tabla BG 2'!E:E,0)+L10</f>
        <v>485511.07159000007</v>
      </c>
      <c r="N10" s="57">
        <f>+_xlfn.XLOOKUP(TEXT($C10,"@"),'[2]Tabla BG 2'!$C:$C,'[2]Tabla BG 2'!F:F,0)+M10</f>
        <v>451542.47773000004</v>
      </c>
      <c r="O10" s="57">
        <f>+_xlfn.XLOOKUP(TEXT($C10,"@"),'[2]Tabla BG 2'!$C:$C,'[2]Tabla BG 2'!G:G,0)+N10</f>
        <v>420193.38173000002</v>
      </c>
      <c r="P10" s="57">
        <f>+_xlfn.XLOOKUP(TEXT($C10,"@"),'[2]Tabla BG 2'!$C:$C,'[2]Tabla BG 2'!H:H,0)+O10</f>
        <v>428561.64173000003</v>
      </c>
      <c r="Q10" s="57">
        <f>+_xlfn.XLOOKUP(TEXT($C10,"@"),'[2]Tabla BG 2'!$C:$C,'[2]Tabla BG 2'!I:I,0)+P10</f>
        <v>428189.64173000003</v>
      </c>
      <c r="R10" s="57">
        <f>+_xlfn.XLOOKUP(TEXT($C10,"@"),'[2]Tabla BG 2'!$C:$C,'[2]Tabla BG 2'!J:J,0)+Q10</f>
        <v>403650.55996000004</v>
      </c>
      <c r="S10" s="57">
        <f>+_xlfn.XLOOKUP(TEXT($C10,"@"),'[2]Tabla BG 2'!$C:$C,'[2]Tabla BG 2'!K:K,0)+R10</f>
        <v>495628.01263000007</v>
      </c>
      <c r="T10" s="57">
        <f>+_xlfn.XLOOKUP(TEXT($C10,"@"),'[2]Tabla BG 2'!$C:$C,'[2]Tabla BG 2'!L:L,0)+S10</f>
        <v>488969.15850000008</v>
      </c>
      <c r="U10" s="57">
        <f>+_xlfn.XLOOKUP(TEXT($C10,"@"),'[2]Tabla BG 2'!$C:$C,'[2]Tabla BG 2'!M:M,0)+T10</f>
        <v>526861.3195000001</v>
      </c>
      <c r="V10" s="57">
        <f>+_xlfn.XLOOKUP(TEXT($C10,"@"),'[2]Tabla BG 2'!$C:$C,'[2]Tabla BG 2'!N:N,0)+U10</f>
        <v>587906.88083000015</v>
      </c>
      <c r="W10" s="57">
        <f>+_xlfn.XLOOKUP(TEXT($C10,"@"),'[2]Tabla BG 2'!$C:$C,'[2]Tabla BG 2'!O:O,0)+V10</f>
        <v>667702.92349000019</v>
      </c>
      <c r="X10" s="57">
        <f>+_xlfn.XLOOKUP(TEXT($C10,"@"),'[2]Tabla BG 2'!$C:$C,'[2]Tabla BG 2'!P:P,0)+W10</f>
        <v>658059.58879000018</v>
      </c>
      <c r="Y10" s="30">
        <f>+_xlfn.XLOOKUP(TEXT($C10,"@"),'[2]Tabla BG 2'!$C:$C,'[2]Tabla BG 2'!R:R,0)+X10</f>
        <v>552413.36364000023</v>
      </c>
      <c r="Z10" s="31">
        <f>+_xlfn.XLOOKUP(TEXT($C10,"@"),'[2]Tabla BG 2'!$C:$C,'[2]Tabla BG 2'!S:S,0)+Y10</f>
        <v>547011.48764000018</v>
      </c>
      <c r="AA10" s="31">
        <f>+_xlfn.XLOOKUP(TEXT($C10,"@"),'[2]Tabla BG 2'!$C:$C,'[2]Tabla BG 2'!T:T,0)+Z10</f>
        <v>652640.56161000021</v>
      </c>
      <c r="AB10" s="31">
        <f>+_xlfn.XLOOKUP(TEXT($C10,"@"),'[2]Tabla BG 2'!$C:$C,'[2]Tabla BG 2'!U:U,0)+AA10</f>
        <v>668386.31026000017</v>
      </c>
      <c r="AC10" s="31">
        <f>+_xlfn.XLOOKUP(TEXT($C10,"@"),'[2]Tabla BG 2'!$C:$C,'[2]Tabla BG 2'!V:V,0)+AB10</f>
        <v>632062.60307000019</v>
      </c>
      <c r="AD10" s="31">
        <f>+_xlfn.XLOOKUP(TEXT($C10,"@"),'[2]Tabla BG 2'!$C:$C,'[2]Tabla BG 2'!W:W,0)+AC10</f>
        <v>577702.28665000014</v>
      </c>
      <c r="AE10" s="31">
        <f>+_xlfn.XLOOKUP(TEXT($C10,"@"),'[2]Tabla BG 2'!$C:$C,'[2]Tabla BG 2'!X:X,0)+AD10</f>
        <v>556119.77469000011</v>
      </c>
      <c r="AF10" s="31">
        <f>+_xlfn.XLOOKUP(TEXT($C10,"@"),'[2]Tabla BG 2'!$C:$C,'[2]Tabla BG 2'!Y:Y,0)+AE10</f>
        <v>587891.59471000009</v>
      </c>
      <c r="AG10" s="31">
        <f>+_xlfn.XLOOKUP(TEXT($C10,"@"),'[2]Tabla BG 2'!$C:$C,'[2]Tabla BG 2'!Z:Z,0)+AF10</f>
        <v>571204.56064000004</v>
      </c>
      <c r="AH10" s="31">
        <f>+_xlfn.XLOOKUP(TEXT($C10,"@"),'[2]Tabla BG 2'!$C:$C,'[2]Tabla BG 2'!AA:AA,0)+AG10</f>
        <v>769113.97522000014</v>
      </c>
      <c r="AI10" s="31">
        <f>+_xlfn.XLOOKUP(TEXT($C10,"@"),'[2]Tabla BG 2'!$C:$C,'[2]Tabla BG 2'!AB:AB,0)+AH10</f>
        <v>839892.07672000013</v>
      </c>
      <c r="AJ10" s="32">
        <f>+_xlfn.XLOOKUP(TEXT($C10,"@"),'[2]Tabla BG 2'!$C:$C,'[2]Tabla BG 2'!AC:AC,0)+AI10</f>
        <v>873093.66922000004</v>
      </c>
      <c r="AK10" s="56">
        <f>+_xlfn.XLOOKUP(TEXT($C10,"@"),'[2]Tabla BG 2'!$C:$C,'[2]Tabla BG 2'!AE:AE,0)+AJ10</f>
        <v>773403.86822000006</v>
      </c>
      <c r="AL10" s="57">
        <f>+_xlfn.XLOOKUP(TEXT($C10,"@"),'[2]Tabla BG 2'!$C:$C,'[2]Tabla BG 2'!AF:AF,0)+AK10</f>
        <v>700999.83860999998</v>
      </c>
      <c r="AM10" s="57">
        <f>+_xlfn.XLOOKUP(TEXT($C10,"@"),'[2]Tabla BG 2'!$C:$C,'[2]Tabla BG 2'!AG:AG,0)+AL10</f>
        <v>631692.10018999991</v>
      </c>
      <c r="AN10" s="57">
        <f>+_xlfn.XLOOKUP(TEXT($C10,"@"),'[2]Tabla BG 2'!$C:$C,'[2]Tabla BG 2'!AG:AG,0)+AM10</f>
        <v>562384.36176999984</v>
      </c>
      <c r="AO10" s="57">
        <f>+_xlfn.XLOOKUP(TEXT($C10,"@"),'[2]Tabla BG 2'!$C:$C,'[2]Tabla BG 2'!AH:AH,0)+AN10</f>
        <v>320982.79273999983</v>
      </c>
      <c r="AP10" s="57">
        <f>+_xlfn.XLOOKUP(TEXT($C10,"@"),'[2]Tabla BG 2'!$C:$C,'[2]Tabla BG 2'!AI:AI,0)+AO10</f>
        <v>377190.97209999984</v>
      </c>
      <c r="AQ10" s="57">
        <f>+_xlfn.XLOOKUP(TEXT($C10,"@"),'[2]Tabla BG 2'!$C:$C,'[2]Tabla BG 2'!AJ:AJ,0)+AP10</f>
        <v>377190.97209999984</v>
      </c>
      <c r="AR10" s="57">
        <f>+_xlfn.XLOOKUP(TEXT($C10,"@"),'[2]Tabla BG 2'!$C:$C,'[2]Tabla BG 2'!AK:AK,0)+AQ10</f>
        <v>377190.97209999984</v>
      </c>
      <c r="AS10" s="57">
        <f>+_xlfn.XLOOKUP(TEXT($C10,"@"),'[2]Tabla BG 2'!$C:$C,'[2]Tabla BG 2'!AL:AL,0)+AR10</f>
        <v>377190.97209999984</v>
      </c>
      <c r="AT10" s="57">
        <f>+_xlfn.XLOOKUP(TEXT($C10,"@"),'[2]Tabla BG 2'!$C:$C,'[2]Tabla BG 2'!AM:AM,0)+AS10</f>
        <v>377190.97209999984</v>
      </c>
      <c r="AU10" s="57">
        <f>+_xlfn.XLOOKUP(TEXT($C10,"@"),'[2]Tabla BG 2'!$C:$C,'[2]Tabla BG 2'!AN:AN,0)+AT10</f>
        <v>377190.97209999984</v>
      </c>
      <c r="AV10" s="58">
        <f>+_xlfn.XLOOKUP(TEXT($C10,"@"),'[2]Tabla BG 2'!$C:$C,'[2]Tabla BG 2'!AO:AO,0)+AU10</f>
        <v>377190.97209999984</v>
      </c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/>
      <c r="BI10" s="55"/>
      <c r="BJ10" s="55"/>
      <c r="BK10" s="55"/>
      <c r="BL10" s="55"/>
      <c r="BM10" s="55"/>
      <c r="BN10" s="55"/>
    </row>
    <row r="11" spans="1:66" x14ac:dyDescent="0.35">
      <c r="A11" s="48">
        <v>1305</v>
      </c>
      <c r="B11" s="2" t="str">
        <f t="shared" si="3"/>
        <v>COC1465</v>
      </c>
      <c r="C11" s="36">
        <v>1465</v>
      </c>
      <c r="D11" s="16" t="s">
        <v>11</v>
      </c>
      <c r="E11" s="49"/>
      <c r="F11" s="50"/>
      <c r="G11" s="50"/>
      <c r="H11" s="50"/>
      <c r="I11" s="50"/>
      <c r="J11" s="50"/>
      <c r="K11" s="50"/>
      <c r="L11" s="32">
        <f>+_xlfn.XLOOKUP(C11,'[1]4'!$C:$C,'[1]4'!$I:$I,0)</f>
        <v>0</v>
      </c>
      <c r="M11" s="56">
        <f>+_xlfn.XLOOKUP(TEXT(C11,"@"),'[2]Tabla BG 2'!$C:$C,'[2]Tabla BG 2'!E:E,0)+L11</f>
        <v>0</v>
      </c>
      <c r="N11" s="57">
        <f>+_xlfn.XLOOKUP(TEXT(D11,"@"),'[2]Tabla BG 2'!$C:$C,'[2]Tabla BG 2'!F:F,0)+M11</f>
        <v>0</v>
      </c>
      <c r="O11" s="57">
        <f>+_xlfn.XLOOKUP(TEXT(E11,"@"),'[2]Tabla BG 2'!$C:$C,'[2]Tabla BG 2'!G:G,0)+N11</f>
        <v>0</v>
      </c>
      <c r="P11" s="57">
        <f>+_xlfn.XLOOKUP(TEXT(F11,"@"),'[2]Tabla BG 2'!$C:$C,'[2]Tabla BG 2'!H:H,0)+O11</f>
        <v>0</v>
      </c>
      <c r="Q11" s="57">
        <f>+_xlfn.XLOOKUP(TEXT(G11,"@"),'[2]Tabla BG 2'!$C:$C,'[2]Tabla BG 2'!I:I,0)+P11</f>
        <v>0</v>
      </c>
      <c r="R11" s="57">
        <f>+_xlfn.XLOOKUP(TEXT(H11,"@"),'[2]Tabla BG 2'!$C:$C,'[2]Tabla BG 2'!J:J,0)+Q11</f>
        <v>0</v>
      </c>
      <c r="S11" s="57">
        <f>+_xlfn.XLOOKUP(TEXT(I11,"@"),'[2]Tabla BG 2'!$C:$C,'[2]Tabla BG 2'!K:K,0)+R11</f>
        <v>0</v>
      </c>
      <c r="T11" s="57">
        <f>+_xlfn.XLOOKUP(TEXT(J11,"@"),'[2]Tabla BG 2'!$C:$C,'[2]Tabla BG 2'!L:L,0)+S11</f>
        <v>0</v>
      </c>
      <c r="U11" s="57">
        <f>+_xlfn.XLOOKUP(TEXT(K11,"@"),'[2]Tabla BG 2'!$C:$C,'[2]Tabla BG 2'!M:M,0)+T11</f>
        <v>0</v>
      </c>
      <c r="V11" s="57">
        <f>+_xlfn.XLOOKUP(TEXT(L11,"@"),'[2]Tabla BG 2'!$C:$C,'[2]Tabla BG 2'!N:N,0)+U11</f>
        <v>0</v>
      </c>
      <c r="W11" s="57">
        <f>+_xlfn.XLOOKUP(TEXT(M11,"@"),'[2]Tabla BG 2'!$C:$C,'[2]Tabla BG 2'!O:O,0)+V11</f>
        <v>0</v>
      </c>
      <c r="X11" s="57">
        <f>+_xlfn.XLOOKUP(TEXT(N11,"@"),'[2]Tabla BG 2'!$C:$C,'[2]Tabla BG 2'!P:P,0)+W11</f>
        <v>0</v>
      </c>
      <c r="Y11" s="30">
        <f>+_xlfn.XLOOKUP(TEXT(O11,"@"),'[2]Tabla BG 2'!$C:$C,'[2]Tabla BG 2'!R:R,0)+X11</f>
        <v>0</v>
      </c>
      <c r="Z11" s="31">
        <f>+_xlfn.XLOOKUP(TEXT(P11,"@"),'[2]Tabla BG 2'!$C:$C,'[2]Tabla BG 2'!S:S,0)+Y11</f>
        <v>0</v>
      </c>
      <c r="AA11" s="31">
        <f>+_xlfn.XLOOKUP(TEXT(Q11,"@"),'[2]Tabla BG 2'!$C:$C,'[2]Tabla BG 2'!T:T,0)+Z11</f>
        <v>0</v>
      </c>
      <c r="AB11" s="31">
        <f>+_xlfn.XLOOKUP(TEXT(R11,"@"),'[2]Tabla BG 2'!$C:$C,'[2]Tabla BG 2'!U:U,0)+AA11</f>
        <v>0</v>
      </c>
      <c r="AC11" s="31">
        <f>+_xlfn.XLOOKUP(TEXT(S11,"@"),'[2]Tabla BG 2'!$C:$C,'[2]Tabla BG 2'!V:V,0)+AB11</f>
        <v>0</v>
      </c>
      <c r="AD11" s="31">
        <f>+_xlfn.XLOOKUP(TEXT(T11,"@"),'[2]Tabla BG 2'!$C:$C,'[2]Tabla BG 2'!W:W,0)+AC11</f>
        <v>0</v>
      </c>
      <c r="AE11" s="31">
        <f>+_xlfn.XLOOKUP(TEXT(U11,"@"),'[2]Tabla BG 2'!$C:$C,'[2]Tabla BG 2'!X:X,0)+AD11</f>
        <v>0</v>
      </c>
      <c r="AF11" s="31">
        <f>+_xlfn.XLOOKUP(TEXT(V11,"@"),'[2]Tabla BG 2'!$C:$C,'[2]Tabla BG 2'!Y:Y,0)+AE11</f>
        <v>0</v>
      </c>
      <c r="AG11" s="31">
        <f>+_xlfn.XLOOKUP(TEXT(W11,"@"),'[2]Tabla BG 2'!$C:$C,'[2]Tabla BG 2'!Z:Z,0)+AF11</f>
        <v>0</v>
      </c>
      <c r="AH11" s="31">
        <f>+_xlfn.XLOOKUP(TEXT(X11,"@"),'[2]Tabla BG 2'!$C:$C,'[2]Tabla BG 2'!AA:AA,0)+AG11</f>
        <v>0</v>
      </c>
      <c r="AI11" s="31">
        <f>+_xlfn.XLOOKUP(TEXT(Y11,"@"),'[2]Tabla BG 2'!$C:$C,'[2]Tabla BG 2'!AB:AB,0)+AH11</f>
        <v>0</v>
      </c>
      <c r="AJ11" s="32">
        <f>+_xlfn.XLOOKUP(TEXT(Z11,"@"),'[2]Tabla BG 2'!$C:$C,'[2]Tabla BG 2'!AC:AC,0)+AI11</f>
        <v>0</v>
      </c>
      <c r="AK11" s="56">
        <f>+_xlfn.XLOOKUP(TEXT(AA11,"@"),'[2]Tabla BG 2'!$C:$C,'[2]Tabla BG 2'!AE:AE,0)+AJ11</f>
        <v>0</v>
      </c>
      <c r="AL11" s="57">
        <f>+_xlfn.XLOOKUP(TEXT(AB11,"@"),'[2]Tabla BG 2'!$C:$C,'[2]Tabla BG 2'!AF:AF,0)+AK11</f>
        <v>0</v>
      </c>
      <c r="AM11" s="57">
        <f>+_xlfn.XLOOKUP(TEXT(AC11,"@"),'[2]Tabla BG 2'!$C:$C,'[2]Tabla BG 2'!AG:AG,0)+AL11</f>
        <v>0</v>
      </c>
      <c r="AN11" s="57">
        <f>+_xlfn.XLOOKUP(TEXT(AD11,"@"),'[2]Tabla BG 2'!$C:$C,'[2]Tabla BG 2'!AG:AG,0)+AM11</f>
        <v>0</v>
      </c>
      <c r="AO11" s="57">
        <f>+_xlfn.XLOOKUP(TEXT(AE11,"@"),'[2]Tabla BG 2'!$C:$C,'[2]Tabla BG 2'!AH:AH,0)+AN11</f>
        <v>0</v>
      </c>
      <c r="AP11" s="57">
        <f>+_xlfn.XLOOKUP(TEXT(AF11,"@"),'[2]Tabla BG 2'!$C:$C,'[2]Tabla BG 2'!AI:AI,0)+AO11</f>
        <v>0</v>
      </c>
      <c r="AQ11" s="57">
        <f>+_xlfn.XLOOKUP(TEXT(AG11,"@"),'[2]Tabla BG 2'!$C:$C,'[2]Tabla BG 2'!AJ:AJ,0)+AP11</f>
        <v>0</v>
      </c>
      <c r="AR11" s="57">
        <f>+_xlfn.XLOOKUP(TEXT(AH11,"@"),'[2]Tabla BG 2'!$C:$C,'[2]Tabla BG 2'!AK:AK,0)+AQ11</f>
        <v>0</v>
      </c>
      <c r="AS11" s="57">
        <f>+_xlfn.XLOOKUP(TEXT(AI11,"@"),'[2]Tabla BG 2'!$C:$C,'[2]Tabla BG 2'!AL:AL,0)+AR11</f>
        <v>0</v>
      </c>
      <c r="AT11" s="57">
        <f>+_xlfn.XLOOKUP(TEXT(AJ11,"@"),'[2]Tabla BG 2'!$C:$C,'[2]Tabla BG 2'!AM:AM,0)+AS11</f>
        <v>0</v>
      </c>
      <c r="AU11" s="57">
        <f>+_xlfn.XLOOKUP(TEXT(AK11,"@"),'[2]Tabla BG 2'!$C:$C,'[2]Tabla BG 2'!AN:AN,0)+AT11</f>
        <v>0</v>
      </c>
      <c r="AV11" s="58">
        <f>+_xlfn.XLOOKUP(TEXT(AL11,"@"),'[2]Tabla BG 2'!$C:$C,'[2]Tabla BG 2'!AO:AO,0)+AU11</f>
        <v>0</v>
      </c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5"/>
      <c r="BJ11" s="55"/>
      <c r="BK11" s="55"/>
      <c r="BL11" s="55"/>
      <c r="BM11" s="55"/>
      <c r="BN11" s="55"/>
    </row>
    <row r="12" spans="1:66" x14ac:dyDescent="0.35">
      <c r="A12" s="48">
        <v>1310</v>
      </c>
      <c r="B12" s="2" t="str">
        <f t="shared" si="3"/>
        <v>COC1499</v>
      </c>
      <c r="C12" s="36">
        <v>1499</v>
      </c>
      <c r="D12" s="16" t="s">
        <v>12</v>
      </c>
      <c r="E12" s="49"/>
      <c r="F12" s="50"/>
      <c r="G12" s="50"/>
      <c r="H12" s="50"/>
      <c r="I12" s="50"/>
      <c r="J12" s="50"/>
      <c r="K12" s="50"/>
      <c r="L12" s="32">
        <f>+_xlfn.XLOOKUP(C12,'[1]4'!$C:$C,'[1]4'!$I:$I,0)</f>
        <v>0</v>
      </c>
      <c r="M12" s="56">
        <f>+_xlfn.XLOOKUP(TEXT(C12,"@"),'[2]Tabla BG 2'!$C:$C,'[2]Tabla BG 2'!E:E,0)+L12</f>
        <v>0</v>
      </c>
      <c r="N12" s="57">
        <f>+_xlfn.XLOOKUP(TEXT(D12,"@"),'[2]Tabla BG 2'!$C:$C,'[2]Tabla BG 2'!F:F,0)+M12</f>
        <v>0</v>
      </c>
      <c r="O12" s="57">
        <f>+_xlfn.XLOOKUP(TEXT(E12,"@"),'[2]Tabla BG 2'!$C:$C,'[2]Tabla BG 2'!G:G,0)+N12</f>
        <v>0</v>
      </c>
      <c r="P12" s="57">
        <f>+_xlfn.XLOOKUP(TEXT(F12,"@"),'[2]Tabla BG 2'!$C:$C,'[2]Tabla BG 2'!H:H,0)+O12</f>
        <v>0</v>
      </c>
      <c r="Q12" s="57">
        <f>+_xlfn.XLOOKUP(TEXT(G12,"@"),'[2]Tabla BG 2'!$C:$C,'[2]Tabla BG 2'!I:I,0)+P12</f>
        <v>0</v>
      </c>
      <c r="R12" s="57">
        <f>+_xlfn.XLOOKUP(TEXT(H12,"@"),'[2]Tabla BG 2'!$C:$C,'[2]Tabla BG 2'!J:J,0)+Q12</f>
        <v>0</v>
      </c>
      <c r="S12" s="57">
        <f>+_xlfn.XLOOKUP(TEXT(I12,"@"),'[2]Tabla BG 2'!$C:$C,'[2]Tabla BG 2'!K:K,0)+R12</f>
        <v>0</v>
      </c>
      <c r="T12" s="57">
        <f>+_xlfn.XLOOKUP(TEXT(J12,"@"),'[2]Tabla BG 2'!$C:$C,'[2]Tabla BG 2'!L:L,0)+S12</f>
        <v>0</v>
      </c>
      <c r="U12" s="57">
        <f>+_xlfn.XLOOKUP(TEXT(K12,"@"),'[2]Tabla BG 2'!$C:$C,'[2]Tabla BG 2'!M:M,0)+T12</f>
        <v>0</v>
      </c>
      <c r="V12" s="57">
        <f>+_xlfn.XLOOKUP(TEXT(L12,"@"),'[2]Tabla BG 2'!$C:$C,'[2]Tabla BG 2'!N:N,0)+U12</f>
        <v>0</v>
      </c>
      <c r="W12" s="57">
        <f>+_xlfn.XLOOKUP(TEXT(M12,"@"),'[2]Tabla BG 2'!$C:$C,'[2]Tabla BG 2'!O:O,0)+V12</f>
        <v>0</v>
      </c>
      <c r="X12" s="57">
        <f>+_xlfn.XLOOKUP(TEXT(N12,"@"),'[2]Tabla BG 2'!$C:$C,'[2]Tabla BG 2'!P:P,0)+W12</f>
        <v>0</v>
      </c>
      <c r="Y12" s="30">
        <f>+_xlfn.XLOOKUP(TEXT(O12,"@"),'[2]Tabla BG 2'!$C:$C,'[2]Tabla BG 2'!R:R,0)+X12</f>
        <v>0</v>
      </c>
      <c r="Z12" s="31">
        <f>+_xlfn.XLOOKUP(TEXT(P12,"@"),'[2]Tabla BG 2'!$C:$C,'[2]Tabla BG 2'!S:S,0)+Y12</f>
        <v>0</v>
      </c>
      <c r="AA12" s="31"/>
      <c r="AB12" s="31"/>
      <c r="AC12" s="31"/>
      <c r="AD12" s="31"/>
      <c r="AE12" s="31"/>
      <c r="AF12" s="31"/>
      <c r="AG12" s="31"/>
      <c r="AH12" s="31"/>
      <c r="AI12" s="31"/>
      <c r="AJ12" s="32"/>
      <c r="AK12" s="56">
        <f>+_xlfn.XLOOKUP(TEXT(AA12,"@"),'[2]Tabla BG 2'!$C:$C,'[2]Tabla BG 2'!AE:AE,0)+AJ12</f>
        <v>0</v>
      </c>
      <c r="AL12" s="57">
        <f>+_xlfn.XLOOKUP(TEXT(AB12,"@"),'[2]Tabla BG 2'!$C:$C,'[2]Tabla BG 2'!AF:AF,0)+AK12</f>
        <v>0</v>
      </c>
      <c r="AM12" s="57">
        <f>+_xlfn.XLOOKUP(TEXT(AC12,"@"),'[2]Tabla BG 2'!$C:$C,'[2]Tabla BG 2'!AG:AG,0)+AL12</f>
        <v>0</v>
      </c>
      <c r="AN12" s="57"/>
      <c r="AO12" s="57"/>
      <c r="AP12" s="57"/>
      <c r="AQ12" s="57"/>
      <c r="AR12" s="57"/>
      <c r="AS12" s="57"/>
      <c r="AT12" s="57"/>
      <c r="AU12" s="57"/>
      <c r="AV12" s="58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5"/>
      <c r="BJ12" s="55"/>
      <c r="BK12" s="55"/>
      <c r="BL12" s="55"/>
      <c r="BM12" s="55"/>
      <c r="BN12" s="55"/>
    </row>
    <row r="13" spans="1:66" x14ac:dyDescent="0.35">
      <c r="A13" s="48">
        <v>1330</v>
      </c>
      <c r="B13" s="2" t="str">
        <f t="shared" si="3"/>
        <v>COC</v>
      </c>
      <c r="C13"/>
      <c r="D13" s="16"/>
      <c r="E13" s="59"/>
      <c r="F13" s="60"/>
      <c r="G13" s="60"/>
      <c r="H13" s="60"/>
      <c r="I13" s="60"/>
      <c r="J13" s="60"/>
      <c r="K13" s="60"/>
      <c r="L13" s="32">
        <f>+_xlfn.XLOOKUP(C13,'[1]4'!$C:$C,'[1]4'!$I:$I,0)</f>
        <v>0</v>
      </c>
      <c r="M13" s="56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30">
        <f>+_xlfn.XLOOKUP(C13,'[2]Tabla BG 2'!$C:$C,'[2]Tabla BG 2'!$E:$E,0)</f>
        <v>0</v>
      </c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2"/>
      <c r="AK13" s="56">
        <f>+_xlfn.XLOOKUP(O13,'[2]Tabla BG 2'!$C:$C,'[2]Tabla BG 2'!$E:$E,0)</f>
        <v>0</v>
      </c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8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17"/>
      <c r="BJ13" s="17"/>
      <c r="BK13" s="17"/>
      <c r="BL13" s="17"/>
      <c r="BM13" s="17"/>
      <c r="BN13" s="17"/>
    </row>
    <row r="14" spans="1:66" ht="15" thickBot="1" x14ac:dyDescent="0.4">
      <c r="A14" s="48">
        <v>1355</v>
      </c>
      <c r="B14" s="2" t="str">
        <f t="shared" si="3"/>
        <v>COC</v>
      </c>
      <c r="C14"/>
      <c r="D14" s="3" t="s">
        <v>13</v>
      </c>
      <c r="E14" s="37"/>
      <c r="F14" s="38"/>
      <c r="G14" s="38"/>
      <c r="H14" s="38"/>
      <c r="I14" s="38"/>
      <c r="J14" s="38"/>
      <c r="K14" s="38"/>
      <c r="L14" s="39">
        <f>SUM(L15:L24)</f>
        <v>432747.40876999992</v>
      </c>
      <c r="M14" s="40">
        <f t="shared" ref="M14:AV14" si="4">SUM(M15:M25)</f>
        <v>429629.93537999992</v>
      </c>
      <c r="N14" s="41">
        <f t="shared" si="4"/>
        <v>441959.77013999998</v>
      </c>
      <c r="O14" s="41">
        <f t="shared" si="4"/>
        <v>481747.46867999993</v>
      </c>
      <c r="P14" s="41">
        <f t="shared" si="4"/>
        <v>452940.78328999999</v>
      </c>
      <c r="Q14" s="41">
        <f t="shared" si="4"/>
        <v>510034.97562000004</v>
      </c>
      <c r="R14" s="41">
        <f t="shared" si="4"/>
        <v>502490.37508000014</v>
      </c>
      <c r="S14" s="41">
        <f t="shared" si="4"/>
        <v>580692.44677000004</v>
      </c>
      <c r="T14" s="41">
        <f t="shared" si="4"/>
        <v>694124.53714999987</v>
      </c>
      <c r="U14" s="41">
        <f t="shared" si="4"/>
        <v>778460.31619999977</v>
      </c>
      <c r="V14" s="41">
        <f t="shared" si="4"/>
        <v>828299.54879999976</v>
      </c>
      <c r="W14" s="41">
        <f t="shared" si="4"/>
        <v>811784.46381999983</v>
      </c>
      <c r="X14" s="44">
        <f t="shared" si="4"/>
        <v>882972.15579999972</v>
      </c>
      <c r="Y14" s="42">
        <f t="shared" si="4"/>
        <v>870426.03359999962</v>
      </c>
      <c r="Z14" s="43">
        <f t="shared" si="4"/>
        <v>902065.78179999965</v>
      </c>
      <c r="AA14" s="43">
        <f t="shared" si="4"/>
        <v>954208.25562999968</v>
      </c>
      <c r="AB14" s="43">
        <f t="shared" si="4"/>
        <v>940301.14902999974</v>
      </c>
      <c r="AC14" s="43">
        <f t="shared" si="4"/>
        <v>853974.28816999972</v>
      </c>
      <c r="AD14" s="43">
        <f t="shared" si="4"/>
        <v>924857.13399999961</v>
      </c>
      <c r="AE14" s="43">
        <f t="shared" si="4"/>
        <v>938111.39911999973</v>
      </c>
      <c r="AF14" s="43">
        <f t="shared" si="4"/>
        <v>919218.19754999981</v>
      </c>
      <c r="AG14" s="43">
        <f t="shared" si="4"/>
        <v>1000949.2975199999</v>
      </c>
      <c r="AH14" s="43">
        <f t="shared" si="4"/>
        <v>837892.18334999972</v>
      </c>
      <c r="AI14" s="43">
        <f t="shared" si="4"/>
        <v>746999.7906999999</v>
      </c>
      <c r="AJ14" s="39">
        <f t="shared" si="4"/>
        <v>677257.8683999998</v>
      </c>
      <c r="AK14" s="40">
        <f t="shared" si="4"/>
        <v>699976.20049999992</v>
      </c>
      <c r="AL14" s="41">
        <f t="shared" si="4"/>
        <v>622364.20133999991</v>
      </c>
      <c r="AM14" s="41">
        <f t="shared" si="4"/>
        <v>616866.71959999984</v>
      </c>
      <c r="AN14" s="41">
        <f t="shared" si="4"/>
        <v>611369.23785999964</v>
      </c>
      <c r="AO14" s="41">
        <f t="shared" si="4"/>
        <v>550978.08905999956</v>
      </c>
      <c r="AP14" s="41">
        <f t="shared" si="4"/>
        <v>735097.39988999942</v>
      </c>
      <c r="AQ14" s="41">
        <f t="shared" si="4"/>
        <v>735097.39988999942</v>
      </c>
      <c r="AR14" s="41">
        <f t="shared" si="4"/>
        <v>735097.39988999942</v>
      </c>
      <c r="AS14" s="41">
        <f t="shared" si="4"/>
        <v>735097.39988999942</v>
      </c>
      <c r="AT14" s="41">
        <f t="shared" si="4"/>
        <v>735097.39988999942</v>
      </c>
      <c r="AU14" s="41">
        <f t="shared" si="4"/>
        <v>735097.39988999942</v>
      </c>
      <c r="AV14" s="44">
        <f t="shared" si="4"/>
        <v>735097.39988999942</v>
      </c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6" t="e">
        <f>SUM(BI15:BI25)</f>
        <v>#REF!</v>
      </c>
      <c r="BJ14" s="46" t="e">
        <f>SUM(BJ15:BJ25)</f>
        <v>#REF!</v>
      </c>
      <c r="BK14" s="46" t="e">
        <f>SUM(BK15:BK25)</f>
        <v>#REF!</v>
      </c>
      <c r="BL14" s="47"/>
      <c r="BM14" s="47"/>
      <c r="BN14" s="47"/>
    </row>
    <row r="15" spans="1:66" ht="15" collapsed="1" thickTop="1" x14ac:dyDescent="0.35">
      <c r="A15" s="48">
        <v>1365</v>
      </c>
      <c r="B15" s="2" t="str">
        <f t="shared" si="3"/>
        <v>COC1305</v>
      </c>
      <c r="C15" s="36">
        <v>1305</v>
      </c>
      <c r="D15" s="16" t="s">
        <v>14</v>
      </c>
      <c r="E15" s="49"/>
      <c r="F15" s="50"/>
      <c r="G15" s="50"/>
      <c r="H15" s="50"/>
      <c r="I15" s="50"/>
      <c r="J15" s="50"/>
      <c r="K15" s="50"/>
      <c r="L15" s="32">
        <f>+_xlfn.XLOOKUP(C15,'[1]4'!$C:$C,'[1]4'!$I:$I,0)</f>
        <v>352212.41044999997</v>
      </c>
      <c r="M15" s="56">
        <f>+_xlfn.XLOOKUP(TEXT($C15,"@"),'[2]Tabla BG 2'!$C:$C,'[2]Tabla BG 2'!E:E,0)+L15</f>
        <v>330797.42345999996</v>
      </c>
      <c r="N15" s="52">
        <f>+_xlfn.XLOOKUP(TEXT($C15,"@"),'[2]Tabla BG 2'!$C:$C,'[2]Tabla BG 2'!F:F,0)+M15</f>
        <v>339107.27549999999</v>
      </c>
      <c r="O15" s="52">
        <f>+_xlfn.XLOOKUP(TEXT($C15,"@"),'[2]Tabla BG 2'!$C:$C,'[2]Tabla BG 2'!G:G,0)+N15</f>
        <v>365575.9915</v>
      </c>
      <c r="P15" s="52">
        <f>+_xlfn.XLOOKUP(TEXT($C15,"@"),'[2]Tabla BG 2'!$C:$C,'[2]Tabla BG 2'!H:H,0)+O15</f>
        <v>330658.99349000002</v>
      </c>
      <c r="Q15" s="52">
        <f>+_xlfn.XLOOKUP(TEXT($C15,"@"),'[2]Tabla BG 2'!$C:$C,'[2]Tabla BG 2'!I:I,0)+P15</f>
        <v>356248.55500000005</v>
      </c>
      <c r="R15" s="52">
        <f>+_xlfn.XLOOKUP(TEXT($C15,"@"),'[2]Tabla BG 2'!$C:$C,'[2]Tabla BG 2'!J:J,0)+Q15</f>
        <v>331650.85940000007</v>
      </c>
      <c r="S15" s="52">
        <f>+_xlfn.XLOOKUP(TEXT($C15,"@"),'[2]Tabla BG 2'!$C:$C,'[2]Tabla BG 2'!K:K,0)+R15</f>
        <v>389928.42998999998</v>
      </c>
      <c r="T15" s="52">
        <f>+_xlfn.XLOOKUP(TEXT($C15,"@"),'[2]Tabla BG 2'!$C:$C,'[2]Tabla BG 2'!L:L,0)+S15</f>
        <v>504597.18351999985</v>
      </c>
      <c r="U15" s="52">
        <f>+_xlfn.XLOOKUP(TEXT($C15,"@"),'[2]Tabla BG 2'!$C:$C,'[2]Tabla BG 2'!M:M,0)+T15</f>
        <v>583399.70991999982</v>
      </c>
      <c r="V15" s="52">
        <f>+_xlfn.XLOOKUP(TEXT($C15,"@"),'[2]Tabla BG 2'!$C:$C,'[2]Tabla BG 2'!N:N,0)+U15</f>
        <v>643421.98899999983</v>
      </c>
      <c r="W15" s="52">
        <f>+_xlfn.XLOOKUP(TEXT($C15,"@"),'[2]Tabla BG 2'!$C:$C,'[2]Tabla BG 2'!O:O,0)+V15</f>
        <v>607874.4319999998</v>
      </c>
      <c r="X15" s="52">
        <f>+_xlfn.XLOOKUP(TEXT($C15,"@"),'[2]Tabla BG 2'!$C:$C,'[2]Tabla BG 2'!P:P,0)+W15</f>
        <v>800404.47848999978</v>
      </c>
      <c r="Y15" s="30">
        <f>+_xlfn.XLOOKUP(TEXT($C15,"@"),'[2]Tabla BG 2'!$C:$C,'[2]Tabla BG 2'!R:R,0)+X15</f>
        <v>775557.58799999976</v>
      </c>
      <c r="Z15" s="31">
        <f>+_xlfn.XLOOKUP(TEXT($C15,"@"),'[2]Tabla BG 2'!$C:$C,'[2]Tabla BG 2'!S:S,0)+Y15</f>
        <v>791533.06299999973</v>
      </c>
      <c r="AA15" s="31">
        <f>+_xlfn.XLOOKUP(TEXT($C15,"@"),'[2]Tabla BG 2'!$C:$C,'[2]Tabla BG 2'!T:T,0)+Z15</f>
        <v>826753.62349999975</v>
      </c>
      <c r="AB15" s="31">
        <f>+_xlfn.XLOOKUP(TEXT($C15,"@"),'[2]Tabla BG 2'!$C:$C,'[2]Tabla BG 2'!U:U,0)+AA15</f>
        <v>798567.97149999975</v>
      </c>
      <c r="AC15" s="31">
        <f>+_xlfn.XLOOKUP(TEXT($C15,"@"),'[2]Tabla BG 2'!$C:$C,'[2]Tabla BG 2'!V:V,0)+AB15</f>
        <v>699338.00956999976</v>
      </c>
      <c r="AD15" s="31">
        <f>+_xlfn.XLOOKUP(TEXT($C15,"@"),'[2]Tabla BG 2'!$C:$C,'[2]Tabla BG 2'!W:W,0)+AC15</f>
        <v>742057.49383999978</v>
      </c>
      <c r="AE15" s="31">
        <f>+_xlfn.XLOOKUP(TEXT($C15,"@"),'[2]Tabla BG 2'!$C:$C,'[2]Tabla BG 2'!X:X,0)+AD15</f>
        <v>745271.51899999974</v>
      </c>
      <c r="AF15" s="31">
        <f>+_xlfn.XLOOKUP(TEXT($C15,"@"),'[2]Tabla BG 2'!$C:$C,'[2]Tabla BG 2'!Y:Y,0)+AE15</f>
        <v>700382.57099999988</v>
      </c>
      <c r="AG15" s="31">
        <f>+_xlfn.XLOOKUP(TEXT($C15,"@"),'[2]Tabla BG 2'!$C:$C,'[2]Tabla BG 2'!Z:Z,0)+AF15</f>
        <v>704696.68499999982</v>
      </c>
      <c r="AH15" s="31">
        <f>+_xlfn.XLOOKUP(TEXT($C15,"@"),'[2]Tabla BG 2'!$C:$C,'[2]Tabla BG 2'!AA:AA,0)+AG15</f>
        <v>578352.91799999983</v>
      </c>
      <c r="AI15" s="31">
        <f>+_xlfn.XLOOKUP(TEXT($C15,"@"),'[2]Tabla BG 2'!$C:$C,'[2]Tabla BG 2'!AB:AB,0)+AH15</f>
        <v>458056.9834899999</v>
      </c>
      <c r="AJ15" s="32">
        <f>+_xlfn.XLOOKUP(TEXT($C15,"@"),'[2]Tabla BG 2'!$C:$C,'[2]Tabla BG 2'!AC:AC,0)+AI15</f>
        <v>634444.28199999989</v>
      </c>
      <c r="AK15" s="56">
        <f>+_xlfn.XLOOKUP(TEXT($C15,"@"),'[2]Tabla BG 2'!$C:$C,'[2]Tabla BG 2'!AE:AE,0)+AJ15</f>
        <v>628650.69799999997</v>
      </c>
      <c r="AL15" s="52">
        <f>+_xlfn.XLOOKUP(TEXT($C15,"@"),'[2]Tabla BG 2'!$C:$C,'[2]Tabla BG 2'!AF:AF,0)+AK15</f>
        <v>532089.41006999998</v>
      </c>
      <c r="AM15" s="52">
        <f>+_xlfn.XLOOKUP(TEXT($C15,"@"),'[2]Tabla BG 2'!$C:$C,'[2]Tabla BG 2'!AG:AG,0)+AL15</f>
        <v>496788.76006999984</v>
      </c>
      <c r="AN15" s="52">
        <f>+_xlfn.XLOOKUP(TEXT($C15,"@"),'[2]Tabla BG 2'!$C:$C,'[2]Tabla BG 2'!AG:AG,0)+AM15</f>
        <v>461488.1100699997</v>
      </c>
      <c r="AO15" s="52">
        <f>+_xlfn.XLOOKUP(TEXT($C15,"@"),'[2]Tabla BG 2'!$C:$C,'[2]Tabla BG 2'!AH:AH,0)+AN15</f>
        <v>323832.58813999966</v>
      </c>
      <c r="AP15" s="52">
        <f>+_xlfn.XLOOKUP(TEXT($C15,"@"),'[2]Tabla BG 2'!$C:$C,'[2]Tabla BG 2'!AI:AI,0)+AO15</f>
        <v>468408.93775999954</v>
      </c>
      <c r="AQ15" s="52">
        <f>+_xlfn.XLOOKUP(TEXT($C15,"@"),'[2]Tabla BG 2'!$C:$C,'[2]Tabla BG 2'!AJ:AJ,0)+AP15</f>
        <v>468408.93775999954</v>
      </c>
      <c r="AR15" s="52">
        <f>+_xlfn.XLOOKUP(TEXT($C15,"@"),'[2]Tabla BG 2'!$C:$C,'[2]Tabla BG 2'!AK:AK,0)+AQ15</f>
        <v>468408.93775999954</v>
      </c>
      <c r="AS15" s="52">
        <f>+_xlfn.XLOOKUP(TEXT($C15,"@"),'[2]Tabla BG 2'!$C:$C,'[2]Tabla BG 2'!AL:AL,0)+AR15</f>
        <v>468408.93775999954</v>
      </c>
      <c r="AT15" s="52">
        <f>+_xlfn.XLOOKUP(TEXT($C15,"@"),'[2]Tabla BG 2'!$C:$C,'[2]Tabla BG 2'!AM:AM,0)+AS15</f>
        <v>468408.93775999954</v>
      </c>
      <c r="AU15" s="52">
        <f>+_xlfn.XLOOKUP(TEXT($C15,"@"),'[2]Tabla BG 2'!$C:$C,'[2]Tabla BG 2'!AN:AN,0)+AT15</f>
        <v>468408.93775999954</v>
      </c>
      <c r="AV15" s="53">
        <f>+_xlfn.XLOOKUP(TEXT($C15,"@"),'[2]Tabla BG 2'!$C:$C,'[2]Tabla BG 2'!AO:AO,0)+AU15</f>
        <v>468408.93775999954</v>
      </c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5"/>
      <c r="BJ15" s="55"/>
      <c r="BK15" s="55"/>
      <c r="BL15" s="55"/>
      <c r="BM15" s="55"/>
      <c r="BN15" s="55"/>
    </row>
    <row r="16" spans="1:66" x14ac:dyDescent="0.35">
      <c r="A16" s="48">
        <v>1380</v>
      </c>
      <c r="B16" s="2" t="str">
        <f t="shared" si="3"/>
        <v>COC1310</v>
      </c>
      <c r="C16" s="36">
        <v>1310</v>
      </c>
      <c r="D16" s="16" t="s">
        <v>15</v>
      </c>
      <c r="E16" s="49"/>
      <c r="F16" s="50"/>
      <c r="G16" s="50"/>
      <c r="H16" s="50"/>
      <c r="I16" s="50"/>
      <c r="J16" s="50"/>
      <c r="K16" s="50"/>
      <c r="L16" s="32">
        <f>+_xlfn.XLOOKUP(C16,'[1]4'!$C:$C,'[1]4'!$I:$I,0)</f>
        <v>0</v>
      </c>
      <c r="M16" s="56">
        <f>+_xlfn.XLOOKUP(TEXT($C16,"@"),'[2]Tabla BG 2'!$C:$C,'[2]Tabla BG 2'!E:E,0)+L16</f>
        <v>0</v>
      </c>
      <c r="N16" s="57">
        <f>+_xlfn.XLOOKUP(TEXT($C16,"@"),'[2]Tabla BG 2'!$C:$C,'[2]Tabla BG 2'!F:F,0)+M16</f>
        <v>0</v>
      </c>
      <c r="O16" s="57">
        <f>+_xlfn.XLOOKUP(TEXT($C16,"@"),'[2]Tabla BG 2'!$C:$C,'[2]Tabla BG 2'!G:G,0)+N16</f>
        <v>0</v>
      </c>
      <c r="P16" s="57">
        <f>+_xlfn.XLOOKUP(TEXT($C16,"@"),'[2]Tabla BG 2'!$C:$C,'[2]Tabla BG 2'!H:H,0)+O16</f>
        <v>0</v>
      </c>
      <c r="Q16" s="57">
        <f>+_xlfn.XLOOKUP(TEXT($C16,"@"),'[2]Tabla BG 2'!$C:$C,'[2]Tabla BG 2'!I:I,0)+P16</f>
        <v>0</v>
      </c>
      <c r="R16" s="57">
        <f>+_xlfn.XLOOKUP(TEXT($C16,"@"),'[2]Tabla BG 2'!$C:$C,'[2]Tabla BG 2'!J:J,0)+Q16</f>
        <v>0</v>
      </c>
      <c r="S16" s="57">
        <f>+_xlfn.XLOOKUP(TEXT($C16,"@"),'[2]Tabla BG 2'!$C:$C,'[2]Tabla BG 2'!K:K,0)+R16</f>
        <v>0</v>
      </c>
      <c r="T16" s="57">
        <f>+_xlfn.XLOOKUP(TEXT($C16,"@"),'[2]Tabla BG 2'!$C:$C,'[2]Tabla BG 2'!L:L,0)+S16</f>
        <v>4972.3500000000004</v>
      </c>
      <c r="U16" s="57">
        <f>+_xlfn.XLOOKUP(TEXT($C16,"@"),'[2]Tabla BG 2'!$C:$C,'[2]Tabla BG 2'!M:M,0)+T16</f>
        <v>0</v>
      </c>
      <c r="V16" s="57">
        <f>+_xlfn.XLOOKUP(TEXT($C16,"@"),'[2]Tabla BG 2'!$C:$C,'[2]Tabla BG 2'!N:N,0)+U16</f>
        <v>-0.37</v>
      </c>
      <c r="W16" s="57">
        <f>+_xlfn.XLOOKUP(TEXT($C16,"@"),'[2]Tabla BG 2'!$C:$C,'[2]Tabla BG 2'!O:O,0)+V16</f>
        <v>-0.37</v>
      </c>
      <c r="X16" s="57">
        <f>+_xlfn.XLOOKUP(TEXT($C16,"@"),'[2]Tabla BG 2'!$C:$C,'[2]Tabla BG 2'!P:P,0)+W16</f>
        <v>-0.37</v>
      </c>
      <c r="Y16" s="30">
        <f>+_xlfn.XLOOKUP(TEXT($C16,"@"),'[2]Tabla BG 2'!$C:$C,'[2]Tabla BG 2'!R:R,0)+X16</f>
        <v>-18.37</v>
      </c>
      <c r="Z16" s="31">
        <f>+_xlfn.XLOOKUP(TEXT($C16,"@"),'[2]Tabla BG 2'!$C:$C,'[2]Tabla BG 2'!S:S,0)+Y16</f>
        <v>-18.37</v>
      </c>
      <c r="AA16" s="31">
        <f>+_xlfn.XLOOKUP(TEXT($C16,"@"),'[2]Tabla BG 2'!$C:$C,'[2]Tabla BG 2'!T:T,0)+Z16</f>
        <v>-534.47</v>
      </c>
      <c r="AB16" s="31">
        <f>+_xlfn.XLOOKUP(TEXT($C16,"@"),'[2]Tabla BG 2'!$C:$C,'[2]Tabla BG 2'!U:U,0)+AA16</f>
        <v>-18.370000000000005</v>
      </c>
      <c r="AC16" s="31">
        <f>+_xlfn.XLOOKUP(TEXT($C16,"@"),'[2]Tabla BG 2'!$C:$C,'[2]Tabla BG 2'!V:V,0)+AB16</f>
        <v>-1668.4699999999984</v>
      </c>
      <c r="AD16" s="31">
        <f>+_xlfn.XLOOKUP(TEXT($C16,"@"),'[2]Tabla BG 2'!$C:$C,'[2]Tabla BG 2'!W:W,0)+AC16</f>
        <v>-788.36999999999841</v>
      </c>
      <c r="AE16" s="31">
        <f>+_xlfn.XLOOKUP(TEXT($C16,"@"),'[2]Tabla BG 2'!$C:$C,'[2]Tabla BG 2'!X:X,0)+AD16</f>
        <v>-135.36999999999841</v>
      </c>
      <c r="AF16" s="31">
        <f>+_xlfn.XLOOKUP(TEXT($C16,"@"),'[2]Tabla BG 2'!$C:$C,'[2]Tabla BG 2'!Y:Y,0)+AE16</f>
        <v>-135.36999999999841</v>
      </c>
      <c r="AG16" s="31">
        <f>+_xlfn.XLOOKUP(TEXT($C16,"@"),'[2]Tabla BG 2'!$C:$C,'[2]Tabla BG 2'!Z:Z,0)+AF16</f>
        <v>55554.540000000008</v>
      </c>
      <c r="AH16" s="31">
        <f>+_xlfn.XLOOKUP(TEXT($C16,"@"),'[2]Tabla BG 2'!$C:$C,'[2]Tabla BG 2'!AA:AA,0)+AG16</f>
        <v>-135.36999999999534</v>
      </c>
      <c r="AI16" s="31">
        <f>+_xlfn.XLOOKUP(TEXT($C16,"@"),'[2]Tabla BG 2'!$C:$C,'[2]Tabla BG 2'!AB:AB,0)+AH16</f>
        <v>30.838000000004655</v>
      </c>
      <c r="AJ16" s="32">
        <f>+_xlfn.XLOOKUP(TEXT($C16,"@"),'[2]Tabla BG 2'!$C:$C,'[2]Tabla BG 2'!AC:AC,0)+AI16</f>
        <v>4.6895820560166612E-12</v>
      </c>
      <c r="AK16" s="56">
        <f>+_xlfn.XLOOKUP(TEXT($C16,"@"),'[2]Tabla BG 2'!$C:$C,'[2]Tabla BG 2'!AE:AE,0)+AJ16</f>
        <v>380.00000000000466</v>
      </c>
      <c r="AL16" s="57">
        <f>+_xlfn.XLOOKUP(TEXT($C16,"@"),'[2]Tabla BG 2'!$C:$C,'[2]Tabla BG 2'!AF:AF,0)+AK16</f>
        <v>1576.4600000000046</v>
      </c>
      <c r="AM16" s="57">
        <f>+_xlfn.XLOOKUP(TEXT($C16,"@"),'[2]Tabla BG 2'!$C:$C,'[2]Tabla BG 2'!AG:AG,0)+AL16</f>
        <v>380.00000000000455</v>
      </c>
      <c r="AN16" s="57">
        <f>+_xlfn.XLOOKUP(TEXT($C16,"@"),'[2]Tabla BG 2'!$C:$C,'[2]Tabla BG 2'!AG:AG,0)+AM16</f>
        <v>-816.45999999999549</v>
      </c>
      <c r="AO16" s="57">
        <f>+_xlfn.XLOOKUP(TEXT($C16,"@"),'[2]Tabla BG 2'!$C:$C,'[2]Tabla BG 2'!AH:AH,0)+AN16</f>
        <v>-436.45999999999549</v>
      </c>
      <c r="AP16" s="57">
        <f>+_xlfn.XLOOKUP(TEXT($C16,"@"),'[2]Tabla BG 2'!$C:$C,'[2]Tabla BG 2'!AI:AI,0)+AO16</f>
        <v>-56.459999999990941</v>
      </c>
      <c r="AQ16" s="57">
        <f>+_xlfn.XLOOKUP(TEXT($C16,"@"),'[2]Tabla BG 2'!$C:$C,'[2]Tabla BG 2'!AJ:AJ,0)+AP16</f>
        <v>-56.459999999990941</v>
      </c>
      <c r="AR16" s="57">
        <f>+_xlfn.XLOOKUP(TEXT($C16,"@"),'[2]Tabla BG 2'!$C:$C,'[2]Tabla BG 2'!AK:AK,0)+AQ16</f>
        <v>-56.459999999990941</v>
      </c>
      <c r="AS16" s="57">
        <f>+_xlfn.XLOOKUP(TEXT($C16,"@"),'[2]Tabla BG 2'!$C:$C,'[2]Tabla BG 2'!AL:AL,0)+AR16</f>
        <v>-56.459999999990941</v>
      </c>
      <c r="AT16" s="57">
        <f>+_xlfn.XLOOKUP(TEXT($C16,"@"),'[2]Tabla BG 2'!$C:$C,'[2]Tabla BG 2'!AM:AM,0)+AS16</f>
        <v>-56.459999999990941</v>
      </c>
      <c r="AU16" s="57">
        <f>+_xlfn.XLOOKUP(TEXT($C16,"@"),'[2]Tabla BG 2'!$C:$C,'[2]Tabla BG 2'!AN:AN,0)+AT16</f>
        <v>-56.459999999990941</v>
      </c>
      <c r="AV16" s="58">
        <f>+_xlfn.XLOOKUP(TEXT($C16,"@"),'[2]Tabla BG 2'!$C:$C,'[2]Tabla BG 2'!AO:AO,0)+AU16</f>
        <v>-56.459999999990941</v>
      </c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5"/>
      <c r="BJ16" s="55"/>
      <c r="BK16" s="55"/>
      <c r="BL16" s="55"/>
      <c r="BM16" s="55"/>
      <c r="BN16" s="55"/>
    </row>
    <row r="17" spans="1:66" x14ac:dyDescent="0.35">
      <c r="A17" s="48">
        <v>1399</v>
      </c>
      <c r="B17" s="2" t="str">
        <f t="shared" si="3"/>
        <v>COC1330</v>
      </c>
      <c r="C17" s="36">
        <v>1330</v>
      </c>
      <c r="D17" s="16" t="s">
        <v>16</v>
      </c>
      <c r="E17" s="49"/>
      <c r="F17" s="50"/>
      <c r="G17" s="50"/>
      <c r="H17" s="50"/>
      <c r="I17" s="50"/>
      <c r="J17" s="50"/>
      <c r="K17" s="50"/>
      <c r="L17" s="32">
        <f>+_xlfn.XLOOKUP(C17,'[1]4'!$C:$C,'[1]4'!$I:$I,0)</f>
        <v>7491.2790000000005</v>
      </c>
      <c r="M17" s="56">
        <f>+_xlfn.XLOOKUP(TEXT($C17,"@"),'[2]Tabla BG 2'!$C:$C,'[2]Tabla BG 2'!E:E,0)+L17</f>
        <v>9359.3790000000008</v>
      </c>
      <c r="N17" s="57">
        <f>+_xlfn.XLOOKUP(TEXT($C17,"@"),'[2]Tabla BG 2'!$C:$C,'[2]Tabla BG 2'!F:F,0)+M17</f>
        <v>6240.5190000000011</v>
      </c>
      <c r="O17" s="57">
        <f>+_xlfn.XLOOKUP(TEXT($C17,"@"),'[2]Tabla BG 2'!$C:$C,'[2]Tabla BG 2'!G:G,0)+N17</f>
        <v>6307.7470000000012</v>
      </c>
      <c r="P17" s="57">
        <f>+_xlfn.XLOOKUP(TEXT($C17,"@"),'[2]Tabla BG 2'!$C:$C,'[2]Tabla BG 2'!H:H,0)+O17</f>
        <v>6611.1240000000016</v>
      </c>
      <c r="Q17" s="57">
        <f>+_xlfn.XLOOKUP(TEXT($C17,"@"),'[2]Tabla BG 2'!$C:$C,'[2]Tabla BG 2'!I:I,0)+P17</f>
        <v>25862.514000000003</v>
      </c>
      <c r="R17" s="57">
        <f>+_xlfn.XLOOKUP(TEXT($C17,"@"),'[2]Tabla BG 2'!$C:$C,'[2]Tabla BG 2'!J:J,0)+Q17</f>
        <v>34262.504000000001</v>
      </c>
      <c r="S17" s="57">
        <f>+_xlfn.XLOOKUP(TEXT($C17,"@"),'[2]Tabla BG 2'!$C:$C,'[2]Tabla BG 2'!K:K,0)+R17</f>
        <v>37795.976999999999</v>
      </c>
      <c r="T17" s="57">
        <f>+_xlfn.XLOOKUP(TEXT($C17,"@"),'[2]Tabla BG 2'!$C:$C,'[2]Tabla BG 2'!L:L,0)+S17</f>
        <v>22102.796000000002</v>
      </c>
      <c r="U17" s="57">
        <f>+_xlfn.XLOOKUP(TEXT($C17,"@"),'[2]Tabla BG 2'!$C:$C,'[2]Tabla BG 2'!M:M,0)+T17</f>
        <v>23438.519000000004</v>
      </c>
      <c r="V17" s="57">
        <f>+_xlfn.XLOOKUP(TEXT($C17,"@"),'[2]Tabla BG 2'!$C:$C,'[2]Tabla BG 2'!N:N,0)+U17</f>
        <v>3006.8830000000053</v>
      </c>
      <c r="W17" s="57">
        <f>+_xlfn.XLOOKUP(TEXT($C17,"@"),'[2]Tabla BG 2'!$C:$C,'[2]Tabla BG 2'!O:O,0)+V17</f>
        <v>2861.699000000006</v>
      </c>
      <c r="X17" s="57">
        <f>+_xlfn.XLOOKUP(TEXT($C17,"@"),'[2]Tabla BG 2'!$C:$C,'[2]Tabla BG 2'!P:P,0)+W17</f>
        <v>4395.7320000000054</v>
      </c>
      <c r="Y17" s="30">
        <f>+_xlfn.XLOOKUP(TEXT($C17,"@"),'[2]Tabla BG 2'!$C:$C,'[2]Tabla BG 2'!R:R,0)+X17</f>
        <v>4914.4040000000059</v>
      </c>
      <c r="Z17" s="31">
        <f>+_xlfn.XLOOKUP(TEXT($C17,"@"),'[2]Tabla BG 2'!$C:$C,'[2]Tabla BG 2'!S:S,0)+Y17</f>
        <v>10868.644000000006</v>
      </c>
      <c r="AA17" s="31">
        <f>+_xlfn.XLOOKUP(TEXT($C17,"@"),'[2]Tabla BG 2'!$C:$C,'[2]Tabla BG 2'!T:T,0)+Z17</f>
        <v>11545.187000000005</v>
      </c>
      <c r="AB17" s="31">
        <f>+_xlfn.XLOOKUP(TEXT($C17,"@"),'[2]Tabla BG 2'!$C:$C,'[2]Tabla BG 2'!U:U,0)+AA17</f>
        <v>13709.103000000006</v>
      </c>
      <c r="AC17" s="31">
        <f>+_xlfn.XLOOKUP(TEXT($C17,"@"),'[2]Tabla BG 2'!$C:$C,'[2]Tabla BG 2'!V:V,0)+AB17</f>
        <v>5817.9110000000073</v>
      </c>
      <c r="AD17" s="31">
        <f>+_xlfn.XLOOKUP(TEXT($C17,"@"),'[2]Tabla BG 2'!$C:$C,'[2]Tabla BG 2'!W:W,0)+AC17</f>
        <v>16907.402340000008</v>
      </c>
      <c r="AE17" s="31">
        <f>+_xlfn.XLOOKUP(TEXT($C17,"@"),'[2]Tabla BG 2'!$C:$C,'[2]Tabla BG 2'!X:X,0)+AD17</f>
        <v>343.06534000000829</v>
      </c>
      <c r="AF17" s="31">
        <f>+_xlfn.XLOOKUP(TEXT($C17,"@"),'[2]Tabla BG 2'!$C:$C,'[2]Tabla BG 2'!Y:Y,0)+AE17</f>
        <v>8603.4763400000083</v>
      </c>
      <c r="AG17" s="31">
        <f>+_xlfn.XLOOKUP(TEXT($C17,"@"),'[2]Tabla BG 2'!$C:$C,'[2]Tabla BG 2'!Z:Z,0)+AF17</f>
        <v>6413.3173400000087</v>
      </c>
      <c r="AH17" s="31">
        <f>+_xlfn.XLOOKUP(TEXT($C17,"@"),'[2]Tabla BG 2'!$C:$C,'[2]Tabla BG 2'!AA:AA,0)+AG17</f>
        <v>466.39227000000756</v>
      </c>
      <c r="AI17" s="31">
        <f>+_xlfn.XLOOKUP(TEXT($C17,"@"),'[2]Tabla BG 2'!$C:$C,'[2]Tabla BG 2'!AB:AB,0)+AH17</f>
        <v>690.2932000000078</v>
      </c>
      <c r="AJ17" s="32">
        <f>+_xlfn.XLOOKUP(TEXT($C17,"@"),'[2]Tabla BG 2'!$C:$C,'[2]Tabla BG 2'!AC:AC,0)+AI17</f>
        <v>1358.7740000000078</v>
      </c>
      <c r="AK17" s="56">
        <f>+_xlfn.XLOOKUP(TEXT($C17,"@"),'[2]Tabla BG 2'!$C:$C,'[2]Tabla BG 2'!AE:AE,0)+AJ17</f>
        <v>1366.7580000000078</v>
      </c>
      <c r="AL17" s="57">
        <f>+_xlfn.XLOOKUP(TEXT($C17,"@"),'[2]Tabla BG 2'!$C:$C,'[2]Tabla BG 2'!AF:AF,0)+AK17</f>
        <v>2212.3043100000077</v>
      </c>
      <c r="AM17" s="57">
        <f>+_xlfn.XLOOKUP(TEXT($C17,"@"),'[2]Tabla BG 2'!$C:$C,'[2]Tabla BG 2'!AG:AG,0)+AL17</f>
        <v>1393.2579900000078</v>
      </c>
      <c r="AN17" s="57">
        <f>+_xlfn.XLOOKUP(TEXT($C17,"@"),'[2]Tabla BG 2'!$C:$C,'[2]Tabla BG 2'!AG:AG,0)+AM17</f>
        <v>574.21167000000787</v>
      </c>
      <c r="AO17" s="57">
        <f>+_xlfn.XLOOKUP(TEXT($C17,"@"),'[2]Tabla BG 2'!$C:$C,'[2]Tabla BG 2'!AH:AH,0)+AN17</f>
        <v>608.69566000000805</v>
      </c>
      <c r="AP17" s="57">
        <f>+_xlfn.XLOOKUP(TEXT($C17,"@"),'[2]Tabla BG 2'!$C:$C,'[2]Tabla BG 2'!AI:AI,0)+AO17</f>
        <v>-5489.3253499999828</v>
      </c>
      <c r="AQ17" s="57">
        <f>+_xlfn.XLOOKUP(TEXT($C17,"@"),'[2]Tabla BG 2'!$C:$C,'[2]Tabla BG 2'!AJ:AJ,0)+AP17</f>
        <v>-5489.3253499999828</v>
      </c>
      <c r="AR17" s="57">
        <f>+_xlfn.XLOOKUP(TEXT($C17,"@"),'[2]Tabla BG 2'!$C:$C,'[2]Tabla BG 2'!AK:AK,0)+AQ17</f>
        <v>-5489.3253499999828</v>
      </c>
      <c r="AS17" s="57">
        <f>+_xlfn.XLOOKUP(TEXT($C17,"@"),'[2]Tabla BG 2'!$C:$C,'[2]Tabla BG 2'!AL:AL,0)+AR17</f>
        <v>-5489.3253499999828</v>
      </c>
      <c r="AT17" s="57">
        <f>+_xlfn.XLOOKUP(TEXT($C17,"@"),'[2]Tabla BG 2'!$C:$C,'[2]Tabla BG 2'!AM:AM,0)+AS17</f>
        <v>-5489.3253499999828</v>
      </c>
      <c r="AU17" s="57">
        <f>+_xlfn.XLOOKUP(TEXT($C17,"@"),'[2]Tabla BG 2'!$C:$C,'[2]Tabla BG 2'!AN:AN,0)+AT17</f>
        <v>-5489.3253499999828</v>
      </c>
      <c r="AV17" s="58">
        <f>+_xlfn.XLOOKUP(TEXT($C17,"@"),'[2]Tabla BG 2'!$C:$C,'[2]Tabla BG 2'!AO:AO,0)+AU17</f>
        <v>-5489.3253499999828</v>
      </c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5" t="e">
        <f>+[3]Valoracion!U17*(#REF!/360)</f>
        <v>#REF!</v>
      </c>
      <c r="BJ17" s="55" t="e">
        <f>+[3]Valoracion!V17*(#REF!/360)</f>
        <v>#REF!</v>
      </c>
      <c r="BK17" s="55" t="e">
        <f>+[3]Valoracion!W17*(#REF!/360)</f>
        <v>#REF!</v>
      </c>
      <c r="BL17" s="55"/>
      <c r="BM17" s="55" t="s">
        <v>17</v>
      </c>
      <c r="BN17" s="55" t="e">
        <f>+#REF!</f>
        <v>#REF!</v>
      </c>
    </row>
    <row r="18" spans="1:66" x14ac:dyDescent="0.35">
      <c r="A18" s="48">
        <v>1435</v>
      </c>
      <c r="B18" s="2" t="str">
        <f t="shared" si="3"/>
        <v>COC1335</v>
      </c>
      <c r="C18" s="36">
        <v>1335</v>
      </c>
      <c r="D18" s="16"/>
      <c r="E18" s="49"/>
      <c r="F18" s="50"/>
      <c r="G18" s="50"/>
      <c r="H18" s="50"/>
      <c r="I18" s="50"/>
      <c r="J18" s="50"/>
      <c r="K18" s="50"/>
      <c r="L18" s="32">
        <f>+_xlfn.XLOOKUP(C18,'[1]4'!$C:$C,'[1]4'!$I:$I,0)</f>
        <v>0</v>
      </c>
      <c r="M18" s="56">
        <f>+_xlfn.XLOOKUP(TEXT($C18,"@"),'[2]Tabla BG 2'!$C:$C,'[2]Tabla BG 2'!E:E,0)+L18</f>
        <v>0</v>
      </c>
      <c r="N18" s="57">
        <f>+_xlfn.XLOOKUP(TEXT($C18,"@"),'[2]Tabla BG 2'!$C:$C,'[2]Tabla BG 2'!F:F,0)+M18</f>
        <v>0</v>
      </c>
      <c r="O18" s="57">
        <f>+_xlfn.XLOOKUP(TEXT($C18,"@"),'[2]Tabla BG 2'!$C:$C,'[2]Tabla BG 2'!G:G,0)+N18</f>
        <v>0</v>
      </c>
      <c r="P18" s="57">
        <f>+_xlfn.XLOOKUP(TEXT($C18,"@"),'[2]Tabla BG 2'!$C:$C,'[2]Tabla BG 2'!H:H,0)+O18</f>
        <v>0</v>
      </c>
      <c r="Q18" s="57">
        <f>+_xlfn.XLOOKUP(TEXT($C18,"@"),'[2]Tabla BG 2'!$C:$C,'[2]Tabla BG 2'!I:I,0)+P18</f>
        <v>0</v>
      </c>
      <c r="R18" s="57">
        <f>+_xlfn.XLOOKUP(TEXT($C18,"@"),'[2]Tabla BG 2'!$C:$C,'[2]Tabla BG 2'!J:J,0)+Q18</f>
        <v>0</v>
      </c>
      <c r="S18" s="57">
        <f>+_xlfn.XLOOKUP(TEXT($C18,"@"),'[2]Tabla BG 2'!$C:$C,'[2]Tabla BG 2'!K:K,0)+R18</f>
        <v>0</v>
      </c>
      <c r="T18" s="57">
        <f>+_xlfn.XLOOKUP(TEXT($C18,"@"),'[2]Tabla BG 2'!$C:$C,'[2]Tabla BG 2'!L:L,0)+S18</f>
        <v>0</v>
      </c>
      <c r="U18" s="57">
        <f>+_xlfn.XLOOKUP(TEXT($C18,"@"),'[2]Tabla BG 2'!$C:$C,'[2]Tabla BG 2'!M:M,0)+T18</f>
        <v>0</v>
      </c>
      <c r="V18" s="57">
        <f>+_xlfn.XLOOKUP(TEXT($C18,"@"),'[2]Tabla BG 2'!$C:$C,'[2]Tabla BG 2'!N:N,0)+U18</f>
        <v>0</v>
      </c>
      <c r="W18" s="57">
        <f>+_xlfn.XLOOKUP(TEXT($C18,"@"),'[2]Tabla BG 2'!$C:$C,'[2]Tabla BG 2'!O:O,0)+V18</f>
        <v>0</v>
      </c>
      <c r="X18" s="57">
        <f>+_xlfn.XLOOKUP(TEXT($C18,"@"),'[2]Tabla BG 2'!$C:$C,'[2]Tabla BG 2'!P:P,0)+W18</f>
        <v>0</v>
      </c>
      <c r="Y18" s="30">
        <f>+_xlfn.XLOOKUP(TEXT($C18,"@"),'[2]Tabla BG 2'!$C:$C,'[2]Tabla BG 2'!R:R,0)+X18</f>
        <v>0</v>
      </c>
      <c r="Z18" s="31">
        <f>+_xlfn.XLOOKUP(TEXT($C18,"@"),'[2]Tabla BG 2'!$C:$C,'[2]Tabla BG 2'!S:S,0)+Y18</f>
        <v>0</v>
      </c>
      <c r="AA18" s="31">
        <f>+_xlfn.XLOOKUP(TEXT($C18,"@"),'[2]Tabla BG 2'!$C:$C,'[2]Tabla BG 2'!T:T,0)+Z18</f>
        <v>0</v>
      </c>
      <c r="AB18" s="31">
        <f>+_xlfn.XLOOKUP(TEXT($C18,"@"),'[2]Tabla BG 2'!$C:$C,'[2]Tabla BG 2'!U:U,0)+AA18</f>
        <v>0</v>
      </c>
      <c r="AC18" s="31">
        <f>+_xlfn.XLOOKUP(TEXT($C18,"@"),'[2]Tabla BG 2'!$C:$C,'[2]Tabla BG 2'!V:V,0)+AB18</f>
        <v>0</v>
      </c>
      <c r="AD18" s="31">
        <f>+_xlfn.XLOOKUP(TEXT($C18,"@"),'[2]Tabla BG 2'!$C:$C,'[2]Tabla BG 2'!W:W,0)+AC18</f>
        <v>0</v>
      </c>
      <c r="AE18" s="31">
        <f>+_xlfn.XLOOKUP(TEXT($C18,"@"),'[2]Tabla BG 2'!$C:$C,'[2]Tabla BG 2'!X:X,0)+AD18</f>
        <v>0</v>
      </c>
      <c r="AF18" s="31">
        <f>+_xlfn.XLOOKUP(TEXT($C18,"@"),'[2]Tabla BG 2'!$C:$C,'[2]Tabla BG 2'!Y:Y,0)+AE18</f>
        <v>0</v>
      </c>
      <c r="AG18" s="31">
        <f>+_xlfn.XLOOKUP(TEXT($C18,"@"),'[2]Tabla BG 2'!$C:$C,'[2]Tabla BG 2'!Z:Z,0)+AF18</f>
        <v>0</v>
      </c>
      <c r="AH18" s="31">
        <f>+_xlfn.XLOOKUP(TEXT($C18,"@"),'[2]Tabla BG 2'!$C:$C,'[2]Tabla BG 2'!AA:AA,0)+AG18</f>
        <v>0</v>
      </c>
      <c r="AI18" s="31">
        <f>+_xlfn.XLOOKUP(TEXT($C18,"@"),'[2]Tabla BG 2'!$C:$C,'[2]Tabla BG 2'!AB:AB,0)+AH18</f>
        <v>0</v>
      </c>
      <c r="AJ18" s="32">
        <f>+_xlfn.XLOOKUP(TEXT($C18,"@"),'[2]Tabla BG 2'!$C:$C,'[2]Tabla BG 2'!AC:AC,0)+AI18</f>
        <v>0</v>
      </c>
      <c r="AK18" s="56">
        <f>+_xlfn.XLOOKUP(TEXT($C18,"@"),'[2]Tabla BG 2'!$C:$C,'[2]Tabla BG 2'!AE:AE,0)+AJ18</f>
        <v>0</v>
      </c>
      <c r="AL18" s="57">
        <f>+_xlfn.XLOOKUP(TEXT($C18,"@"),'[2]Tabla BG 2'!$C:$C,'[2]Tabla BG 2'!AF:AF,0)+AK18</f>
        <v>0</v>
      </c>
      <c r="AM18" s="57">
        <f>+_xlfn.XLOOKUP(TEXT($C18,"@"),'[2]Tabla BG 2'!$C:$C,'[2]Tabla BG 2'!AG:AG,0)+AL18</f>
        <v>0</v>
      </c>
      <c r="AN18" s="57">
        <f>+_xlfn.XLOOKUP(TEXT($C18,"@"),'[2]Tabla BG 2'!$C:$C,'[2]Tabla BG 2'!AG:AG,0)+AM18</f>
        <v>0</v>
      </c>
      <c r="AO18" s="57">
        <f>+_xlfn.XLOOKUP(TEXT($C18,"@"),'[2]Tabla BG 2'!$C:$C,'[2]Tabla BG 2'!AH:AH,0)+AN18</f>
        <v>0</v>
      </c>
      <c r="AP18" s="57">
        <f>+_xlfn.XLOOKUP(TEXT($C18,"@"),'[2]Tabla BG 2'!$C:$C,'[2]Tabla BG 2'!AI:AI,0)+AO18</f>
        <v>0</v>
      </c>
      <c r="AQ18" s="57">
        <f>+_xlfn.XLOOKUP(TEXT($C18,"@"),'[2]Tabla BG 2'!$C:$C,'[2]Tabla BG 2'!AJ:AJ,0)+AP18</f>
        <v>0</v>
      </c>
      <c r="AR18" s="57">
        <f>+_xlfn.XLOOKUP(TEXT($C18,"@"),'[2]Tabla BG 2'!$C:$C,'[2]Tabla BG 2'!AK:AK,0)+AQ18</f>
        <v>0</v>
      </c>
      <c r="AS18" s="57">
        <f>+_xlfn.XLOOKUP(TEXT($C18,"@"),'[2]Tabla BG 2'!$C:$C,'[2]Tabla BG 2'!AL:AL,0)+AR18</f>
        <v>0</v>
      </c>
      <c r="AT18" s="57">
        <f>+_xlfn.XLOOKUP(TEXT($C18,"@"),'[2]Tabla BG 2'!$C:$C,'[2]Tabla BG 2'!AM:AM,0)+AS18</f>
        <v>0</v>
      </c>
      <c r="AU18" s="57">
        <f>+_xlfn.XLOOKUP(TEXT($C18,"@"),'[2]Tabla BG 2'!$C:$C,'[2]Tabla BG 2'!AN:AN,0)+AT18</f>
        <v>0</v>
      </c>
      <c r="AV18" s="58">
        <f>+_xlfn.XLOOKUP(TEXT($C18,"@"),'[2]Tabla BG 2'!$C:$C,'[2]Tabla BG 2'!AO:AO,0)+AU18</f>
        <v>0</v>
      </c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5"/>
      <c r="BJ18" s="55"/>
      <c r="BK18" s="55"/>
      <c r="BL18" s="55"/>
      <c r="BM18" s="55"/>
      <c r="BN18" s="55"/>
    </row>
    <row r="19" spans="1:66" x14ac:dyDescent="0.35">
      <c r="A19" s="48">
        <v>1465</v>
      </c>
      <c r="B19" s="2" t="str">
        <f t="shared" si="3"/>
        <v>COC1345</v>
      </c>
      <c r="C19" s="36">
        <v>1345</v>
      </c>
      <c r="D19" s="16"/>
      <c r="E19" s="49"/>
      <c r="F19" s="50"/>
      <c r="G19" s="50"/>
      <c r="H19" s="50"/>
      <c r="I19" s="50"/>
      <c r="J19" s="50"/>
      <c r="K19" s="50"/>
      <c r="L19" s="32">
        <f>+_xlfn.XLOOKUP(C19,'[1]4'!$C:$C,'[1]4'!$I:$I,0)</f>
        <v>0</v>
      </c>
      <c r="M19" s="56">
        <f>+_xlfn.XLOOKUP(TEXT($C19,"@"),'[2]Tabla BG 2'!$C:$C,'[2]Tabla BG 2'!E:E,0)+L19</f>
        <v>0</v>
      </c>
      <c r="N19" s="57">
        <f>+_xlfn.XLOOKUP(TEXT($C19,"@"),'[2]Tabla BG 2'!$C:$C,'[2]Tabla BG 2'!F:F,0)+M19</f>
        <v>0</v>
      </c>
      <c r="O19" s="57">
        <f>+_xlfn.XLOOKUP(TEXT($C19,"@"),'[2]Tabla BG 2'!$C:$C,'[2]Tabla BG 2'!G:G,0)+N19</f>
        <v>0</v>
      </c>
      <c r="P19" s="57">
        <f>+_xlfn.XLOOKUP(TEXT($C19,"@"),'[2]Tabla BG 2'!$C:$C,'[2]Tabla BG 2'!H:H,0)+O19</f>
        <v>0</v>
      </c>
      <c r="Q19" s="57">
        <f>+_xlfn.XLOOKUP(TEXT($C19,"@"),'[2]Tabla BG 2'!$C:$C,'[2]Tabla BG 2'!I:I,0)+P19</f>
        <v>0</v>
      </c>
      <c r="R19" s="57">
        <f>+_xlfn.XLOOKUP(TEXT($C19,"@"),'[2]Tabla BG 2'!$C:$C,'[2]Tabla BG 2'!J:J,0)+Q19</f>
        <v>0</v>
      </c>
      <c r="S19" s="57">
        <f>+_xlfn.XLOOKUP(TEXT($C19,"@"),'[2]Tabla BG 2'!$C:$C,'[2]Tabla BG 2'!K:K,0)+R19</f>
        <v>0</v>
      </c>
      <c r="T19" s="57">
        <f>+_xlfn.XLOOKUP(TEXT($C19,"@"),'[2]Tabla BG 2'!$C:$C,'[2]Tabla BG 2'!L:L,0)+S19</f>
        <v>0</v>
      </c>
      <c r="U19" s="57">
        <f>+_xlfn.XLOOKUP(TEXT($C19,"@"),'[2]Tabla BG 2'!$C:$C,'[2]Tabla BG 2'!M:M,0)+T19</f>
        <v>0</v>
      </c>
      <c r="V19" s="57">
        <f>+_xlfn.XLOOKUP(TEXT($C19,"@"),'[2]Tabla BG 2'!$C:$C,'[2]Tabla BG 2'!N:N,0)+U19</f>
        <v>0</v>
      </c>
      <c r="W19" s="57">
        <f>+_xlfn.XLOOKUP(TEXT($C19,"@"),'[2]Tabla BG 2'!$C:$C,'[2]Tabla BG 2'!O:O,0)+V19</f>
        <v>0</v>
      </c>
      <c r="X19" s="57">
        <f>+_xlfn.XLOOKUP(TEXT($C19,"@"),'[2]Tabla BG 2'!$C:$C,'[2]Tabla BG 2'!P:P,0)+W19</f>
        <v>0</v>
      </c>
      <c r="Y19" s="30">
        <f>+_xlfn.XLOOKUP(TEXT($C19,"@"),'[2]Tabla BG 2'!$C:$C,'[2]Tabla BG 2'!R:R,0)+X19</f>
        <v>0</v>
      </c>
      <c r="Z19" s="31">
        <f>+_xlfn.XLOOKUP(TEXT($C19,"@"),'[2]Tabla BG 2'!$C:$C,'[2]Tabla BG 2'!S:S,0)+Y19</f>
        <v>0</v>
      </c>
      <c r="AA19" s="31">
        <f>+_xlfn.XLOOKUP(TEXT($C19,"@"),'[2]Tabla BG 2'!$C:$C,'[2]Tabla BG 2'!T:T,0)+Z19</f>
        <v>0</v>
      </c>
      <c r="AB19" s="31">
        <f>+_xlfn.XLOOKUP(TEXT($C19,"@"),'[2]Tabla BG 2'!$C:$C,'[2]Tabla BG 2'!U:U,0)+AA19</f>
        <v>0</v>
      </c>
      <c r="AC19" s="31">
        <f>+_xlfn.XLOOKUP(TEXT($C19,"@"),'[2]Tabla BG 2'!$C:$C,'[2]Tabla BG 2'!V:V,0)+AB19</f>
        <v>0</v>
      </c>
      <c r="AD19" s="31">
        <f>+_xlfn.XLOOKUP(TEXT($C19,"@"),'[2]Tabla BG 2'!$C:$C,'[2]Tabla BG 2'!W:W,0)+AC19</f>
        <v>0</v>
      </c>
      <c r="AE19" s="31">
        <f>+_xlfn.XLOOKUP(TEXT($C19,"@"),'[2]Tabla BG 2'!$C:$C,'[2]Tabla BG 2'!X:X,0)+AD19</f>
        <v>0</v>
      </c>
      <c r="AF19" s="31">
        <f>+_xlfn.XLOOKUP(TEXT($C19,"@"),'[2]Tabla BG 2'!$C:$C,'[2]Tabla BG 2'!Y:Y,0)+AE19</f>
        <v>0</v>
      </c>
      <c r="AG19" s="31">
        <f>+_xlfn.XLOOKUP(TEXT($C19,"@"),'[2]Tabla BG 2'!$C:$C,'[2]Tabla BG 2'!Z:Z,0)+AF19</f>
        <v>0</v>
      </c>
      <c r="AH19" s="31">
        <f>+_xlfn.XLOOKUP(TEXT($C19,"@"),'[2]Tabla BG 2'!$C:$C,'[2]Tabla BG 2'!AA:AA,0)+AG19</f>
        <v>0</v>
      </c>
      <c r="AI19" s="31">
        <f>+_xlfn.XLOOKUP(TEXT($C19,"@"),'[2]Tabla BG 2'!$C:$C,'[2]Tabla BG 2'!AB:AB,0)+AH19</f>
        <v>0</v>
      </c>
      <c r="AJ19" s="32">
        <f>+_xlfn.XLOOKUP(TEXT($C19,"@"),'[2]Tabla BG 2'!$C:$C,'[2]Tabla BG 2'!AC:AC,0)+AI19</f>
        <v>0</v>
      </c>
      <c r="AK19" s="56">
        <f>+_xlfn.XLOOKUP(TEXT($C19,"@"),'[2]Tabla BG 2'!$C:$C,'[2]Tabla BG 2'!AE:AE,0)+AJ19</f>
        <v>0</v>
      </c>
      <c r="AL19" s="57">
        <f>+_xlfn.XLOOKUP(TEXT($C19,"@"),'[2]Tabla BG 2'!$C:$C,'[2]Tabla BG 2'!AF:AF,0)+AK19</f>
        <v>0</v>
      </c>
      <c r="AM19" s="57">
        <f>+_xlfn.XLOOKUP(TEXT($C19,"@"),'[2]Tabla BG 2'!$C:$C,'[2]Tabla BG 2'!AG:AG,0)+AL19</f>
        <v>0</v>
      </c>
      <c r="AN19" s="57">
        <f>+_xlfn.XLOOKUP(TEXT($C19,"@"),'[2]Tabla BG 2'!$C:$C,'[2]Tabla BG 2'!AG:AG,0)+AM19</f>
        <v>0</v>
      </c>
      <c r="AO19" s="57">
        <f>+_xlfn.XLOOKUP(TEXT($C19,"@"),'[2]Tabla BG 2'!$C:$C,'[2]Tabla BG 2'!AH:AH,0)+AN19</f>
        <v>0</v>
      </c>
      <c r="AP19" s="57">
        <f>+_xlfn.XLOOKUP(TEXT($C19,"@"),'[2]Tabla BG 2'!$C:$C,'[2]Tabla BG 2'!AI:AI,0)+AO19</f>
        <v>0</v>
      </c>
      <c r="AQ19" s="57">
        <f>+_xlfn.XLOOKUP(TEXT($C19,"@"),'[2]Tabla BG 2'!$C:$C,'[2]Tabla BG 2'!AJ:AJ,0)+AP19</f>
        <v>0</v>
      </c>
      <c r="AR19" s="57">
        <f>+_xlfn.XLOOKUP(TEXT($C19,"@"),'[2]Tabla BG 2'!$C:$C,'[2]Tabla BG 2'!AK:AK,0)+AQ19</f>
        <v>0</v>
      </c>
      <c r="AS19" s="57">
        <f>+_xlfn.XLOOKUP(TEXT($C19,"@"),'[2]Tabla BG 2'!$C:$C,'[2]Tabla BG 2'!AL:AL,0)+AR19</f>
        <v>0</v>
      </c>
      <c r="AT19" s="57">
        <f>+_xlfn.XLOOKUP(TEXT($C19,"@"),'[2]Tabla BG 2'!$C:$C,'[2]Tabla BG 2'!AM:AM,0)+AS19</f>
        <v>0</v>
      </c>
      <c r="AU19" s="57">
        <f>+_xlfn.XLOOKUP(TEXT($C19,"@"),'[2]Tabla BG 2'!$C:$C,'[2]Tabla BG 2'!AN:AN,0)+AT19</f>
        <v>0</v>
      </c>
      <c r="AV19" s="58">
        <f>+_xlfn.XLOOKUP(TEXT($C19,"@"),'[2]Tabla BG 2'!$C:$C,'[2]Tabla BG 2'!AO:AO,0)+AU19</f>
        <v>0</v>
      </c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5"/>
      <c r="BJ19" s="55"/>
      <c r="BK19" s="55"/>
      <c r="BL19" s="55"/>
      <c r="BM19" s="55"/>
      <c r="BN19" s="55"/>
    </row>
    <row r="20" spans="1:66" x14ac:dyDescent="0.35">
      <c r="A20" s="48">
        <v>1520</v>
      </c>
      <c r="B20" s="2" t="str">
        <f t="shared" si="3"/>
        <v>COC1355</v>
      </c>
      <c r="C20" s="36">
        <v>1355</v>
      </c>
      <c r="D20" s="16" t="s">
        <v>18</v>
      </c>
      <c r="E20" s="49"/>
      <c r="F20" s="50"/>
      <c r="G20" s="50"/>
      <c r="H20" s="50"/>
      <c r="I20" s="50"/>
      <c r="J20" s="50"/>
      <c r="K20" s="50"/>
      <c r="L20" s="32">
        <f>+_xlfn.XLOOKUP(C20,'[1]4'!$C:$C,'[1]4'!$I:$I,0)</f>
        <v>85606.261299999998</v>
      </c>
      <c r="M20" s="56">
        <f>+_xlfn.XLOOKUP(TEXT($C20,"@"),'[2]Tabla BG 2'!$C:$C,'[2]Tabla BG 2'!E:E,0)+L20</f>
        <v>101514.36523</v>
      </c>
      <c r="N20" s="57">
        <f>+_xlfn.XLOOKUP(TEXT($C20,"@"),'[2]Tabla BG 2'!$C:$C,'[2]Tabla BG 2'!F:F,0)+M20</f>
        <v>109792.19581999999</v>
      </c>
      <c r="O20" s="57">
        <f>+_xlfn.XLOOKUP(TEXT($C20,"@"),'[2]Tabla BG 2'!$C:$C,'[2]Tabla BG 2'!G:G,0)+N20</f>
        <v>123419.33635999999</v>
      </c>
      <c r="P20" s="57">
        <f>+_xlfn.XLOOKUP(TEXT($C20,"@"),'[2]Tabla BG 2'!$C:$C,'[2]Tabla BG 2'!H:H,0)+O20</f>
        <v>130106.33597999999</v>
      </c>
      <c r="Q20" s="57">
        <f>+_xlfn.XLOOKUP(TEXT($C20,"@"),'[2]Tabla BG 2'!$C:$C,'[2]Tabla BG 2'!I:I,0)+P20</f>
        <v>143603.17436999999</v>
      </c>
      <c r="R20" s="57">
        <f>+_xlfn.XLOOKUP(TEXT($C20,"@"),'[2]Tabla BG 2'!$C:$C,'[2]Tabla BG 2'!J:J,0)+Q20</f>
        <v>151630.59349999999</v>
      </c>
      <c r="S20" s="57">
        <f>+_xlfn.XLOOKUP(TEXT($C20,"@"),'[2]Tabla BG 2'!$C:$C,'[2]Tabla BG 2'!K:K,0)+R20</f>
        <v>166320.40396</v>
      </c>
      <c r="T20" s="57">
        <f>+_xlfn.XLOOKUP(TEXT($C20,"@"),'[2]Tabla BG 2'!$C:$C,'[2]Tabla BG 2'!L:L,0)+S20</f>
        <v>177129.53185</v>
      </c>
      <c r="U20" s="57">
        <f>+_xlfn.XLOOKUP(TEXT($C20,"@"),'[2]Tabla BG 2'!$C:$C,'[2]Tabla BG 2'!M:M,0)+T20</f>
        <v>192646.17027999999</v>
      </c>
      <c r="V20" s="57">
        <f>+_xlfn.XLOOKUP(TEXT($C20,"@"),'[2]Tabla BG 2'!$C:$C,'[2]Tabla BG 2'!N:N,0)+U20</f>
        <v>202930.44052</v>
      </c>
      <c r="W20" s="57">
        <f>+_xlfn.XLOOKUP(TEXT($C20,"@"),'[2]Tabla BG 2'!$C:$C,'[2]Tabla BG 2'!O:O,0)+V20</f>
        <v>221240.54269999999</v>
      </c>
      <c r="X20" s="57">
        <f>+_xlfn.XLOOKUP(TEXT($C20,"@"),'[2]Tabla BG 2'!$C:$C,'[2]Tabla BG 2'!P:P,0)+W20</f>
        <v>87762.817159999977</v>
      </c>
      <c r="Y20" s="30">
        <f>+_xlfn.XLOOKUP(TEXT($C20,"@"),'[2]Tabla BG 2'!$C:$C,'[2]Tabla BG 2'!R:R,0)+X20</f>
        <v>110292.35529999998</v>
      </c>
      <c r="Z20" s="31">
        <f>+_xlfn.XLOOKUP(TEXT($C20,"@"),'[2]Tabla BG 2'!$C:$C,'[2]Tabla BG 2'!S:S,0)+Y20</f>
        <v>121327.29049999999</v>
      </c>
      <c r="AA20" s="31">
        <f>+_xlfn.XLOOKUP(TEXT($C20,"@"),'[2]Tabla BG 2'!$C:$C,'[2]Tabla BG 2'!T:T,0)+Z20</f>
        <v>137698.23012999998</v>
      </c>
      <c r="AB20" s="31">
        <f>+_xlfn.XLOOKUP(TEXT($C20,"@"),'[2]Tabla BG 2'!$C:$C,'[2]Tabla BG 2'!U:U,0)+AA20</f>
        <v>149602.59052999999</v>
      </c>
      <c r="AC20" s="31">
        <f>+_xlfn.XLOOKUP(TEXT($C20,"@"),'[2]Tabla BG 2'!$C:$C,'[2]Tabla BG 2'!V:V,0)+AB20</f>
        <v>170722.56863999998</v>
      </c>
      <c r="AD20" s="31">
        <f>+_xlfn.XLOOKUP(TEXT($C20,"@"),'[2]Tabla BG 2'!$C:$C,'[2]Tabla BG 2'!W:W,0)+AC20</f>
        <v>185153.60434999998</v>
      </c>
      <c r="AE20" s="31">
        <f>+_xlfn.XLOOKUP(TEXT($C20,"@"),'[2]Tabla BG 2'!$C:$C,'[2]Tabla BG 2'!X:X,0)+AD20</f>
        <v>211688.10017999998</v>
      </c>
      <c r="AF20" s="31">
        <f>+_xlfn.XLOOKUP(TEXT($C20,"@"),'[2]Tabla BG 2'!$C:$C,'[2]Tabla BG 2'!Y:Y,0)+AE20</f>
        <v>230750.23420999997</v>
      </c>
      <c r="AG20" s="31">
        <f>+_xlfn.XLOOKUP(TEXT($C20,"@"),'[2]Tabla BG 2'!$C:$C,'[2]Tabla BG 2'!Z:Z,0)+AF20</f>
        <v>255535.70117999997</v>
      </c>
      <c r="AH20" s="31">
        <f>+_xlfn.XLOOKUP(TEXT($C20,"@"),'[2]Tabla BG 2'!$C:$C,'[2]Tabla BG 2'!AA:AA,0)+AG20</f>
        <v>281284.07707999996</v>
      </c>
      <c r="AI20" s="31">
        <f>+_xlfn.XLOOKUP(TEXT($C20,"@"),'[2]Tabla BG 2'!$C:$C,'[2]Tabla BG 2'!AB:AB,0)+AH20</f>
        <v>309985.06138999993</v>
      </c>
      <c r="AJ20" s="32">
        <f>+_xlfn.XLOOKUP(TEXT($C20,"@"),'[2]Tabla BG 2'!$C:$C,'[2]Tabla BG 2'!AC:AC,0)+AI20</f>
        <v>65558.802399999928</v>
      </c>
      <c r="AK20" s="56">
        <f>+_xlfn.XLOOKUP(TEXT($C20,"@"),'[2]Tabla BG 2'!$C:$C,'[2]Tabla BG 2'!AE:AE,0)+AJ20</f>
        <v>92890.513499999928</v>
      </c>
      <c r="AL20" s="57">
        <f>+_xlfn.XLOOKUP(TEXT($C20,"@"),'[2]Tabla BG 2'!$C:$C,'[2]Tabla BG 2'!AF:AF,0)+AK20</f>
        <v>109842.72795999993</v>
      </c>
      <c r="AM20" s="57">
        <f>+_xlfn.XLOOKUP(TEXT($C20,"@"),'[2]Tabla BG 2'!$C:$C,'[2]Tabla BG 2'!AG:AG,0)+AL20</f>
        <v>141330.15941999992</v>
      </c>
      <c r="AN20" s="57">
        <f>+_xlfn.XLOOKUP(TEXT($C20,"@"),'[2]Tabla BG 2'!$C:$C,'[2]Tabla BG 2'!AG:AG,0)+AM20</f>
        <v>172817.59087999992</v>
      </c>
      <c r="AO20" s="57">
        <f>+_xlfn.XLOOKUP(TEXT($C20,"@"),'[2]Tabla BG 2'!$C:$C,'[2]Tabla BG 2'!AH:AH,0)+AN20</f>
        <v>248588.94789999991</v>
      </c>
      <c r="AP20" s="57">
        <f>+_xlfn.XLOOKUP(TEXT($C20,"@"),'[2]Tabla BG 2'!$C:$C,'[2]Tabla BG 2'!AI:AI,0)+AO20</f>
        <v>304312.84601999994</v>
      </c>
      <c r="AQ20" s="57">
        <f>+_xlfn.XLOOKUP(TEXT($C20,"@"),'[2]Tabla BG 2'!$C:$C,'[2]Tabla BG 2'!AJ:AJ,0)+AP20</f>
        <v>304312.84601999994</v>
      </c>
      <c r="AR20" s="57">
        <f>+_xlfn.XLOOKUP(TEXT($C20,"@"),'[2]Tabla BG 2'!$C:$C,'[2]Tabla BG 2'!AK:AK,0)+AQ20</f>
        <v>304312.84601999994</v>
      </c>
      <c r="AS20" s="57">
        <f>+_xlfn.XLOOKUP(TEXT($C20,"@"),'[2]Tabla BG 2'!$C:$C,'[2]Tabla BG 2'!AL:AL,0)+AR20</f>
        <v>304312.84601999994</v>
      </c>
      <c r="AT20" s="57">
        <f>+_xlfn.XLOOKUP(TEXT($C20,"@"),'[2]Tabla BG 2'!$C:$C,'[2]Tabla BG 2'!AM:AM,0)+AS20</f>
        <v>304312.84601999994</v>
      </c>
      <c r="AU20" s="57">
        <f>+_xlfn.XLOOKUP(TEXT($C20,"@"),'[2]Tabla BG 2'!$C:$C,'[2]Tabla BG 2'!AN:AN,0)+AT20</f>
        <v>304312.84601999994</v>
      </c>
      <c r="AV20" s="58">
        <f>+_xlfn.XLOOKUP(TEXT($C20,"@"),'[2]Tabla BG 2'!$C:$C,'[2]Tabla BG 2'!AO:AO,0)+AU20</f>
        <v>304312.84601999994</v>
      </c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5"/>
      <c r="BJ20" s="55"/>
      <c r="BK20" s="55"/>
      <c r="BL20" s="55"/>
      <c r="BM20" s="55" t="s">
        <v>19</v>
      </c>
      <c r="BN20" s="62" t="e">
        <f>+#REF!</f>
        <v>#REF!</v>
      </c>
    </row>
    <row r="21" spans="1:66" x14ac:dyDescent="0.35">
      <c r="A21" s="48">
        <v>1524</v>
      </c>
      <c r="B21" s="2" t="str">
        <f t="shared" si="3"/>
        <v>COC1365</v>
      </c>
      <c r="C21" s="36">
        <v>1365</v>
      </c>
      <c r="D21" s="16" t="s">
        <v>20</v>
      </c>
      <c r="E21" s="49"/>
      <c r="F21" s="50"/>
      <c r="G21" s="50"/>
      <c r="H21" s="50"/>
      <c r="I21" s="50"/>
      <c r="J21" s="50"/>
      <c r="K21" s="50"/>
      <c r="L21" s="32">
        <f>+_xlfn.XLOOKUP(C21,'[1]4'!$C:$C,'[1]4'!$I:$I,0)</f>
        <v>4132</v>
      </c>
      <c r="M21" s="56">
        <f>+_xlfn.XLOOKUP(TEXT($C21,"@"),'[2]Tabla BG 2'!$C:$C,'[2]Tabla BG 2'!E:E,0)+L21</f>
        <v>3981.22</v>
      </c>
      <c r="N21" s="57">
        <f>+_xlfn.XLOOKUP(TEXT($C21,"@"),'[2]Tabla BG 2'!$C:$C,'[2]Tabla BG 2'!F:F,0)+M21</f>
        <v>3627</v>
      </c>
      <c r="O21" s="57">
        <f>+_xlfn.XLOOKUP(TEXT($C21,"@"),'[2]Tabla BG 2'!$C:$C,'[2]Tabla BG 2'!G:G,0)+N21</f>
        <v>3251.614</v>
      </c>
      <c r="P21" s="57">
        <f>+_xlfn.XLOOKUP(TEXT($C21,"@"),'[2]Tabla BG 2'!$C:$C,'[2]Tabla BG 2'!H:H,0)+O21</f>
        <v>2371.5500000000002</v>
      </c>
      <c r="Q21" s="57">
        <f>+_xlfn.XLOOKUP(TEXT($C21,"@"),'[2]Tabla BG 2'!$C:$C,'[2]Tabla BG 2'!I:I,0)+P21</f>
        <v>1128.0000000000002</v>
      </c>
      <c r="R21" s="57">
        <f>+_xlfn.XLOOKUP(TEXT($C21,"@"),'[2]Tabla BG 2'!$C:$C,'[2]Tabla BG 2'!J:J,0)+Q21</f>
        <v>374.66600000000028</v>
      </c>
      <c r="S21" s="57">
        <f>+_xlfn.XLOOKUP(TEXT($C21,"@"),'[2]Tabla BG 2'!$C:$C,'[2]Tabla BG 2'!K:K,0)+R21</f>
        <v>5741.5990000000002</v>
      </c>
      <c r="T21" s="57">
        <f>+_xlfn.XLOOKUP(TEXT($C21,"@"),'[2]Tabla BG 2'!$C:$C,'[2]Tabla BG 2'!L:L,0)+S21</f>
        <v>4470.0330000000004</v>
      </c>
      <c r="U21" s="57">
        <f>+_xlfn.XLOOKUP(TEXT($C21,"@"),'[2]Tabla BG 2'!$C:$C,'[2]Tabla BG 2'!M:M,0)+T21</f>
        <v>3410.6670000000004</v>
      </c>
      <c r="V21" s="57">
        <f>+_xlfn.XLOOKUP(TEXT($C21,"@"),'[2]Tabla BG 2'!$C:$C,'[2]Tabla BG 2'!N:N,0)+U21</f>
        <v>3151.2920000000004</v>
      </c>
      <c r="W21" s="57">
        <f>+_xlfn.XLOOKUP(TEXT($C21,"@"),'[2]Tabla BG 2'!$C:$C,'[2]Tabla BG 2'!O:O,0)+V21</f>
        <v>2541.9260000000004</v>
      </c>
      <c r="X21" s="57">
        <f>+_xlfn.XLOOKUP(TEXT($C21,"@"),'[2]Tabla BG 2'!$C:$C,'[2]Tabla BG 2'!P:P,0)+W21</f>
        <v>3025.4550000000004</v>
      </c>
      <c r="Y21" s="30">
        <f>+_xlfn.XLOOKUP(TEXT($C21,"@"),'[2]Tabla BG 2'!$C:$C,'[2]Tabla BG 2'!R:R,0)+X21</f>
        <v>3566.3230000000003</v>
      </c>
      <c r="Z21" s="31">
        <f>+_xlfn.XLOOKUP(TEXT($C21,"@"),'[2]Tabla BG 2'!$C:$C,'[2]Tabla BG 2'!S:S,0)+Y21</f>
        <v>2771.6680000000006</v>
      </c>
      <c r="AA21" s="31">
        <f>+_xlfn.XLOOKUP(TEXT($C21,"@"),'[2]Tabla BG 2'!$C:$C,'[2]Tabla BG 2'!T:T,0)+Z21</f>
        <v>2990.5750000000007</v>
      </c>
      <c r="AB21" s="31">
        <f>+_xlfn.XLOOKUP(TEXT($C21,"@"),'[2]Tabla BG 2'!$C:$C,'[2]Tabla BG 2'!U:U,0)+AA21</f>
        <v>2874.6040000000007</v>
      </c>
      <c r="AC21" s="31">
        <f>+_xlfn.XLOOKUP(TEXT($C21,"@"),'[2]Tabla BG 2'!$C:$C,'[2]Tabla BG 2'!V:V,0)+AB21</f>
        <v>3445.4370000000008</v>
      </c>
      <c r="AD21" s="31">
        <f>+_xlfn.XLOOKUP(TEXT($C21,"@"),'[2]Tabla BG 2'!$C:$C,'[2]Tabla BG 2'!W:W,0)+AC21</f>
        <v>5701.6630000000005</v>
      </c>
      <c r="AE21" s="31">
        <f>+_xlfn.XLOOKUP(TEXT($C21,"@"),'[2]Tabla BG 2'!$C:$C,'[2]Tabla BG 2'!X:X,0)+AD21</f>
        <v>4553.2090000000007</v>
      </c>
      <c r="AF21" s="31">
        <f>+_xlfn.XLOOKUP(TEXT($C21,"@"),'[2]Tabla BG 2'!$C:$C,'[2]Tabla BG 2'!Y:Y,0)+AE21</f>
        <v>4052.036000000001</v>
      </c>
      <c r="AG21" s="31">
        <f>+_xlfn.XLOOKUP(TEXT($C21,"@"),'[2]Tabla BG 2'!$C:$C,'[2]Tabla BG 2'!Z:Z,0)+AF21</f>
        <v>3183.804000000001</v>
      </c>
      <c r="AH21" s="31">
        <f>+_xlfn.XLOOKUP(TEXT($C21,"@"),'[2]Tabla BG 2'!$C:$C,'[2]Tabla BG 2'!AA:AA,0)+AG21</f>
        <v>2358.9160000000011</v>
      </c>
      <c r="AI21" s="31">
        <f>+_xlfn.XLOOKUP(TEXT($C21,"@"),'[2]Tabla BG 2'!$C:$C,'[2]Tabla BG 2'!AB:AB,0)+AH21</f>
        <v>1886.0470000000009</v>
      </c>
      <c r="AJ21" s="32">
        <f>+_xlfn.XLOOKUP(TEXT($C21,"@"),'[2]Tabla BG 2'!$C:$C,'[2]Tabla BG 2'!AC:AC,0)+AI21</f>
        <v>2566.324000000001</v>
      </c>
      <c r="AK21" s="56">
        <f>+_xlfn.XLOOKUP(TEXT($C21,"@"),'[2]Tabla BG 2'!$C:$C,'[2]Tabla BG 2'!AE:AE,0)+AJ21</f>
        <v>3358.545000000001</v>
      </c>
      <c r="AL21" s="57">
        <f>+_xlfn.XLOOKUP(TEXT($C21,"@"),'[2]Tabla BG 2'!$C:$C,'[2]Tabla BG 2'!AF:AF,0)+AK21</f>
        <v>3313.6130000000012</v>
      </c>
      <c r="AM21" s="57">
        <f>+_xlfn.XLOOKUP(TEXT($C21,"@"),'[2]Tabla BG 2'!$C:$C,'[2]Tabla BG 2'!AG:AG,0)+AL21</f>
        <v>3138.0780000000013</v>
      </c>
      <c r="AN21" s="57">
        <f>+_xlfn.XLOOKUP(TEXT($C21,"@"),'[2]Tabla BG 2'!$C:$C,'[2]Tabla BG 2'!AG:AG,0)+AM21</f>
        <v>2962.5430000000015</v>
      </c>
      <c r="AO21" s="57">
        <f>+_xlfn.XLOOKUP(TEXT($C21,"@"),'[2]Tabla BG 2'!$C:$C,'[2]Tabla BG 2'!AH:AH,0)+AN21</f>
        <v>3534.2970000000014</v>
      </c>
      <c r="AP21" s="57">
        <f>+_xlfn.XLOOKUP(TEXT($C21,"@"),'[2]Tabla BG 2'!$C:$C,'[2]Tabla BG 2'!AI:AI,0)+AO21</f>
        <v>2540.3750000000018</v>
      </c>
      <c r="AQ21" s="57">
        <f>+_xlfn.XLOOKUP(TEXT($C21,"@"),'[2]Tabla BG 2'!$C:$C,'[2]Tabla BG 2'!AJ:AJ,0)+AP21</f>
        <v>2540.3750000000018</v>
      </c>
      <c r="AR21" s="57">
        <f>+_xlfn.XLOOKUP(TEXT($C21,"@"),'[2]Tabla BG 2'!$C:$C,'[2]Tabla BG 2'!AK:AK,0)+AQ21</f>
        <v>2540.3750000000018</v>
      </c>
      <c r="AS21" s="57">
        <f>+_xlfn.XLOOKUP(TEXT($C21,"@"),'[2]Tabla BG 2'!$C:$C,'[2]Tabla BG 2'!AL:AL,0)+AR21</f>
        <v>2540.3750000000018</v>
      </c>
      <c r="AT21" s="57">
        <f>+_xlfn.XLOOKUP(TEXT($C21,"@"),'[2]Tabla BG 2'!$C:$C,'[2]Tabla BG 2'!AM:AM,0)+AS21</f>
        <v>2540.3750000000018</v>
      </c>
      <c r="AU21" s="57">
        <f>+_xlfn.XLOOKUP(TEXT($C21,"@"),'[2]Tabla BG 2'!$C:$C,'[2]Tabla BG 2'!AN:AN,0)+AT21</f>
        <v>2540.3750000000018</v>
      </c>
      <c r="AV21" s="58">
        <f>+_xlfn.XLOOKUP(TEXT($C21,"@"),'[2]Tabla BG 2'!$C:$C,'[2]Tabla BG 2'!AO:AO,0)+AU21</f>
        <v>2540.3750000000018</v>
      </c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5"/>
      <c r="BJ21" s="55"/>
      <c r="BK21" s="55"/>
      <c r="BL21" s="55"/>
      <c r="BM21" s="55"/>
      <c r="BN21" s="63"/>
    </row>
    <row r="22" spans="1:66" x14ac:dyDescent="0.35">
      <c r="A22" s="48">
        <v>1528</v>
      </c>
      <c r="B22" s="2" t="str">
        <f t="shared" si="3"/>
        <v>COC1370</v>
      </c>
      <c r="C22" s="36">
        <v>1370</v>
      </c>
      <c r="D22" s="16"/>
      <c r="E22" s="49"/>
      <c r="F22" s="50"/>
      <c r="G22" s="50"/>
      <c r="H22" s="50"/>
      <c r="I22" s="50"/>
      <c r="J22" s="50"/>
      <c r="K22" s="50"/>
      <c r="L22" s="32">
        <f>+_xlfn.XLOOKUP(C22,'[1]4'!$C:$C,'[1]4'!$I:$I,0)</f>
        <v>0</v>
      </c>
      <c r="M22" s="56">
        <f>+_xlfn.XLOOKUP(TEXT($C22,"@"),'[2]Tabla BG 2'!$C:$C,'[2]Tabla BG 2'!E:E,0)+L22</f>
        <v>0</v>
      </c>
      <c r="N22" s="57">
        <f>+_xlfn.XLOOKUP(TEXT($C22,"@"),'[2]Tabla BG 2'!$C:$C,'[2]Tabla BG 2'!F:F,0)+M22</f>
        <v>0</v>
      </c>
      <c r="O22" s="57">
        <f>+_xlfn.XLOOKUP(TEXT($C22,"@"),'[2]Tabla BG 2'!$C:$C,'[2]Tabla BG 2'!G:G,0)+N22</f>
        <v>0</v>
      </c>
      <c r="P22" s="57">
        <f>+_xlfn.XLOOKUP(TEXT($C22,"@"),'[2]Tabla BG 2'!$C:$C,'[2]Tabla BG 2'!H:H,0)+O22</f>
        <v>0</v>
      </c>
      <c r="Q22" s="57">
        <f>+_xlfn.XLOOKUP(TEXT($C22,"@"),'[2]Tabla BG 2'!$C:$C,'[2]Tabla BG 2'!I:I,0)+P22</f>
        <v>0</v>
      </c>
      <c r="R22" s="57">
        <f>+_xlfn.XLOOKUP(TEXT($C22,"@"),'[2]Tabla BG 2'!$C:$C,'[2]Tabla BG 2'!J:J,0)+Q22</f>
        <v>0</v>
      </c>
      <c r="S22" s="57">
        <f>+_xlfn.XLOOKUP(TEXT($C22,"@"),'[2]Tabla BG 2'!$C:$C,'[2]Tabla BG 2'!K:K,0)+R22</f>
        <v>0</v>
      </c>
      <c r="T22" s="57">
        <f>+_xlfn.XLOOKUP(TEXT($C22,"@"),'[2]Tabla BG 2'!$C:$C,'[2]Tabla BG 2'!L:L,0)+S22</f>
        <v>0</v>
      </c>
      <c r="U22" s="57">
        <f>+_xlfn.XLOOKUP(TEXT($C22,"@"),'[2]Tabla BG 2'!$C:$C,'[2]Tabla BG 2'!M:M,0)+T22</f>
        <v>0</v>
      </c>
      <c r="V22" s="57">
        <f>+_xlfn.XLOOKUP(TEXT($C22,"@"),'[2]Tabla BG 2'!$C:$C,'[2]Tabla BG 2'!N:N,0)+U22</f>
        <v>0</v>
      </c>
      <c r="W22" s="57">
        <f>+_xlfn.XLOOKUP(TEXT($C22,"@"),'[2]Tabla BG 2'!$C:$C,'[2]Tabla BG 2'!O:O,0)+V22</f>
        <v>0</v>
      </c>
      <c r="X22" s="57">
        <f>+_xlfn.XLOOKUP(TEXT($C22,"@"),'[2]Tabla BG 2'!$C:$C,'[2]Tabla BG 2'!P:P,0)+W22</f>
        <v>0</v>
      </c>
      <c r="Y22" s="30">
        <f>+_xlfn.XLOOKUP(TEXT($C22,"@"),'[2]Tabla BG 2'!$C:$C,'[2]Tabla BG 2'!R:R,0)+X22</f>
        <v>0</v>
      </c>
      <c r="Z22" s="31">
        <f>+_xlfn.XLOOKUP(TEXT($C22,"@"),'[2]Tabla BG 2'!$C:$C,'[2]Tabla BG 2'!S:S,0)+Y22</f>
        <v>0</v>
      </c>
      <c r="AA22" s="31">
        <f>+_xlfn.XLOOKUP(TEXT($C22,"@"),'[2]Tabla BG 2'!$C:$C,'[2]Tabla BG 2'!T:T,0)+Z22</f>
        <v>0</v>
      </c>
      <c r="AB22" s="31">
        <f>+_xlfn.XLOOKUP(TEXT($C22,"@"),'[2]Tabla BG 2'!$C:$C,'[2]Tabla BG 2'!U:U,0)+AA22</f>
        <v>0</v>
      </c>
      <c r="AC22" s="31">
        <f>+_xlfn.XLOOKUP(TEXT($C22,"@"),'[2]Tabla BG 2'!$C:$C,'[2]Tabla BG 2'!V:V,0)+AB22</f>
        <v>0</v>
      </c>
      <c r="AD22" s="31">
        <f>+_xlfn.XLOOKUP(TEXT($C22,"@"),'[2]Tabla BG 2'!$C:$C,'[2]Tabla BG 2'!W:W,0)+AC22</f>
        <v>0</v>
      </c>
      <c r="AE22" s="31">
        <f>+_xlfn.XLOOKUP(TEXT($C22,"@"),'[2]Tabla BG 2'!$C:$C,'[2]Tabla BG 2'!X:X,0)+AD22</f>
        <v>0</v>
      </c>
      <c r="AF22" s="31">
        <f>+_xlfn.XLOOKUP(TEXT($C22,"@"),'[2]Tabla BG 2'!$C:$C,'[2]Tabla BG 2'!Y:Y,0)+AE22</f>
        <v>0</v>
      </c>
      <c r="AG22" s="31">
        <f>+_xlfn.XLOOKUP(TEXT($C22,"@"),'[2]Tabla BG 2'!$C:$C,'[2]Tabla BG 2'!Z:Z,0)+AF22</f>
        <v>0</v>
      </c>
      <c r="AH22" s="31">
        <f>+_xlfn.XLOOKUP(TEXT($C22,"@"),'[2]Tabla BG 2'!$C:$C,'[2]Tabla BG 2'!AA:AA,0)+AG22</f>
        <v>0</v>
      </c>
      <c r="AI22" s="31">
        <f>+_xlfn.XLOOKUP(TEXT($C22,"@"),'[2]Tabla BG 2'!$C:$C,'[2]Tabla BG 2'!AB:AB,0)+AH22</f>
        <v>0</v>
      </c>
      <c r="AJ22" s="32">
        <f>+_xlfn.XLOOKUP(TEXT($C22,"@"),'[2]Tabla BG 2'!$C:$C,'[2]Tabla BG 2'!AC:AC,0)+AI22</f>
        <v>0</v>
      </c>
      <c r="AK22" s="56">
        <f>+_xlfn.XLOOKUP(TEXT($C22,"@"),'[2]Tabla BG 2'!$C:$C,'[2]Tabla BG 2'!AE:AE,0)+AJ22</f>
        <v>0</v>
      </c>
      <c r="AL22" s="57">
        <f>+_xlfn.XLOOKUP(TEXT($C22,"@"),'[2]Tabla BG 2'!$C:$C,'[2]Tabla BG 2'!AF:AF,0)+AK22</f>
        <v>0</v>
      </c>
      <c r="AM22" s="57">
        <f>+_xlfn.XLOOKUP(TEXT($C22,"@"),'[2]Tabla BG 2'!$C:$C,'[2]Tabla BG 2'!AG:AG,0)+AL22</f>
        <v>0</v>
      </c>
      <c r="AN22" s="57">
        <f>+_xlfn.XLOOKUP(TEXT($C22,"@"),'[2]Tabla BG 2'!$C:$C,'[2]Tabla BG 2'!AG:AG,0)+AM22</f>
        <v>0</v>
      </c>
      <c r="AO22" s="57">
        <f>+_xlfn.XLOOKUP(TEXT($C22,"@"),'[2]Tabla BG 2'!$C:$C,'[2]Tabla BG 2'!AH:AH,0)+AN22</f>
        <v>0</v>
      </c>
      <c r="AP22" s="57">
        <f>+_xlfn.XLOOKUP(TEXT($C22,"@"),'[2]Tabla BG 2'!$C:$C,'[2]Tabla BG 2'!AI:AI,0)+AO22</f>
        <v>0</v>
      </c>
      <c r="AQ22" s="57">
        <f>+_xlfn.XLOOKUP(TEXT($C22,"@"),'[2]Tabla BG 2'!$C:$C,'[2]Tabla BG 2'!AJ:AJ,0)+AP22</f>
        <v>0</v>
      </c>
      <c r="AR22" s="57">
        <f>+_xlfn.XLOOKUP(TEXT($C22,"@"),'[2]Tabla BG 2'!$C:$C,'[2]Tabla BG 2'!AK:AK,0)+AQ22</f>
        <v>0</v>
      </c>
      <c r="AS22" s="57">
        <f>+_xlfn.XLOOKUP(TEXT($C22,"@"),'[2]Tabla BG 2'!$C:$C,'[2]Tabla BG 2'!AL:AL,0)+AR22</f>
        <v>0</v>
      </c>
      <c r="AT22" s="57">
        <f>+_xlfn.XLOOKUP(TEXT($C22,"@"),'[2]Tabla BG 2'!$C:$C,'[2]Tabla BG 2'!AM:AM,0)+AS22</f>
        <v>0</v>
      </c>
      <c r="AU22" s="57">
        <f>+_xlfn.XLOOKUP(TEXT($C22,"@"),'[2]Tabla BG 2'!$C:$C,'[2]Tabla BG 2'!AN:AN,0)+AT22</f>
        <v>0</v>
      </c>
      <c r="AV22" s="58">
        <f>+_xlfn.XLOOKUP(TEXT($C22,"@"),'[2]Tabla BG 2'!$C:$C,'[2]Tabla BG 2'!AO:AO,0)+AU22</f>
        <v>0</v>
      </c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5"/>
      <c r="BJ22" s="55"/>
      <c r="BK22" s="55"/>
      <c r="BL22" s="55"/>
      <c r="BM22" s="55"/>
      <c r="BN22" s="63"/>
    </row>
    <row r="23" spans="1:66" x14ac:dyDescent="0.35">
      <c r="A23" s="48">
        <v>1532</v>
      </c>
      <c r="B23" s="2" t="str">
        <f t="shared" si="3"/>
        <v>COC1380</v>
      </c>
      <c r="C23" s="36">
        <v>1380</v>
      </c>
      <c r="D23" s="16" t="s">
        <v>21</v>
      </c>
      <c r="E23" s="49"/>
      <c r="F23" s="50"/>
      <c r="G23" s="50"/>
      <c r="H23" s="50"/>
      <c r="I23" s="50"/>
      <c r="J23" s="50"/>
      <c r="K23" s="50"/>
      <c r="L23" s="32">
        <f>+_xlfn.XLOOKUP(C23,'[1]4'!$C:$C,'[1]4'!$I:$I,0)</f>
        <v>9975.7720200000003</v>
      </c>
      <c r="M23" s="56">
        <f>+_xlfn.XLOOKUP(TEXT($C23,"@"),'[2]Tabla BG 2'!$C:$C,'[2]Tabla BG 2'!E:E,0)+L23</f>
        <v>10647.861690000002</v>
      </c>
      <c r="N23" s="57">
        <f>+_xlfn.XLOOKUP(TEXT($C23,"@"),'[2]Tabla BG 2'!$C:$C,'[2]Tabla BG 2'!F:F,0)+M23</f>
        <v>9863.0938200000019</v>
      </c>
      <c r="O23" s="57">
        <f>+_xlfn.XLOOKUP(TEXT($C23,"@"),'[2]Tabla BG 2'!$C:$C,'[2]Tabla BG 2'!G:G,0)+N23</f>
        <v>9863.0938200000019</v>
      </c>
      <c r="P23" s="57">
        <f>+_xlfn.XLOOKUP(TEXT($C23,"@"),'[2]Tabla BG 2'!$C:$C,'[2]Tabla BG 2'!H:H,0)+O23</f>
        <v>9863.0938200000019</v>
      </c>
      <c r="Q23" s="57">
        <f>+_xlfn.XLOOKUP(TEXT($C23,"@"),'[2]Tabla BG 2'!$C:$C,'[2]Tabla BG 2'!I:I,0)+P23</f>
        <v>9863.0462500000012</v>
      </c>
      <c r="R23" s="57">
        <f>+_xlfn.XLOOKUP(TEXT($C23,"@"),'[2]Tabla BG 2'!$C:$C,'[2]Tabla BG 2'!J:J,0)+Q23</f>
        <v>11242.066180000002</v>
      </c>
      <c r="S23" s="57">
        <f>+_xlfn.XLOOKUP(TEXT($C23,"@"),'[2]Tabla BG 2'!$C:$C,'[2]Tabla BG 2'!K:K,0)+R23</f>
        <v>7576.3508200000015</v>
      </c>
      <c r="T23" s="57">
        <f>+_xlfn.XLOOKUP(TEXT($C23,"@"),'[2]Tabla BG 2'!$C:$C,'[2]Tabla BG 2'!L:L,0)+S23</f>
        <v>7522.9567800000023</v>
      </c>
      <c r="U23" s="57">
        <f>+_xlfn.XLOOKUP(TEXT($C23,"@"),'[2]Tabla BG 2'!$C:$C,'[2]Tabla BG 2'!M:M,0)+T23</f>
        <v>2235.5640000000021</v>
      </c>
      <c r="V23" s="57">
        <f>+_xlfn.XLOOKUP(TEXT($C23,"@"),'[2]Tabla BG 2'!$C:$C,'[2]Tabla BG 2'!N:N,0)+U23</f>
        <v>2459.6282800000026</v>
      </c>
      <c r="W23" s="57">
        <f>+_xlfn.XLOOKUP(TEXT($C23,"@"),'[2]Tabla BG 2'!$C:$C,'[2]Tabla BG 2'!O:O,0)+V23</f>
        <v>3936.5481200000022</v>
      </c>
      <c r="X23" s="57">
        <f>+_xlfn.XLOOKUP(TEXT($C23,"@"),'[2]Tabla BG 2'!$C:$C,'[2]Tabla BG 2'!P:P,0)+W23</f>
        <v>14054.357150000007</v>
      </c>
      <c r="Y23" s="30">
        <f>+_xlfn.XLOOKUP(TEXT($C23,"@"),'[2]Tabla BG 2'!$C:$C,'[2]Tabla BG 2'!R:R,0)+X23</f>
        <v>2784.0473000000056</v>
      </c>
      <c r="Z23" s="31">
        <f>+_xlfn.XLOOKUP(TEXT($C23,"@"),'[2]Tabla BG 2'!$C:$C,'[2]Tabla BG 2'!S:S,0)+Y23</f>
        <v>2253.8003000000062</v>
      </c>
      <c r="AA23" s="31">
        <f>+_xlfn.XLOOKUP(TEXT($C23,"@"),'[2]Tabla BG 2'!$C:$C,'[2]Tabla BG 2'!T:T,0)+Z23</f>
        <v>2425.4240000000045</v>
      </c>
      <c r="AB23" s="31">
        <f>+_xlfn.XLOOKUP(TEXT($C23,"@"),'[2]Tabla BG 2'!$C:$C,'[2]Tabla BG 2'!U:U,0)+AA23</f>
        <v>2235.5640000000039</v>
      </c>
      <c r="AC23" s="31">
        <f>+_xlfn.XLOOKUP(TEXT($C23,"@"),'[2]Tabla BG 2'!$C:$C,'[2]Tabla BG 2'!V:V,0)+AB23</f>
        <v>2989.1459600000053</v>
      </c>
      <c r="AD23" s="31">
        <f>+_xlfn.XLOOKUP(TEXT($C23,"@"),'[2]Tabla BG 2'!$C:$C,'[2]Tabla BG 2'!W:W,0)+AC23</f>
        <v>2495.6544700000049</v>
      </c>
      <c r="AE23" s="31">
        <f>+_xlfn.XLOOKUP(TEXT($C23,"@"),'[2]Tabla BG 2'!$C:$C,'[2]Tabla BG 2'!X:X,0)+AD23</f>
        <v>3061.1896000000052</v>
      </c>
      <c r="AF23" s="31">
        <f>+_xlfn.XLOOKUP(TEXT($C23,"@"),'[2]Tabla BG 2'!$C:$C,'[2]Tabla BG 2'!Y:Y,0)+AE23</f>
        <v>2235.5640000000058</v>
      </c>
      <c r="AG23" s="31">
        <f>+_xlfn.XLOOKUP(TEXT($C23,"@"),'[2]Tabla BG 2'!$C:$C,'[2]Tabla BG 2'!Z:Z,0)+AF23</f>
        <v>2235.5640000000058</v>
      </c>
      <c r="AH23" s="31">
        <f>+_xlfn.XLOOKUP(TEXT($C23,"@"),'[2]Tabla BG 2'!$C:$C,'[2]Tabla BG 2'!AA:AA,0)+AG23</f>
        <v>2235.5640000000058</v>
      </c>
      <c r="AI23" s="31">
        <f>+_xlfn.XLOOKUP(TEXT($C23,"@"),'[2]Tabla BG 2'!$C:$C,'[2]Tabla BG 2'!AB:AB,0)+AH23</f>
        <v>3020.881620000006</v>
      </c>
      <c r="AJ23" s="32">
        <f>+_xlfn.XLOOKUP(TEXT($C23,"@"),'[2]Tabla BG 2'!$C:$C,'[2]Tabla BG 2'!AC:AC,0)+AI23</f>
        <v>7.73070496506989E-12</v>
      </c>
      <c r="AK23" s="56">
        <f>+_xlfn.XLOOKUP(TEXT($C23,"@"),'[2]Tabla BG 2'!$C:$C,'[2]Tabla BG 2'!AE:AE,0)+AJ23</f>
        <v>7.73070496506989E-12</v>
      </c>
      <c r="AL23" s="57">
        <f>+_xlfn.XLOOKUP(TEXT($C23,"@"),'[2]Tabla BG 2'!$C:$C,'[2]Tabla BG 2'!AF:AF,0)+AK23</f>
        <v>7.73070496506989E-12</v>
      </c>
      <c r="AM23" s="57">
        <f>+_xlfn.XLOOKUP(TEXT($C23,"@"),'[2]Tabla BG 2'!$C:$C,'[2]Tabla BG 2'!AG:AG,0)+AL23</f>
        <v>506.77812000000768</v>
      </c>
      <c r="AN23" s="57">
        <f>+_xlfn.XLOOKUP(TEXT($C23,"@"),'[2]Tabla BG 2'!$C:$C,'[2]Tabla BG 2'!AG:AG,0)+AM23</f>
        <v>1013.5562400000076</v>
      </c>
      <c r="AO23" s="57">
        <f>+_xlfn.XLOOKUP(TEXT($C23,"@"),'[2]Tabla BG 2'!$C:$C,'[2]Tabla BG 2'!AH:AH,0)+AN23</f>
        <v>1520.3343600000076</v>
      </c>
      <c r="AP23" s="57">
        <f>+_xlfn.XLOOKUP(TEXT($C23,"@"),'[2]Tabla BG 2'!$C:$C,'[2]Tabla BG 2'!AI:AI,0)+AO23</f>
        <v>-7948.659539999986</v>
      </c>
      <c r="AQ23" s="57">
        <f>+_xlfn.XLOOKUP(TEXT($C23,"@"),'[2]Tabla BG 2'!$C:$C,'[2]Tabla BG 2'!AJ:AJ,0)+AP23</f>
        <v>-7948.659539999986</v>
      </c>
      <c r="AR23" s="57">
        <f>+_xlfn.XLOOKUP(TEXT($C23,"@"),'[2]Tabla BG 2'!$C:$C,'[2]Tabla BG 2'!AK:AK,0)+AQ23</f>
        <v>-7948.659539999986</v>
      </c>
      <c r="AS23" s="57">
        <f>+_xlfn.XLOOKUP(TEXT($C23,"@"),'[2]Tabla BG 2'!$C:$C,'[2]Tabla BG 2'!AL:AL,0)+AR23</f>
        <v>-7948.659539999986</v>
      </c>
      <c r="AT23" s="57">
        <f>+_xlfn.XLOOKUP(TEXT($C23,"@"),'[2]Tabla BG 2'!$C:$C,'[2]Tabla BG 2'!AM:AM,0)+AS23</f>
        <v>-7948.659539999986</v>
      </c>
      <c r="AU23" s="57">
        <f>+_xlfn.XLOOKUP(TEXT($C23,"@"),'[2]Tabla BG 2'!$C:$C,'[2]Tabla BG 2'!AN:AN,0)+AT23</f>
        <v>-7948.659539999986</v>
      </c>
      <c r="AV23" s="58">
        <f>+_xlfn.XLOOKUP(TEXT($C23,"@"),'[2]Tabla BG 2'!$C:$C,'[2]Tabla BG 2'!AO:AO,0)+AU23</f>
        <v>-7948.659539999986</v>
      </c>
      <c r="AW23" s="54"/>
      <c r="AX23" s="54"/>
      <c r="AY23" s="54"/>
      <c r="AZ23" s="54"/>
      <c r="BA23" s="54"/>
      <c r="BB23" s="54"/>
      <c r="BC23" s="54"/>
      <c r="BD23" s="54"/>
      <c r="BE23" s="54"/>
      <c r="BF23" s="54"/>
      <c r="BG23" s="54"/>
      <c r="BH23" s="54"/>
      <c r="BI23" s="55"/>
      <c r="BJ23" s="55"/>
      <c r="BK23" s="55"/>
      <c r="BL23" s="55"/>
      <c r="BM23" s="55"/>
      <c r="BN23" s="63"/>
    </row>
    <row r="24" spans="1:66" x14ac:dyDescent="0.35">
      <c r="A24" s="48">
        <v>1592</v>
      </c>
      <c r="B24" s="2" t="str">
        <f t="shared" si="3"/>
        <v>COC1399</v>
      </c>
      <c r="C24" s="36">
        <v>1399</v>
      </c>
      <c r="D24" s="16" t="s">
        <v>22</v>
      </c>
      <c r="E24" s="49"/>
      <c r="F24" s="50"/>
      <c r="G24" s="50"/>
      <c r="H24" s="50"/>
      <c r="I24" s="50"/>
      <c r="J24" s="50"/>
      <c r="K24" s="50"/>
      <c r="L24" s="32">
        <f>+_xlfn.XLOOKUP(C24,'[1]4'!$C:$C,'[1]4'!$I:$I,0)</f>
        <v>-26670.313999999998</v>
      </c>
      <c r="M24" s="56">
        <f>+_xlfn.XLOOKUP(TEXT($C24,"@"),'[2]Tabla BG 2'!$C:$C,'[2]Tabla BG 2'!E:E,0)+L24</f>
        <v>-26670.313999999998</v>
      </c>
      <c r="N24" s="57">
        <f>+_xlfn.XLOOKUP(TEXT($C24,"@"),'[2]Tabla BG 2'!$C:$C,'[2]Tabla BG 2'!F:F,0)+M24</f>
        <v>-26670.313999999998</v>
      </c>
      <c r="O24" s="57">
        <f>+_xlfn.XLOOKUP(TEXT($C24,"@"),'[2]Tabla BG 2'!$C:$C,'[2]Tabla BG 2'!G:G,0)+N24</f>
        <v>-26670.313999999998</v>
      </c>
      <c r="P24" s="57">
        <f>+_xlfn.XLOOKUP(TEXT($C24,"@"),'[2]Tabla BG 2'!$C:$C,'[2]Tabla BG 2'!H:H,0)+O24</f>
        <v>-26670.313999999998</v>
      </c>
      <c r="Q24" s="57">
        <f>+_xlfn.XLOOKUP(TEXT($C24,"@"),'[2]Tabla BG 2'!$C:$C,'[2]Tabla BG 2'!I:I,0)+P24</f>
        <v>-26670.313999999998</v>
      </c>
      <c r="R24" s="57">
        <f>+_xlfn.XLOOKUP(TEXT($C24,"@"),'[2]Tabla BG 2'!$C:$C,'[2]Tabla BG 2'!J:J,0)+Q24</f>
        <v>-26670.313999999998</v>
      </c>
      <c r="S24" s="57">
        <f>+_xlfn.XLOOKUP(TEXT($C24,"@"),'[2]Tabla BG 2'!$C:$C,'[2]Tabla BG 2'!K:K,0)+R24</f>
        <v>-26670.313999999998</v>
      </c>
      <c r="T24" s="57">
        <f>+_xlfn.XLOOKUP(TEXT($C24,"@"),'[2]Tabla BG 2'!$C:$C,'[2]Tabla BG 2'!L:L,0)+S24</f>
        <v>-26670.313999999998</v>
      </c>
      <c r="U24" s="57">
        <f>+_xlfn.XLOOKUP(TEXT($C24,"@"),'[2]Tabla BG 2'!$C:$C,'[2]Tabla BG 2'!M:M,0)+T24</f>
        <v>-26670.313999999998</v>
      </c>
      <c r="V24" s="57">
        <f>+_xlfn.XLOOKUP(TEXT($C24,"@"),'[2]Tabla BG 2'!$C:$C,'[2]Tabla BG 2'!N:N,0)+U24</f>
        <v>-26670.313999999998</v>
      </c>
      <c r="W24" s="57">
        <f>+_xlfn.XLOOKUP(TEXT($C24,"@"),'[2]Tabla BG 2'!$C:$C,'[2]Tabla BG 2'!O:O,0)+V24</f>
        <v>-26670.313999999998</v>
      </c>
      <c r="X24" s="57">
        <f>+_xlfn.XLOOKUP(TEXT($C24,"@"),'[2]Tabla BG 2'!$C:$C,'[2]Tabla BG 2'!P:P,0)+W24</f>
        <v>-26670.313999999998</v>
      </c>
      <c r="Y24" s="30">
        <f>+_xlfn.XLOOKUP(TEXT($C24,"@"),'[2]Tabla BG 2'!$C:$C,'[2]Tabla BG 2'!R:R,0)+X24</f>
        <v>-26670.313999999998</v>
      </c>
      <c r="Z24" s="31">
        <f>+_xlfn.XLOOKUP(TEXT($C24,"@"),'[2]Tabla BG 2'!$C:$C,'[2]Tabla BG 2'!S:S,0)+Y24</f>
        <v>-26670.313999999998</v>
      </c>
      <c r="AA24" s="31">
        <f>+_xlfn.XLOOKUP(TEXT($C24,"@"),'[2]Tabla BG 2'!$C:$C,'[2]Tabla BG 2'!T:T,0)+Z24</f>
        <v>-26670.313999999998</v>
      </c>
      <c r="AB24" s="31">
        <f>+_xlfn.XLOOKUP(TEXT($C24,"@"),'[2]Tabla BG 2'!$C:$C,'[2]Tabla BG 2'!U:U,0)+AA24</f>
        <v>-26670.313999999998</v>
      </c>
      <c r="AC24" s="31">
        <f>+_xlfn.XLOOKUP(TEXT($C24,"@"),'[2]Tabla BG 2'!$C:$C,'[2]Tabla BG 2'!V:V,0)+AB24</f>
        <v>-26670.313999999998</v>
      </c>
      <c r="AD24" s="31">
        <f>+_xlfn.XLOOKUP(TEXT($C24,"@"),'[2]Tabla BG 2'!$C:$C,'[2]Tabla BG 2'!W:W,0)+AC24</f>
        <v>-26670.313999999998</v>
      </c>
      <c r="AE24" s="31">
        <f>+_xlfn.XLOOKUP(TEXT($C24,"@"),'[2]Tabla BG 2'!$C:$C,'[2]Tabla BG 2'!X:X,0)+AD24</f>
        <v>-26670.313999999998</v>
      </c>
      <c r="AF24" s="31">
        <f>+_xlfn.XLOOKUP(TEXT($C24,"@"),'[2]Tabla BG 2'!$C:$C,'[2]Tabla BG 2'!Y:Y,0)+AE24</f>
        <v>-26670.313999999998</v>
      </c>
      <c r="AG24" s="31">
        <f>+_xlfn.XLOOKUP(TEXT($C24,"@"),'[2]Tabla BG 2'!$C:$C,'[2]Tabla BG 2'!Z:Z,0)+AF24</f>
        <v>-26670.313999999998</v>
      </c>
      <c r="AH24" s="31">
        <f>+_xlfn.XLOOKUP(TEXT($C24,"@"),'[2]Tabla BG 2'!$C:$C,'[2]Tabla BG 2'!AA:AA,0)+AG24</f>
        <v>-26670.313999999998</v>
      </c>
      <c r="AI24" s="31">
        <f>+_xlfn.XLOOKUP(TEXT($C24,"@"),'[2]Tabla BG 2'!$C:$C,'[2]Tabla BG 2'!AB:AB,0)+AH24</f>
        <v>-26670.313999999998</v>
      </c>
      <c r="AJ24" s="32">
        <f>+_xlfn.XLOOKUP(TEXT($C24,"@"),'[2]Tabla BG 2'!$C:$C,'[2]Tabla BG 2'!AC:AC,0)+AI24</f>
        <v>-26670.313999999998</v>
      </c>
      <c r="AK24" s="56">
        <f>+_xlfn.XLOOKUP(TEXT($C24,"@"),'[2]Tabla BG 2'!$C:$C,'[2]Tabla BG 2'!AE:AE,0)+AJ24</f>
        <v>-26670.313999999998</v>
      </c>
      <c r="AL24" s="57">
        <f>+_xlfn.XLOOKUP(TEXT($C24,"@"),'[2]Tabla BG 2'!$C:$C,'[2]Tabla BG 2'!AF:AF,0)+AK24</f>
        <v>-26670.313999999998</v>
      </c>
      <c r="AM24" s="57">
        <f>+_xlfn.XLOOKUP(TEXT($C24,"@"),'[2]Tabla BG 2'!$C:$C,'[2]Tabla BG 2'!AG:AG,0)+AL24</f>
        <v>-26670.313999999998</v>
      </c>
      <c r="AN24" s="57">
        <f>+_xlfn.XLOOKUP(TEXT($C24,"@"),'[2]Tabla BG 2'!$C:$C,'[2]Tabla BG 2'!AG:AG,0)+AM24</f>
        <v>-26670.313999999998</v>
      </c>
      <c r="AO24" s="57">
        <f>+_xlfn.XLOOKUP(TEXT($C24,"@"),'[2]Tabla BG 2'!$C:$C,'[2]Tabla BG 2'!AH:AH,0)+AN24</f>
        <v>-26670.313999999998</v>
      </c>
      <c r="AP24" s="57">
        <f>+_xlfn.XLOOKUP(TEXT($C24,"@"),'[2]Tabla BG 2'!$C:$C,'[2]Tabla BG 2'!AI:AI,0)+AO24</f>
        <v>-26670.313999999998</v>
      </c>
      <c r="AQ24" s="57">
        <f>+_xlfn.XLOOKUP(TEXT($C24,"@"),'[2]Tabla BG 2'!$C:$C,'[2]Tabla BG 2'!AJ:AJ,0)+AP24</f>
        <v>-26670.313999999998</v>
      </c>
      <c r="AR24" s="57">
        <f>+_xlfn.XLOOKUP(TEXT($C24,"@"),'[2]Tabla BG 2'!$C:$C,'[2]Tabla BG 2'!AK:AK,0)+AQ24</f>
        <v>-26670.313999999998</v>
      </c>
      <c r="AS24" s="57">
        <f>+_xlfn.XLOOKUP(TEXT($C24,"@"),'[2]Tabla BG 2'!$C:$C,'[2]Tabla BG 2'!AL:AL,0)+AR24</f>
        <v>-26670.313999999998</v>
      </c>
      <c r="AT24" s="57">
        <f>+_xlfn.XLOOKUP(TEXT($C24,"@"),'[2]Tabla BG 2'!$C:$C,'[2]Tabla BG 2'!AM:AM,0)+AS24</f>
        <v>-26670.313999999998</v>
      </c>
      <c r="AU24" s="57">
        <f>+_xlfn.XLOOKUP(TEXT($C24,"@"),'[2]Tabla BG 2'!$C:$C,'[2]Tabla BG 2'!AN:AN,0)+AT24</f>
        <v>-26670.313999999998</v>
      </c>
      <c r="AV24" s="58">
        <f>+_xlfn.XLOOKUP(TEXT($C24,"@"),'[2]Tabla BG 2'!$C:$C,'[2]Tabla BG 2'!AO:AO,0)+AU24</f>
        <v>-26670.313999999998</v>
      </c>
      <c r="AW24" s="54"/>
      <c r="AX24" s="54"/>
      <c r="AY24" s="54"/>
      <c r="AZ24" s="54"/>
      <c r="BA24" s="54"/>
      <c r="BB24" s="54"/>
      <c r="BC24" s="54"/>
      <c r="BD24" s="54"/>
      <c r="BE24" s="54"/>
      <c r="BF24" s="54"/>
      <c r="BG24" s="54"/>
      <c r="BH24" s="54"/>
      <c r="BI24" s="55"/>
      <c r="BJ24" s="55"/>
      <c r="BK24" s="55"/>
      <c r="BL24" s="55"/>
      <c r="BM24" s="55"/>
      <c r="BN24" s="63"/>
    </row>
    <row r="25" spans="1:66" x14ac:dyDescent="0.35">
      <c r="A25" s="48">
        <v>1705</v>
      </c>
      <c r="B25" s="2" t="str">
        <f t="shared" si="3"/>
        <v>COC</v>
      </c>
      <c r="C25"/>
      <c r="D25" s="16"/>
      <c r="E25" s="49"/>
      <c r="F25" s="50"/>
      <c r="G25" s="50"/>
      <c r="H25" s="50"/>
      <c r="I25" s="50"/>
      <c r="J25" s="50"/>
      <c r="K25" s="50"/>
      <c r="L25" s="32"/>
      <c r="M25" s="56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8"/>
      <c r="Y25" s="30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2"/>
      <c r="AK25" s="56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8"/>
      <c r="AW25" s="54"/>
      <c r="AX25" s="54"/>
      <c r="AY25" s="54"/>
      <c r="AZ25" s="54"/>
      <c r="BA25" s="54"/>
      <c r="BB25" s="54"/>
      <c r="BC25" s="54"/>
      <c r="BD25" s="54"/>
      <c r="BE25" s="54"/>
      <c r="BF25" s="54"/>
      <c r="BG25" s="54"/>
      <c r="BH25" s="54"/>
      <c r="BI25" s="55"/>
      <c r="BJ25" s="55"/>
      <c r="BK25" s="55"/>
      <c r="BL25" s="55"/>
      <c r="BM25" s="55"/>
      <c r="BN25" s="55" t="e">
        <f>+#REF!-X34</f>
        <v>#REF!</v>
      </c>
    </row>
    <row r="26" spans="1:66" ht="15" thickBot="1" x14ac:dyDescent="0.4">
      <c r="A26" s="48">
        <v>1710</v>
      </c>
      <c r="B26" s="2" t="str">
        <f t="shared" si="3"/>
        <v>COC</v>
      </c>
      <c r="C26"/>
      <c r="D26" s="3" t="s">
        <v>23</v>
      </c>
      <c r="E26" s="37"/>
      <c r="F26" s="38"/>
      <c r="G26" s="38"/>
      <c r="H26" s="38"/>
      <c r="I26" s="38"/>
      <c r="J26" s="38"/>
      <c r="K26" s="38"/>
      <c r="L26" s="39">
        <f t="shared" ref="L26:BK26" si="5">+L27</f>
        <v>0</v>
      </c>
      <c r="M26" s="40">
        <f t="shared" si="5"/>
        <v>0</v>
      </c>
      <c r="N26" s="41">
        <f t="shared" si="5"/>
        <v>0</v>
      </c>
      <c r="O26" s="41">
        <f t="shared" si="5"/>
        <v>0</v>
      </c>
      <c r="P26" s="41">
        <f t="shared" si="5"/>
        <v>0</v>
      </c>
      <c r="Q26" s="41">
        <f t="shared" si="5"/>
        <v>0</v>
      </c>
      <c r="R26" s="41">
        <f t="shared" si="5"/>
        <v>0</v>
      </c>
      <c r="S26" s="41">
        <f t="shared" si="5"/>
        <v>0</v>
      </c>
      <c r="T26" s="41">
        <f t="shared" si="5"/>
        <v>0</v>
      </c>
      <c r="U26" s="41">
        <f t="shared" si="5"/>
        <v>0</v>
      </c>
      <c r="V26" s="41">
        <f t="shared" si="5"/>
        <v>0</v>
      </c>
      <c r="W26" s="41">
        <f t="shared" si="5"/>
        <v>0</v>
      </c>
      <c r="X26" s="44">
        <f t="shared" si="5"/>
        <v>0</v>
      </c>
      <c r="Y26" s="42">
        <f t="shared" si="5"/>
        <v>0</v>
      </c>
      <c r="Z26" s="43">
        <f t="shared" si="5"/>
        <v>0</v>
      </c>
      <c r="AA26" s="43">
        <f t="shared" si="5"/>
        <v>0</v>
      </c>
      <c r="AB26" s="43">
        <f t="shared" si="5"/>
        <v>0</v>
      </c>
      <c r="AC26" s="43">
        <f t="shared" si="5"/>
        <v>0</v>
      </c>
      <c r="AD26" s="43">
        <f t="shared" si="5"/>
        <v>0</v>
      </c>
      <c r="AE26" s="43">
        <f t="shared" si="5"/>
        <v>0</v>
      </c>
      <c r="AF26" s="43">
        <f t="shared" si="5"/>
        <v>0</v>
      </c>
      <c r="AG26" s="43">
        <f t="shared" si="5"/>
        <v>0</v>
      </c>
      <c r="AH26" s="43">
        <f t="shared" si="5"/>
        <v>0</v>
      </c>
      <c r="AI26" s="43">
        <f t="shared" si="5"/>
        <v>0</v>
      </c>
      <c r="AJ26" s="39">
        <f t="shared" si="5"/>
        <v>0</v>
      </c>
      <c r="AK26" s="40">
        <f t="shared" si="5"/>
        <v>0</v>
      </c>
      <c r="AL26" s="41">
        <f t="shared" si="5"/>
        <v>0</v>
      </c>
      <c r="AM26" s="41">
        <f t="shared" si="5"/>
        <v>0</v>
      </c>
      <c r="AN26" s="41">
        <f t="shared" si="5"/>
        <v>0</v>
      </c>
      <c r="AO26" s="41">
        <f t="shared" si="5"/>
        <v>0</v>
      </c>
      <c r="AP26" s="41">
        <f t="shared" si="5"/>
        <v>0</v>
      </c>
      <c r="AQ26" s="41">
        <f t="shared" si="5"/>
        <v>0</v>
      </c>
      <c r="AR26" s="41">
        <f t="shared" si="5"/>
        <v>0</v>
      </c>
      <c r="AS26" s="41">
        <f t="shared" si="5"/>
        <v>0</v>
      </c>
      <c r="AT26" s="41">
        <f t="shared" si="5"/>
        <v>0</v>
      </c>
      <c r="AU26" s="41">
        <f t="shared" si="5"/>
        <v>0</v>
      </c>
      <c r="AV26" s="44">
        <f t="shared" si="5"/>
        <v>0</v>
      </c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6">
        <f t="shared" si="5"/>
        <v>0</v>
      </c>
      <c r="BJ26" s="46">
        <f t="shared" si="5"/>
        <v>0</v>
      </c>
      <c r="BK26" s="46">
        <f t="shared" si="5"/>
        <v>0</v>
      </c>
      <c r="BL26" s="47"/>
      <c r="BM26" s="47"/>
      <c r="BN26" s="47"/>
    </row>
    <row r="27" spans="1:66" ht="15" thickTop="1" x14ac:dyDescent="0.35">
      <c r="A27" s="48">
        <v>2105</v>
      </c>
      <c r="B27" s="2" t="str">
        <f t="shared" si="3"/>
        <v>COC</v>
      </c>
      <c r="C27"/>
      <c r="D27" s="16" t="s">
        <v>24</v>
      </c>
      <c r="E27" s="49"/>
      <c r="F27" s="50"/>
      <c r="G27" s="50"/>
      <c r="H27" s="50"/>
      <c r="I27" s="50"/>
      <c r="J27" s="50"/>
      <c r="K27" s="50"/>
      <c r="L27" s="32"/>
      <c r="M27" s="56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8"/>
      <c r="Y27" s="30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2"/>
      <c r="AK27" s="56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8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5"/>
      <c r="BJ27" s="55"/>
      <c r="BK27" s="55"/>
      <c r="BL27" s="55"/>
      <c r="BM27" s="55"/>
      <c r="BN27" s="55"/>
    </row>
    <row r="28" spans="1:66" collapsed="1" x14ac:dyDescent="0.35">
      <c r="A28" s="48">
        <v>2205</v>
      </c>
      <c r="B28" s="2" t="str">
        <f t="shared" si="3"/>
        <v>COC</v>
      </c>
      <c r="C28"/>
      <c r="D28" s="16"/>
      <c r="E28" s="59"/>
      <c r="F28" s="60"/>
      <c r="G28" s="60"/>
      <c r="H28" s="60"/>
      <c r="I28" s="60"/>
      <c r="J28" s="60"/>
      <c r="K28" s="60"/>
      <c r="L28" s="64"/>
      <c r="M28" s="65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30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2"/>
      <c r="AK28" s="65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33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17"/>
      <c r="BJ28" s="17"/>
      <c r="BK28" s="17"/>
      <c r="BL28" s="17"/>
      <c r="BM28" s="17"/>
      <c r="BN28" s="17"/>
    </row>
    <row r="29" spans="1:66" ht="15" thickBot="1" x14ac:dyDescent="0.4">
      <c r="A29" s="1">
        <v>2335</v>
      </c>
      <c r="B29" s="2" t="str">
        <f t="shared" si="3"/>
        <v>COC</v>
      </c>
      <c r="C29"/>
      <c r="D29" s="3" t="s">
        <v>25</v>
      </c>
      <c r="E29" s="37"/>
      <c r="F29" s="38"/>
      <c r="G29" s="38"/>
      <c r="H29" s="38"/>
      <c r="I29" s="38"/>
      <c r="J29" s="38"/>
      <c r="K29" s="38"/>
      <c r="L29" s="39">
        <f>SUM(L30:L32)</f>
        <v>81522.907520000008</v>
      </c>
      <c r="M29" s="40">
        <f>SUM(M30:M34)</f>
        <v>141273.99746999989</v>
      </c>
      <c r="N29" s="41">
        <f t="shared" ref="N29:BK29" si="6">SUM(N30:N34)</f>
        <v>203670.66585999989</v>
      </c>
      <c r="O29" s="41">
        <f t="shared" si="6"/>
        <v>228894.92209999994</v>
      </c>
      <c r="P29" s="41">
        <f t="shared" si="6"/>
        <v>372711.69320999994</v>
      </c>
      <c r="Q29" s="41">
        <f t="shared" si="6"/>
        <v>150256.27657000002</v>
      </c>
      <c r="R29" s="41">
        <f t="shared" si="6"/>
        <v>143383.54809000005</v>
      </c>
      <c r="S29" s="41">
        <f t="shared" si="6"/>
        <v>286744.90256000013</v>
      </c>
      <c r="T29" s="41">
        <f t="shared" si="6"/>
        <v>377144.27162000013</v>
      </c>
      <c r="U29" s="41">
        <f t="shared" si="6"/>
        <v>307917.02431000018</v>
      </c>
      <c r="V29" s="41">
        <f t="shared" si="6"/>
        <v>257377.52857000026</v>
      </c>
      <c r="W29" s="41">
        <f t="shared" si="6"/>
        <v>252507.62479000026</v>
      </c>
      <c r="X29" s="44">
        <f t="shared" si="6"/>
        <v>197467.17892000009</v>
      </c>
      <c r="Y29" s="42">
        <f t="shared" si="6"/>
        <v>182952.80313000007</v>
      </c>
      <c r="Z29" s="43">
        <f t="shared" si="6"/>
        <v>327108.75225000019</v>
      </c>
      <c r="AA29" s="43">
        <f t="shared" si="6"/>
        <v>278705.72221000027</v>
      </c>
      <c r="AB29" s="43">
        <f t="shared" si="6"/>
        <v>521691.0886600003</v>
      </c>
      <c r="AC29" s="43">
        <f t="shared" si="6"/>
        <v>347224.10500000039</v>
      </c>
      <c r="AD29" s="43">
        <f t="shared" si="6"/>
        <v>383477.42754000035</v>
      </c>
      <c r="AE29" s="43">
        <f t="shared" si="6"/>
        <v>326176.72843000042</v>
      </c>
      <c r="AF29" s="43">
        <f t="shared" si="6"/>
        <v>502138.08139000036</v>
      </c>
      <c r="AG29" s="43">
        <f t="shared" si="6"/>
        <v>347449.86464000039</v>
      </c>
      <c r="AH29" s="43">
        <f t="shared" si="6"/>
        <v>466826.47821000026</v>
      </c>
      <c r="AI29" s="43">
        <f t="shared" si="6"/>
        <v>384638.77290000021</v>
      </c>
      <c r="AJ29" s="39">
        <f t="shared" si="6"/>
        <v>125964.93722000011</v>
      </c>
      <c r="AK29" s="40">
        <f t="shared" si="6"/>
        <v>115211.44939000011</v>
      </c>
      <c r="AL29" s="41">
        <f t="shared" si="6"/>
        <v>220963.15886000017</v>
      </c>
      <c r="AM29" s="41">
        <f t="shared" si="6"/>
        <v>224890.72182000018</v>
      </c>
      <c r="AN29" s="41">
        <f t="shared" si="6"/>
        <v>228818.28478000019</v>
      </c>
      <c r="AO29" s="41">
        <f t="shared" si="6"/>
        <v>327744.06938000023</v>
      </c>
      <c r="AP29" s="41">
        <f t="shared" si="6"/>
        <v>471111.88368000049</v>
      </c>
      <c r="AQ29" s="41">
        <f t="shared" si="6"/>
        <v>471111.88368000049</v>
      </c>
      <c r="AR29" s="41">
        <f t="shared" si="6"/>
        <v>471111.88368000049</v>
      </c>
      <c r="AS29" s="41">
        <f t="shared" si="6"/>
        <v>471111.88368000049</v>
      </c>
      <c r="AT29" s="41">
        <f t="shared" si="6"/>
        <v>471111.88368000049</v>
      </c>
      <c r="AU29" s="41">
        <f t="shared" si="6"/>
        <v>471111.88368000049</v>
      </c>
      <c r="AV29" s="44">
        <f t="shared" si="6"/>
        <v>471111.88368000049</v>
      </c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6">
        <f t="shared" si="6"/>
        <v>43507.303560000029</v>
      </c>
      <c r="BJ29" s="46">
        <f t="shared" si="6"/>
        <v>61531.467661785682</v>
      </c>
      <c r="BK29" s="46">
        <f t="shared" si="6"/>
        <v>62474.699352920885</v>
      </c>
      <c r="BL29" s="47"/>
      <c r="BM29" s="47"/>
      <c r="BN29" s="47"/>
    </row>
    <row r="30" spans="1:66" ht="15" thickTop="1" x14ac:dyDescent="0.35">
      <c r="A30" s="1">
        <v>2345</v>
      </c>
      <c r="B30" s="2" t="str">
        <f t="shared" si="3"/>
        <v>COC1105</v>
      </c>
      <c r="C30" s="36">
        <v>1105</v>
      </c>
      <c r="D30" s="66" t="s">
        <v>26</v>
      </c>
      <c r="E30" s="49"/>
      <c r="F30" s="50"/>
      <c r="G30" s="50"/>
      <c r="H30" s="50"/>
      <c r="I30" s="50"/>
      <c r="J30" s="50"/>
      <c r="K30" s="50"/>
      <c r="L30" s="32">
        <f>+_xlfn.XLOOKUP(C30,'[1]4'!$C:$C,'[1]4'!$I:$I,0)</f>
        <v>30600.400309999997</v>
      </c>
      <c r="M30" s="56">
        <f>+_xlfn.XLOOKUP(TEXT($C30,"@"),'[2]Tabla BG 2'!$C:$C,'[2]Tabla BG 2'!E:E,0)+L30</f>
        <v>19101.270309999993</v>
      </c>
      <c r="N30" s="57">
        <f>+_xlfn.XLOOKUP(TEXT($C30,"@"),'[2]Tabla BG 2'!$C:$C,'[2]Tabla BG 2'!F:F,0)+M30</f>
        <v>22218.564309999987</v>
      </c>
      <c r="O30" s="57">
        <f>+_xlfn.XLOOKUP(TEXT($C30,"@"),'[2]Tabla BG 2'!$C:$C,'[2]Tabla BG 2'!G:G,0)+N30</f>
        <v>40757.112309999997</v>
      </c>
      <c r="P30" s="57">
        <f>+_xlfn.XLOOKUP(TEXT($C30,"@"),'[2]Tabla BG 2'!$C:$C,'[2]Tabla BG 2'!H:H,0)+O30</f>
        <v>20658.004309999989</v>
      </c>
      <c r="Q30" s="57">
        <f>+_xlfn.XLOOKUP(TEXT($C30,"@"),'[2]Tabla BG 2'!$C:$C,'[2]Tabla BG 2'!I:I,0)+P30</f>
        <v>22032.312310000008</v>
      </c>
      <c r="R30" s="57">
        <f>+_xlfn.XLOOKUP(TEXT($C30,"@"),'[2]Tabla BG 2'!$C:$C,'[2]Tabla BG 2'!J:J,0)+Q30</f>
        <v>42887.612309999997</v>
      </c>
      <c r="S30" s="57">
        <f>+_xlfn.XLOOKUP(TEXT($C30,"@"),'[2]Tabla BG 2'!$C:$C,'[2]Tabla BG 2'!K:K,0)+R30</f>
        <v>32684.427309999999</v>
      </c>
      <c r="T30" s="57">
        <f>+_xlfn.XLOOKUP(TEXT($C30,"@"),'[2]Tabla BG 2'!$C:$C,'[2]Tabla BG 2'!L:L,0)+S30</f>
        <v>46922.876310000021</v>
      </c>
      <c r="U30" s="57">
        <f>+_xlfn.XLOOKUP(TEXT($C30,"@"),'[2]Tabla BG 2'!$C:$C,'[2]Tabla BG 2'!M:M,0)+T30</f>
        <v>41514.507310000015</v>
      </c>
      <c r="V30" s="57">
        <f>+_xlfn.XLOOKUP(TEXT($C30,"@"),'[2]Tabla BG 2'!$C:$C,'[2]Tabla BG 2'!N:N,0)+U30</f>
        <v>33382.290310000069</v>
      </c>
      <c r="W30" s="57">
        <f>+_xlfn.XLOOKUP(TEXT($C30,"@"),'[2]Tabla BG 2'!$C:$C,'[2]Tabla BG 2'!O:O,0)+V30</f>
        <v>48059.03031000006</v>
      </c>
      <c r="X30" s="57">
        <f>+_xlfn.XLOOKUP(TEXT($C30,"@"),'[2]Tabla BG 2'!$C:$C,'[2]Tabla BG 2'!P:P,0)+W30</f>
        <v>44010.626309999963</v>
      </c>
      <c r="Y30" s="30">
        <f>+_xlfn.XLOOKUP(TEXT($C30,"@"),'[2]Tabla BG 2'!$C:$C,'[2]Tabla BG 2'!R:R,0)+X30</f>
        <v>37268.358309999923</v>
      </c>
      <c r="Z30" s="31">
        <f>+_xlfn.XLOOKUP(TEXT($C30,"@"),'[2]Tabla BG 2'!$C:$C,'[2]Tabla BG 2'!S:S,0)+Y30</f>
        <v>51482.078310000012</v>
      </c>
      <c r="AA30" s="31">
        <f>+_xlfn.XLOOKUP(TEXT($C30,"@"),'[2]Tabla BG 2'!$C:$C,'[2]Tabla BG 2'!T:T,0)+Z30</f>
        <v>62109.038310000091</v>
      </c>
      <c r="AB30" s="31">
        <f>+_xlfn.XLOOKUP(TEXT($C30,"@"),'[2]Tabla BG 2'!$C:$C,'[2]Tabla BG 2'!U:U,0)+AA30</f>
        <v>57510.153310000082</v>
      </c>
      <c r="AC30" s="31">
        <f>+_xlfn.XLOOKUP(TEXT($C30,"@"),'[2]Tabla BG 2'!$C:$C,'[2]Tabla BG 2'!V:V,0)+AB30</f>
        <v>72412.102310000104</v>
      </c>
      <c r="AD30" s="31">
        <f>+_xlfn.XLOOKUP(TEXT($C30,"@"),'[2]Tabla BG 2'!$C:$C,'[2]Tabla BG 2'!W:W,0)+AC30</f>
        <v>47654.974310000136</v>
      </c>
      <c r="AE30" s="31">
        <f>+_xlfn.XLOOKUP(TEXT($C30,"@"),'[2]Tabla BG 2'!$C:$C,'[2]Tabla BG 2'!X:X,0)+AD30</f>
        <v>31922.061310000194</v>
      </c>
      <c r="AF30" s="31">
        <f>+_xlfn.XLOOKUP(TEXT($C30,"@"),'[2]Tabla BG 2'!$C:$C,'[2]Tabla BG 2'!Y:Y,0)+AE30</f>
        <v>45067.121310000133</v>
      </c>
      <c r="AG30" s="31">
        <f>+_xlfn.XLOOKUP(TEXT($C30,"@"),'[2]Tabla BG 2'!$C:$C,'[2]Tabla BG 2'!Z:Z,0)+AF30</f>
        <v>43882.630310000153</v>
      </c>
      <c r="AH30" s="31">
        <f>+_xlfn.XLOOKUP(TEXT($C30,"@"),'[2]Tabla BG 2'!$C:$C,'[2]Tabla BG 2'!AA:AA,0)+AG30</f>
        <v>43792.680309999967</v>
      </c>
      <c r="AI30" s="31">
        <f>+_xlfn.XLOOKUP(TEXT($C30,"@"),'[2]Tabla BG 2'!$C:$C,'[2]Tabla BG 2'!AB:AB,0)+AH30</f>
        <v>50528.922309999936</v>
      </c>
      <c r="AJ30" s="32">
        <f>+_xlfn.XLOOKUP(TEXT($C30,"@"),'[2]Tabla BG 2'!$C:$C,'[2]Tabla BG 2'!AC:AC,0)+AI30</f>
        <v>12377.000309999916</v>
      </c>
      <c r="AK30" s="56">
        <f>+_xlfn.XLOOKUP(TEXT($C30,"@"),'[2]Tabla BG 2'!$C:$C,'[2]Tabla BG 2'!AE:AE,0)+AJ30</f>
        <v>21464.910309999948</v>
      </c>
      <c r="AL30" s="57">
        <f>+_xlfn.XLOOKUP(TEXT($C30,"@"),'[2]Tabla BG 2'!$C:$C,'[2]Tabla BG 2'!AF:AF,0)+AK30</f>
        <v>55984.374909999955</v>
      </c>
      <c r="AM30" s="57">
        <f>+_xlfn.XLOOKUP(TEXT($C30,"@"),'[2]Tabla BG 2'!$C:$C,'[2]Tabla BG 2'!AG:AG,0)+AL30</f>
        <v>49701.234909999941</v>
      </c>
      <c r="AN30" s="57">
        <f>+_xlfn.XLOOKUP(TEXT($C30,"@"),'[2]Tabla BG 2'!$C:$C,'[2]Tabla BG 2'!AG:AG,0)+AM30</f>
        <v>43418.094909999927</v>
      </c>
      <c r="AO30" s="57">
        <f>+_xlfn.XLOOKUP(TEXT($C30,"@"),'[2]Tabla BG 2'!$C:$C,'[2]Tabla BG 2'!AH:AH,0)+AN30</f>
        <v>80742.329509999952</v>
      </c>
      <c r="AP30" s="57">
        <f>+_xlfn.XLOOKUP(TEXT($C30,"@"),'[2]Tabla BG 2'!$C:$C,'[2]Tabla BG 2'!AI:AI,0)+AO30</f>
        <v>99843.164109999896</v>
      </c>
      <c r="AQ30" s="57">
        <f>+_xlfn.XLOOKUP(TEXT($C30,"@"),'[2]Tabla BG 2'!$C:$C,'[2]Tabla BG 2'!AJ:AJ,0)+AP30</f>
        <v>99843.164109999896</v>
      </c>
      <c r="AR30" s="57">
        <f>+_xlfn.XLOOKUP(TEXT($C30,"@"),'[2]Tabla BG 2'!$C:$C,'[2]Tabla BG 2'!AK:AK,0)+AQ30</f>
        <v>99843.164109999896</v>
      </c>
      <c r="AS30" s="57">
        <f>+_xlfn.XLOOKUP(TEXT($C30,"@"),'[2]Tabla BG 2'!$C:$C,'[2]Tabla BG 2'!AL:AL,0)+AR30</f>
        <v>99843.164109999896</v>
      </c>
      <c r="AT30" s="57">
        <f>+_xlfn.XLOOKUP(TEXT($C30,"@"),'[2]Tabla BG 2'!$C:$C,'[2]Tabla BG 2'!AM:AM,0)+AS30</f>
        <v>99843.164109999896</v>
      </c>
      <c r="AU30" s="57">
        <f>+_xlfn.XLOOKUP(TEXT($C30,"@"),'[2]Tabla BG 2'!$C:$C,'[2]Tabla BG 2'!AN:AN,0)+AT30</f>
        <v>99843.164109999896</v>
      </c>
      <c r="AV30" s="58">
        <f>+_xlfn.XLOOKUP(TEXT($C30,"@"),'[2]Tabla BG 2'!$C:$C,'[2]Tabla BG 2'!AO:AO,0)+AU30</f>
        <v>99843.164109999896</v>
      </c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5">
        <f t="shared" ref="BI30" si="7">+AVERAGE(U30:X30)</f>
        <v>41741.613560000027</v>
      </c>
      <c r="BJ30" s="55">
        <f t="shared" ref="BJ30:BK30" si="8">+AVERAGE(V30:BI30)</f>
        <v>59764.77766178568</v>
      </c>
      <c r="BK30" s="55">
        <f t="shared" si="8"/>
        <v>60707.009352920883</v>
      </c>
      <c r="BL30" s="55"/>
      <c r="BM30" s="55"/>
      <c r="BN30" s="55"/>
    </row>
    <row r="31" spans="1:66" x14ac:dyDescent="0.35">
      <c r="A31" s="1">
        <v>2360</v>
      </c>
      <c r="B31" s="2" t="str">
        <f t="shared" si="3"/>
        <v>COC1110</v>
      </c>
      <c r="C31" s="36">
        <v>1110</v>
      </c>
      <c r="D31" s="66" t="s">
        <v>27</v>
      </c>
      <c r="E31" s="49"/>
      <c r="F31" s="50"/>
      <c r="G31" s="50"/>
      <c r="H31" s="50"/>
      <c r="I31" s="50"/>
      <c r="J31" s="50"/>
      <c r="K31" s="50"/>
      <c r="L31" s="32">
        <f>+_xlfn.XLOOKUP(C31,'[1]4'!$C:$C,'[1]4'!$I:$I,0)</f>
        <v>3512.5567700000001</v>
      </c>
      <c r="M31" s="56">
        <f>+_xlfn.XLOOKUP(TEXT($C31,"@"),'[2]Tabla BG 2'!$C:$C,'[2]Tabla BG 2'!E:E,0)+L31</f>
        <v>40253.874690000004</v>
      </c>
      <c r="N31" s="57">
        <f>+_xlfn.XLOOKUP(TEXT($C31,"@"),'[2]Tabla BG 2'!$C:$C,'[2]Tabla BG 2'!F:F,0)+M31</f>
        <v>62772.237919999992</v>
      </c>
      <c r="O31" s="57">
        <f>+_xlfn.XLOOKUP(TEXT($C31,"@"),'[2]Tabla BG 2'!$C:$C,'[2]Tabla BG 2'!G:G,0)+N31</f>
        <v>48064.267689999986</v>
      </c>
      <c r="P31" s="57">
        <f>+_xlfn.XLOOKUP(TEXT($C31,"@"),'[2]Tabla BG 2'!$C:$C,'[2]Tabla BG 2'!H:H,0)+O31</f>
        <v>77969.314199999964</v>
      </c>
      <c r="Q31" s="57">
        <f>+_xlfn.XLOOKUP(TEXT($C31,"@"),'[2]Tabla BG 2'!$C:$C,'[2]Tabla BG 2'!I:I,0)+P31</f>
        <v>16700.408309999999</v>
      </c>
      <c r="R31" s="57">
        <f>+_xlfn.XLOOKUP(TEXT($C31,"@"),'[2]Tabla BG 2'!$C:$C,'[2]Tabla BG 2'!J:J,0)+Q31</f>
        <v>15772.806370000006</v>
      </c>
      <c r="S31" s="57">
        <f>+_xlfn.XLOOKUP(TEXT($C31,"@"),'[2]Tabla BG 2'!$C:$C,'[2]Tabla BG 2'!K:K,0)+R31</f>
        <v>69897.934750000015</v>
      </c>
      <c r="T31" s="57">
        <f>+_xlfn.XLOOKUP(TEXT($C31,"@"),'[2]Tabla BG 2'!$C:$C,'[2]Tabla BG 2'!L:L,0)+S31</f>
        <v>64364.059650000025</v>
      </c>
      <c r="U31" s="57">
        <f>+_xlfn.XLOOKUP(TEXT($C31,"@"),'[2]Tabla BG 2'!$C:$C,'[2]Tabla BG 2'!M:M,0)+T31</f>
        <v>78829.32858000003</v>
      </c>
      <c r="V31" s="57">
        <f>+_xlfn.XLOOKUP(TEXT($C31,"@"),'[2]Tabla BG 2'!$C:$C,'[2]Tabla BG 2'!N:N,0)+U31</f>
        <v>108317.91027000005</v>
      </c>
      <c r="W31" s="57">
        <f>+_xlfn.XLOOKUP(TEXT($C31,"@"),'[2]Tabla BG 2'!$C:$C,'[2]Tabla BG 2'!O:O,0)+V31</f>
        <v>122888.75094000006</v>
      </c>
      <c r="X31" s="57">
        <f>+_xlfn.XLOOKUP(TEXT($C31,"@"),'[2]Tabla BG 2'!$C:$C,'[2]Tabla BG 2'!P:P,0)+W31</f>
        <v>34661.334850000043</v>
      </c>
      <c r="Y31" s="30">
        <f>+_xlfn.XLOOKUP(TEXT($C31,"@"),'[2]Tabla BG 2'!$C:$C,'[2]Tabla BG 2'!R:R,0)+X31</f>
        <v>77367.515140000032</v>
      </c>
      <c r="Z31" s="31">
        <f>+_xlfn.XLOOKUP(TEXT($C31,"@"),'[2]Tabla BG 2'!$C:$C,'[2]Tabla BG 2'!S:S,0)+Y31</f>
        <v>81708.157990000036</v>
      </c>
      <c r="AA31" s="31">
        <f>+_xlfn.XLOOKUP(TEXT($C31,"@"),'[2]Tabla BG 2'!$C:$C,'[2]Tabla BG 2'!T:T,0)+Z31</f>
        <v>70720.768210000038</v>
      </c>
      <c r="AB31" s="31">
        <f>+_xlfn.XLOOKUP(TEXT($C31,"@"),'[2]Tabla BG 2'!$C:$C,'[2]Tabla BG 2'!U:U,0)+AA31</f>
        <v>183080.6378400001</v>
      </c>
      <c r="AC31" s="31">
        <f>+_xlfn.XLOOKUP(TEXT($C31,"@"),'[2]Tabla BG 2'!$C:$C,'[2]Tabla BG 2'!V:V,0)+AB31</f>
        <v>146125.26145000011</v>
      </c>
      <c r="AD31" s="31">
        <f>+_xlfn.XLOOKUP(TEXT($C31,"@"),'[2]Tabla BG 2'!$C:$C,'[2]Tabla BG 2'!W:W,0)+AC31</f>
        <v>253761.45570000011</v>
      </c>
      <c r="AE31" s="31">
        <f>+_xlfn.XLOOKUP(TEXT($C31,"@"),'[2]Tabla BG 2'!$C:$C,'[2]Tabla BG 2'!X:X,0)+AD31</f>
        <v>126049.54434000008</v>
      </c>
      <c r="AF31" s="31">
        <f>+_xlfn.XLOOKUP(TEXT($C31,"@"),'[2]Tabla BG 2'!$C:$C,'[2]Tabla BG 2'!Y:Y,0)+AE31</f>
        <v>138553.95402000006</v>
      </c>
      <c r="AG31" s="31">
        <f>+_xlfn.XLOOKUP(TEXT($C31,"@"),'[2]Tabla BG 2'!$C:$C,'[2]Tabla BG 2'!Z:Z,0)+AF31</f>
        <v>223749.2633600001</v>
      </c>
      <c r="AH31" s="31">
        <f>+_xlfn.XLOOKUP(TEXT($C31,"@"),'[2]Tabla BG 2'!$C:$C,'[2]Tabla BG 2'!AA:AA,0)+AG31</f>
        <v>293648.22556000011</v>
      </c>
      <c r="AI31" s="31">
        <f>+_xlfn.XLOOKUP(TEXT($C31,"@"),'[2]Tabla BG 2'!$C:$C,'[2]Tabla BG 2'!AB:AB,0)+AH31</f>
        <v>261473.8915100001</v>
      </c>
      <c r="AJ31" s="32">
        <f>+_xlfn.XLOOKUP(TEXT($C31,"@"),'[2]Tabla BG 2'!$C:$C,'[2]Tabla BG 2'!AC:AC,0)+AI31</f>
        <v>27284.128450000106</v>
      </c>
      <c r="AK31" s="56">
        <f>+_xlfn.XLOOKUP(TEXT($C31,"@"),'[2]Tabla BG 2'!$C:$C,'[2]Tabla BG 2'!AE:AE,0)+AJ31</f>
        <v>42818.244200000103</v>
      </c>
      <c r="AL31" s="57">
        <f>+_xlfn.XLOOKUP(TEXT($C31,"@"),'[2]Tabla BG 2'!$C:$C,'[2]Tabla BG 2'!AF:AF,0)+AK31</f>
        <v>107127.57199000011</v>
      </c>
      <c r="AM31" s="57">
        <f>+_xlfn.XLOOKUP(TEXT($C31,"@"),'[2]Tabla BG 2'!$C:$C,'[2]Tabla BG 2'!AG:AG,0)+AL31</f>
        <v>132445.63649000009</v>
      </c>
      <c r="AN31" s="57">
        <f>+_xlfn.XLOOKUP(TEXT($C31,"@"),'[2]Tabla BG 2'!$C:$C,'[2]Tabla BG 2'!AG:AG,0)+AM31</f>
        <v>157763.70099000007</v>
      </c>
      <c r="AO31" s="57">
        <f>+_xlfn.XLOOKUP(TEXT($C31,"@"),'[2]Tabla BG 2'!$C:$C,'[2]Tabla BG 2'!AH:AH,0)+AN31</f>
        <v>262925.20903000003</v>
      </c>
      <c r="AP31" s="57">
        <f>+_xlfn.XLOOKUP(TEXT($C31,"@"),'[2]Tabla BG 2'!$C:$C,'[2]Tabla BG 2'!AI:AI,0)+AO31</f>
        <v>391858.28875000018</v>
      </c>
      <c r="AQ31" s="57">
        <f>+_xlfn.XLOOKUP(TEXT($C31,"@"),'[2]Tabla BG 2'!$C:$C,'[2]Tabla BG 2'!AJ:AJ,0)+AP31</f>
        <v>391858.28875000018</v>
      </c>
      <c r="AR31" s="57">
        <f>+_xlfn.XLOOKUP(TEXT($C31,"@"),'[2]Tabla BG 2'!$C:$C,'[2]Tabla BG 2'!AK:AK,0)+AQ31</f>
        <v>391858.28875000018</v>
      </c>
      <c r="AS31" s="57">
        <f>+_xlfn.XLOOKUP(TEXT($C31,"@"),'[2]Tabla BG 2'!$C:$C,'[2]Tabla BG 2'!AL:AL,0)+AR31</f>
        <v>391858.28875000018</v>
      </c>
      <c r="AT31" s="57">
        <f>+_xlfn.XLOOKUP(TEXT($C31,"@"),'[2]Tabla BG 2'!$C:$C,'[2]Tabla BG 2'!AM:AM,0)+AS31</f>
        <v>391858.28875000018</v>
      </c>
      <c r="AU31" s="57">
        <f>+_xlfn.XLOOKUP(TEXT($C31,"@"),'[2]Tabla BG 2'!$C:$C,'[2]Tabla BG 2'!AN:AN,0)+AT31</f>
        <v>391858.28875000018</v>
      </c>
      <c r="AV31" s="58">
        <f>+_xlfn.XLOOKUP(TEXT($C31,"@"),'[2]Tabla BG 2'!$C:$C,'[2]Tabla BG 2'!AO:AO,0)+AU31</f>
        <v>391858.28875000018</v>
      </c>
      <c r="AW31" s="54"/>
      <c r="AX31" s="54"/>
      <c r="AY31" s="54"/>
      <c r="AZ31" s="54"/>
      <c r="BA31" s="54"/>
      <c r="BB31" s="54"/>
      <c r="BC31" s="54"/>
      <c r="BD31" s="54"/>
      <c r="BE31" s="54"/>
      <c r="BF31" s="54"/>
      <c r="BG31" s="54"/>
      <c r="BH31" s="54"/>
      <c r="BI31" s="55">
        <f t="shared" ref="BI31:BK31" si="9">-BI54</f>
        <v>0</v>
      </c>
      <c r="BJ31" s="55">
        <f t="shared" si="9"/>
        <v>0</v>
      </c>
      <c r="BK31" s="55">
        <f t="shared" si="9"/>
        <v>0</v>
      </c>
      <c r="BL31" s="55"/>
      <c r="BM31" s="55"/>
      <c r="BN31" s="55"/>
    </row>
    <row r="32" spans="1:66" collapsed="1" x14ac:dyDescent="0.35">
      <c r="A32" s="1">
        <v>2365</v>
      </c>
      <c r="B32" s="2" t="str">
        <f t="shared" si="3"/>
        <v>COC1120</v>
      </c>
      <c r="C32" s="36">
        <v>1120</v>
      </c>
      <c r="D32" s="66" t="s">
        <v>28</v>
      </c>
      <c r="E32" s="49"/>
      <c r="F32" s="50"/>
      <c r="G32" s="50"/>
      <c r="H32" s="50"/>
      <c r="I32" s="50"/>
      <c r="J32" s="50"/>
      <c r="K32" s="50"/>
      <c r="L32" s="32">
        <f>+_xlfn.XLOOKUP(C32,'[1]4'!$C:$C,'[1]4'!$I:$I,0)</f>
        <v>47409.950440000001</v>
      </c>
      <c r="M32" s="56">
        <f>+_xlfn.XLOOKUP(TEXT($C32,"@"),'[2]Tabla BG 2'!$C:$C,'[2]Tabla BG 2'!E:E,0)+L32</f>
        <v>81918.852469999882</v>
      </c>
      <c r="N32" s="57">
        <f>+_xlfn.XLOOKUP(TEXT($C32,"@"),'[2]Tabla BG 2'!$C:$C,'[2]Tabla BG 2'!F:F,0)+M32</f>
        <v>118679.86362999993</v>
      </c>
      <c r="O32" s="57">
        <f>+_xlfn.XLOOKUP(TEXT($C32,"@"),'[2]Tabla BG 2'!$C:$C,'[2]Tabla BG 2'!G:G,0)+N32</f>
        <v>140073.54209999996</v>
      </c>
      <c r="P32" s="57">
        <f>+_xlfn.XLOOKUP(TEXT($C32,"@"),'[2]Tabla BG 2'!$C:$C,'[2]Tabla BG 2'!H:H,0)+O32</f>
        <v>274084.37469999999</v>
      </c>
      <c r="Q32" s="57">
        <f>+_xlfn.XLOOKUP(TEXT($C32,"@"),'[2]Tabla BG 2'!$C:$C,'[2]Tabla BG 2'!I:I,0)+P32</f>
        <v>111523.55595000001</v>
      </c>
      <c r="R32" s="57">
        <f>+_xlfn.XLOOKUP(TEXT($C32,"@"),'[2]Tabla BG 2'!$C:$C,'[2]Tabla BG 2'!J:J,0)+Q32</f>
        <v>84723.129410000052</v>
      </c>
      <c r="S32" s="57">
        <f>+_xlfn.XLOOKUP(TEXT($C32,"@"),'[2]Tabla BG 2'!$C:$C,'[2]Tabla BG 2'!K:K,0)+R32</f>
        <v>184162.54050000012</v>
      </c>
      <c r="T32" s="57">
        <f>+_xlfn.XLOOKUP(TEXT($C32,"@"),'[2]Tabla BG 2'!$C:$C,'[2]Tabla BG 2'!L:L,0)+S32</f>
        <v>265857.3356600001</v>
      </c>
      <c r="U32" s="57">
        <f>+_xlfn.XLOOKUP(TEXT($C32,"@"),'[2]Tabla BG 2'!$C:$C,'[2]Tabla BG 2'!M:M,0)+T32</f>
        <v>187573.18842000014</v>
      </c>
      <c r="V32" s="57">
        <f>+_xlfn.XLOOKUP(TEXT($C32,"@"),'[2]Tabla BG 2'!$C:$C,'[2]Tabla BG 2'!N:N,0)+U32</f>
        <v>115677.32799000014</v>
      </c>
      <c r="W32" s="57">
        <f>+_xlfn.XLOOKUP(TEXT($C32,"@"),'[2]Tabla BG 2'!$C:$C,'[2]Tabla BG 2'!O:O,0)+V32</f>
        <v>81559.843540000147</v>
      </c>
      <c r="X32" s="57">
        <f>+_xlfn.XLOOKUP(TEXT($C32,"@"),'[2]Tabla BG 2'!$C:$C,'[2]Tabla BG 2'!P:P,0)+W32</f>
        <v>118795.21776000009</v>
      </c>
      <c r="Y32" s="30">
        <f>+_xlfn.XLOOKUP(TEXT($C32,"@"),'[2]Tabla BG 2'!$C:$C,'[2]Tabla BG 2'!R:R,0)+X32</f>
        <v>68316.929680000118</v>
      </c>
      <c r="Z32" s="31">
        <f>+_xlfn.XLOOKUP(TEXT($C32,"@"),'[2]Tabla BG 2'!$C:$C,'[2]Tabla BG 2'!S:S,0)+Y32</f>
        <v>193918.51595000015</v>
      </c>
      <c r="AA32" s="31">
        <f>+_xlfn.XLOOKUP(TEXT($C32,"@"),'[2]Tabla BG 2'!$C:$C,'[2]Tabla BG 2'!T:T,0)+Z32</f>
        <v>145875.91569000017</v>
      </c>
      <c r="AB32" s="31">
        <f>+_xlfn.XLOOKUP(TEXT($C32,"@"),'[2]Tabla BG 2'!$C:$C,'[2]Tabla BG 2'!U:U,0)+AA32</f>
        <v>281100.29751000012</v>
      </c>
      <c r="AC32" s="31">
        <f>+_xlfn.XLOOKUP(TEXT($C32,"@"),'[2]Tabla BG 2'!$C:$C,'[2]Tabla BG 2'!V:V,0)+AB32</f>
        <v>128686.74124000018</v>
      </c>
      <c r="AD32" s="31">
        <f>+_xlfn.XLOOKUP(TEXT($C32,"@"),'[2]Tabla BG 2'!$C:$C,'[2]Tabla BG 2'!W:W,0)+AC32</f>
        <v>82060.99753000011</v>
      </c>
      <c r="AE32" s="31">
        <f>+_xlfn.XLOOKUP(TEXT($C32,"@"),'[2]Tabla BG 2'!$C:$C,'[2]Tabla BG 2'!X:X,0)+AD32</f>
        <v>168205.12278000015</v>
      </c>
      <c r="AF32" s="31">
        <f>+_xlfn.XLOOKUP(TEXT($C32,"@"),'[2]Tabla BG 2'!$C:$C,'[2]Tabla BG 2'!Y:Y,0)+AE32</f>
        <v>318517.00606000016</v>
      </c>
      <c r="AG32" s="31">
        <f>+_xlfn.XLOOKUP(TEXT($C32,"@"),'[2]Tabla BG 2'!$C:$C,'[2]Tabla BG 2'!Z:Z,0)+AF32</f>
        <v>79817.97097000014</v>
      </c>
      <c r="AH32" s="31">
        <f>+_xlfn.XLOOKUP(TEXT($C32,"@"),'[2]Tabla BG 2'!$C:$C,'[2]Tabla BG 2'!AA:AA,0)+AG32</f>
        <v>129385.57234000019</v>
      </c>
      <c r="AI32" s="31">
        <f>+_xlfn.XLOOKUP(TEXT($C32,"@"),'[2]Tabla BG 2'!$C:$C,'[2]Tabla BG 2'!AB:AB,0)+AH32</f>
        <v>72635.959080000175</v>
      </c>
      <c r="AJ32" s="32">
        <f>+_xlfn.XLOOKUP(TEXT($C32,"@"),'[2]Tabla BG 2'!$C:$C,'[2]Tabla BG 2'!AC:AC,0)+AI32</f>
        <v>86303.808460000088</v>
      </c>
      <c r="AK32" s="56">
        <f>+_xlfn.XLOOKUP(TEXT($C32,"@"),'[2]Tabla BG 2'!$C:$C,'[2]Tabla BG 2'!AE:AE,0)+AJ32</f>
        <v>50928.294880000059</v>
      </c>
      <c r="AL32" s="57">
        <f>+_xlfn.XLOOKUP(TEXT($C32,"@"),'[2]Tabla BG 2'!$C:$C,'[2]Tabla BG 2'!AF:AF,0)+AK32</f>
        <v>57851.211960000102</v>
      </c>
      <c r="AM32" s="57">
        <f>+_xlfn.XLOOKUP(TEXT($C32,"@"),'[2]Tabla BG 2'!$C:$C,'[2]Tabla BG 2'!AG:AG,0)+AL32</f>
        <v>42743.850420000148</v>
      </c>
      <c r="AN32" s="57">
        <f>+_xlfn.XLOOKUP(TEXT($C32,"@"),'[2]Tabla BG 2'!$C:$C,'[2]Tabla BG 2'!AG:AG,0)+AM32</f>
        <v>27636.488880000194</v>
      </c>
      <c r="AO32" s="57">
        <f>+_xlfn.XLOOKUP(TEXT($C32,"@"),'[2]Tabla BG 2'!$C:$C,'[2]Tabla BG 2'!AH:AH,0)+AN32</f>
        <v>-15923.469159999746</v>
      </c>
      <c r="AP32" s="57">
        <f>+_xlfn.XLOOKUP(TEXT($C32,"@"),'[2]Tabla BG 2'!$C:$C,'[2]Tabla BG 2'!AI:AI,0)+AO32</f>
        <v>-20589.569179999584</v>
      </c>
      <c r="AQ32" s="57">
        <f>+_xlfn.XLOOKUP(TEXT($C32,"@"),'[2]Tabla BG 2'!$C:$C,'[2]Tabla BG 2'!AJ:AJ,0)+AP32</f>
        <v>-20589.569179999584</v>
      </c>
      <c r="AR32" s="57">
        <f>+_xlfn.XLOOKUP(TEXT($C32,"@"),'[2]Tabla BG 2'!$C:$C,'[2]Tabla BG 2'!AK:AK,0)+AQ32</f>
        <v>-20589.569179999584</v>
      </c>
      <c r="AS32" s="57">
        <f>+_xlfn.XLOOKUP(TEXT($C32,"@"),'[2]Tabla BG 2'!$C:$C,'[2]Tabla BG 2'!AL:AL,0)+AR32</f>
        <v>-20589.569179999584</v>
      </c>
      <c r="AT32" s="57">
        <f>+_xlfn.XLOOKUP(TEXT($C32,"@"),'[2]Tabla BG 2'!$C:$C,'[2]Tabla BG 2'!AM:AM,0)+AS32</f>
        <v>-20589.569179999584</v>
      </c>
      <c r="AU32" s="57">
        <f>+_xlfn.XLOOKUP(TEXT($C32,"@"),'[2]Tabla BG 2'!$C:$C,'[2]Tabla BG 2'!AN:AN,0)+AT32</f>
        <v>-20589.569179999584</v>
      </c>
      <c r="AV32" s="58">
        <f>+_xlfn.XLOOKUP(TEXT($C32,"@"),'[2]Tabla BG 2'!$C:$C,'[2]Tabla BG 2'!AO:AO,0)+AU32</f>
        <v>-20589.569179999584</v>
      </c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5">
        <v>1765.69</v>
      </c>
      <c r="BJ32" s="55">
        <v>1766.69</v>
      </c>
      <c r="BK32" s="55">
        <v>1767.69</v>
      </c>
      <c r="BL32" s="55"/>
      <c r="BM32" s="55"/>
      <c r="BN32" s="55"/>
    </row>
    <row r="33" spans="1:66" x14ac:dyDescent="0.35">
      <c r="A33" s="1">
        <v>2367</v>
      </c>
      <c r="B33" s="2" t="str">
        <f t="shared" si="3"/>
        <v>COC</v>
      </c>
      <c r="C33" s="36"/>
      <c r="D33" s="66"/>
      <c r="E33" s="49"/>
      <c r="F33" s="50"/>
      <c r="G33" s="50"/>
      <c r="H33" s="50"/>
      <c r="I33" s="50"/>
      <c r="J33" s="50"/>
      <c r="K33" s="50"/>
      <c r="L33" s="32"/>
      <c r="M33" s="56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8"/>
      <c r="Y33" s="30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2"/>
      <c r="AK33" s="56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8"/>
      <c r="AW33" s="54"/>
      <c r="AX33" s="54"/>
      <c r="AY33" s="54"/>
      <c r="AZ33" s="54"/>
      <c r="BA33" s="54"/>
      <c r="BB33" s="54"/>
      <c r="BC33" s="54"/>
      <c r="BD33" s="54"/>
      <c r="BE33" s="54"/>
      <c r="BF33" s="54"/>
      <c r="BG33" s="54"/>
      <c r="BH33" s="54"/>
      <c r="BI33" s="55"/>
      <c r="BJ33" s="55"/>
      <c r="BK33" s="55"/>
      <c r="BL33" s="55"/>
      <c r="BM33" s="55"/>
      <c r="BN33" s="55"/>
    </row>
    <row r="34" spans="1:66" x14ac:dyDescent="0.35">
      <c r="A34" s="1">
        <v>2368</v>
      </c>
      <c r="B34" s="2" t="str">
        <f t="shared" si="3"/>
        <v>COC</v>
      </c>
      <c r="C34" s="36"/>
      <c r="D34" s="66"/>
      <c r="E34" s="59"/>
      <c r="F34" s="60"/>
      <c r="G34" s="60"/>
      <c r="H34" s="60"/>
      <c r="I34" s="60"/>
      <c r="J34" s="60"/>
      <c r="K34" s="60"/>
      <c r="L34" s="64"/>
      <c r="M34" s="67"/>
      <c r="N34" s="68"/>
      <c r="O34" s="68"/>
      <c r="P34" s="68"/>
      <c r="Q34" s="68"/>
      <c r="R34" s="68"/>
      <c r="S34" s="68"/>
      <c r="T34" s="68"/>
      <c r="U34" s="68"/>
      <c r="V34" s="57"/>
      <c r="W34" s="68"/>
      <c r="X34" s="58"/>
      <c r="Y34" s="69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64"/>
      <c r="AK34" s="67"/>
      <c r="AL34" s="68"/>
      <c r="AM34" s="68"/>
      <c r="AN34" s="68"/>
      <c r="AO34" s="68"/>
      <c r="AP34" s="68"/>
      <c r="AQ34" s="68"/>
      <c r="AR34" s="68"/>
      <c r="AS34" s="68"/>
      <c r="AT34" s="57"/>
      <c r="AU34" s="68"/>
      <c r="AV34" s="58"/>
      <c r="AW34" s="54"/>
      <c r="AX34" s="54"/>
      <c r="AY34" s="54"/>
      <c r="AZ34" s="54"/>
      <c r="BA34" s="54"/>
      <c r="BB34" s="54"/>
      <c r="BC34" s="54"/>
      <c r="BD34" s="54"/>
      <c r="BE34" s="54"/>
      <c r="BF34" s="54"/>
      <c r="BG34" s="54"/>
      <c r="BH34" s="54"/>
      <c r="BI34" s="71">
        <f>+X34</f>
        <v>0</v>
      </c>
      <c r="BJ34" s="71">
        <f t="shared" ref="BJ34:BK34" si="10">+BI34</f>
        <v>0</v>
      </c>
      <c r="BK34" s="71">
        <f t="shared" si="10"/>
        <v>0</v>
      </c>
      <c r="BL34" s="71"/>
      <c r="BM34" s="71"/>
      <c r="BN34" s="71"/>
    </row>
    <row r="35" spans="1:66" x14ac:dyDescent="0.35">
      <c r="A35" s="1">
        <v>2370</v>
      </c>
      <c r="B35" s="2" t="str">
        <f t="shared" si="3"/>
        <v>COC</v>
      </c>
      <c r="C35"/>
      <c r="D35" s="18" t="s">
        <v>29</v>
      </c>
      <c r="E35" s="72"/>
      <c r="F35" s="24"/>
      <c r="G35" s="24"/>
      <c r="H35" s="24"/>
      <c r="I35" s="24"/>
      <c r="J35" s="24"/>
      <c r="K35" s="24"/>
      <c r="L35" s="73">
        <f t="shared" ref="L35:AV35" si="11">+L37+L43+L53</f>
        <v>748714.50382999994</v>
      </c>
      <c r="M35" s="74">
        <f t="shared" si="11"/>
        <v>751721.34039000003</v>
      </c>
      <c r="N35" s="75">
        <f t="shared" si="11"/>
        <v>766995.63413000002</v>
      </c>
      <c r="O35" s="75">
        <f t="shared" si="11"/>
        <v>761195.22097999998</v>
      </c>
      <c r="P35" s="75">
        <f t="shared" si="11"/>
        <v>759396.43283000006</v>
      </c>
      <c r="Q35" s="75">
        <f t="shared" si="11"/>
        <v>753356.20968000009</v>
      </c>
      <c r="R35" s="75">
        <f t="shared" si="11"/>
        <v>749809.08652999997</v>
      </c>
      <c r="S35" s="75">
        <f t="shared" si="11"/>
        <v>761125.07652000012</v>
      </c>
      <c r="T35" s="75">
        <f t="shared" si="11"/>
        <v>771171.68019999994</v>
      </c>
      <c r="U35" s="75">
        <f t="shared" si="11"/>
        <v>863986.61621999997</v>
      </c>
      <c r="V35" s="75">
        <f t="shared" si="11"/>
        <v>919462.69080999994</v>
      </c>
      <c r="W35" s="75">
        <f t="shared" si="11"/>
        <v>923041.16179999989</v>
      </c>
      <c r="X35" s="73">
        <f t="shared" si="11"/>
        <v>917500.78385999985</v>
      </c>
      <c r="Y35" s="74">
        <f t="shared" si="11"/>
        <v>912093.48479999974</v>
      </c>
      <c r="Z35" s="75">
        <f t="shared" si="11"/>
        <v>912127.63637999981</v>
      </c>
      <c r="AA35" s="75">
        <f t="shared" si="11"/>
        <v>914415.35128999979</v>
      </c>
      <c r="AB35" s="75">
        <f t="shared" si="11"/>
        <v>923558.06219999969</v>
      </c>
      <c r="AC35" s="75">
        <f t="shared" si="11"/>
        <v>916805.96543999983</v>
      </c>
      <c r="AD35" s="75">
        <f t="shared" si="11"/>
        <v>913090.31901999994</v>
      </c>
      <c r="AE35" s="75">
        <f t="shared" si="11"/>
        <v>934602.46325999999</v>
      </c>
      <c r="AF35" s="75">
        <f t="shared" si="11"/>
        <v>935230.13640000019</v>
      </c>
      <c r="AG35" s="75">
        <f t="shared" si="11"/>
        <v>939438.75440000009</v>
      </c>
      <c r="AH35" s="75">
        <f t="shared" si="11"/>
        <v>932716.90003999998</v>
      </c>
      <c r="AI35" s="75">
        <f t="shared" si="11"/>
        <v>931703.68667999993</v>
      </c>
      <c r="AJ35" s="73">
        <f t="shared" si="11"/>
        <v>922433.46156000008</v>
      </c>
      <c r="AK35" s="74">
        <f t="shared" si="11"/>
        <v>916833.45296000002</v>
      </c>
      <c r="AL35" s="75">
        <f t="shared" si="11"/>
        <v>920394.11835999985</v>
      </c>
      <c r="AM35" s="75">
        <f t="shared" si="11"/>
        <v>912482.06675999996</v>
      </c>
      <c r="AN35" s="75">
        <f t="shared" si="11"/>
        <v>909100.97275999992</v>
      </c>
      <c r="AO35" s="75">
        <f t="shared" si="11"/>
        <v>903680.53556000011</v>
      </c>
      <c r="AP35" s="75">
        <f t="shared" si="11"/>
        <v>1071979.0560900001</v>
      </c>
      <c r="AQ35" s="75">
        <f t="shared" si="11"/>
        <v>1071979.0560900001</v>
      </c>
      <c r="AR35" s="75">
        <f t="shared" si="11"/>
        <v>1071979.0560900001</v>
      </c>
      <c r="AS35" s="75">
        <f t="shared" si="11"/>
        <v>1071979.0560900001</v>
      </c>
      <c r="AT35" s="75">
        <f t="shared" si="11"/>
        <v>1071979.0560900001</v>
      </c>
      <c r="AU35" s="75">
        <f t="shared" si="11"/>
        <v>1071979.0560900001</v>
      </c>
      <c r="AV35" s="73">
        <f t="shared" si="11"/>
        <v>1071979.0560900001</v>
      </c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5" t="e">
        <f>+BI37+BI43+BI53</f>
        <v>#REF!</v>
      </c>
      <c r="BJ35" s="25" t="e">
        <f>+BJ37+BJ43+BJ53</f>
        <v>#REF!</v>
      </c>
      <c r="BK35" s="25" t="e">
        <f>+BK37+BK43+BK53</f>
        <v>#REF!</v>
      </c>
      <c r="BL35" s="25"/>
      <c r="BM35" s="25"/>
      <c r="BN35" s="25"/>
    </row>
    <row r="36" spans="1:66" x14ac:dyDescent="0.35">
      <c r="A36" s="1">
        <v>2380</v>
      </c>
      <c r="B36" s="2" t="str">
        <f t="shared" si="3"/>
        <v>COC</v>
      </c>
      <c r="C36"/>
      <c r="D36" s="3"/>
      <c r="E36" s="26"/>
      <c r="F36" s="27"/>
      <c r="G36" s="27"/>
      <c r="H36" s="27"/>
      <c r="I36" s="27"/>
      <c r="J36" s="27"/>
      <c r="K36" s="27"/>
      <c r="L36" s="28"/>
      <c r="M36" s="65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33"/>
      <c r="Y36" s="76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28"/>
      <c r="AK36" s="65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33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5"/>
      <c r="BJ36" s="35"/>
      <c r="BK36" s="35"/>
      <c r="BL36" s="35"/>
      <c r="BM36" s="35"/>
      <c r="BN36" s="35"/>
    </row>
    <row r="37" spans="1:66" ht="15" thickBot="1" x14ac:dyDescent="0.4">
      <c r="A37" s="1">
        <v>2404</v>
      </c>
      <c r="B37" s="2" t="str">
        <f t="shared" si="3"/>
        <v>COC</v>
      </c>
      <c r="C37"/>
      <c r="D37" s="3" t="s">
        <v>30</v>
      </c>
      <c r="E37" s="37"/>
      <c r="F37" s="38"/>
      <c r="G37" s="38"/>
      <c r="H37" s="38"/>
      <c r="I37" s="38"/>
      <c r="J37" s="38"/>
      <c r="K37" s="38"/>
      <c r="L37" s="39">
        <f>SUM(L38:L40)</f>
        <v>34708.225999999995</v>
      </c>
      <c r="M37" s="40">
        <f>SUM(M38:M41)</f>
        <v>34153.31</v>
      </c>
      <c r="N37" s="41">
        <f>SUM(N38:N40)</f>
        <v>40054.642999999996</v>
      </c>
      <c r="O37" s="41">
        <f t="shared" ref="O37:X37" si="12">SUM(O38:O40)</f>
        <v>38731.148999999998</v>
      </c>
      <c r="P37" s="41">
        <f t="shared" si="12"/>
        <v>38559.279999999999</v>
      </c>
      <c r="Q37" s="41">
        <f t="shared" si="12"/>
        <v>37005.475999999995</v>
      </c>
      <c r="R37" s="41">
        <f t="shared" si="12"/>
        <v>34913.872000000003</v>
      </c>
      <c r="S37" s="41">
        <f t="shared" si="12"/>
        <v>40127.9</v>
      </c>
      <c r="T37" s="41">
        <f t="shared" si="12"/>
        <v>51873.146000000001</v>
      </c>
      <c r="U37" s="41">
        <f t="shared" si="12"/>
        <v>56029.938000000002</v>
      </c>
      <c r="V37" s="41">
        <f t="shared" si="12"/>
        <v>49598.737999999998</v>
      </c>
      <c r="W37" s="41">
        <f t="shared" si="12"/>
        <v>51863.663</v>
      </c>
      <c r="X37" s="41">
        <f t="shared" si="12"/>
        <v>45368.489000000001</v>
      </c>
      <c r="Y37" s="42">
        <f>SUM(Y38:Y41)</f>
        <v>42095.489000000001</v>
      </c>
      <c r="Z37" s="43">
        <f t="shared" ref="Z37:AJ37" si="13">SUM(Z38:Z41)</f>
        <v>46004.218999999997</v>
      </c>
      <c r="AA37" s="43">
        <f t="shared" si="13"/>
        <v>41875.062000000005</v>
      </c>
      <c r="AB37" s="43">
        <f t="shared" si="13"/>
        <v>37745.900999999998</v>
      </c>
      <c r="AC37" s="43">
        <f t="shared" si="13"/>
        <v>34235.349000000002</v>
      </c>
      <c r="AD37" s="43">
        <f t="shared" si="13"/>
        <v>30085.014000000003</v>
      </c>
      <c r="AE37" s="43">
        <f t="shared" si="13"/>
        <v>33317.770000000004</v>
      </c>
      <c r="AF37" s="43">
        <f t="shared" si="13"/>
        <v>29212.736000000004</v>
      </c>
      <c r="AG37" s="43">
        <f t="shared" si="13"/>
        <v>38689.904000000002</v>
      </c>
      <c r="AH37" s="43">
        <f t="shared" si="13"/>
        <v>36487.231</v>
      </c>
      <c r="AI37" s="43">
        <f t="shared" si="13"/>
        <v>40792.100000000006</v>
      </c>
      <c r="AJ37" s="39">
        <f t="shared" si="13"/>
        <v>36022.781240000011</v>
      </c>
      <c r="AK37" s="40">
        <f>SUM(AK38:AK41)</f>
        <v>34140.397240000006</v>
      </c>
      <c r="AL37" s="41">
        <f t="shared" ref="AL37:AV37" si="14">SUM(AL38:AL41)</f>
        <v>41752.120240000004</v>
      </c>
      <c r="AM37" s="41">
        <f t="shared" si="14"/>
        <v>38371.026240000007</v>
      </c>
      <c r="AN37" s="41">
        <f t="shared" si="14"/>
        <v>34989.932240000002</v>
      </c>
      <c r="AO37" s="41">
        <f t="shared" si="14"/>
        <v>37338.177240000005</v>
      </c>
      <c r="AP37" s="41">
        <f t="shared" si="14"/>
        <v>41000.977480000001</v>
      </c>
      <c r="AQ37" s="41">
        <f t="shared" si="14"/>
        <v>41000.977480000001</v>
      </c>
      <c r="AR37" s="41">
        <f t="shared" si="14"/>
        <v>41000.977480000001</v>
      </c>
      <c r="AS37" s="41">
        <f t="shared" si="14"/>
        <v>41000.977480000001</v>
      </c>
      <c r="AT37" s="41">
        <f t="shared" si="14"/>
        <v>41000.977480000001</v>
      </c>
      <c r="AU37" s="41">
        <f t="shared" si="14"/>
        <v>41000.977480000001</v>
      </c>
      <c r="AV37" s="44">
        <f t="shared" si="14"/>
        <v>41000.977480000001</v>
      </c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6">
        <f t="shared" ref="BI37:BK37" si="15">SUM(BI38:BI42)</f>
        <v>0</v>
      </c>
      <c r="BJ37" s="46">
        <f t="shared" si="15"/>
        <v>0</v>
      </c>
      <c r="BK37" s="46">
        <f t="shared" si="15"/>
        <v>0</v>
      </c>
      <c r="BL37" s="47"/>
      <c r="BM37" s="47"/>
      <c r="BN37" s="47"/>
    </row>
    <row r="38" spans="1:66" ht="15" thickTop="1" x14ac:dyDescent="0.35">
      <c r="A38" s="1">
        <v>2408</v>
      </c>
      <c r="B38" s="2" t="str">
        <f t="shared" si="3"/>
        <v>COC1635</v>
      </c>
      <c r="C38" s="36">
        <v>1635</v>
      </c>
      <c r="D38" s="66" t="s">
        <v>31</v>
      </c>
      <c r="E38" s="49"/>
      <c r="F38" s="50"/>
      <c r="G38" s="50"/>
      <c r="H38" s="50"/>
      <c r="I38" s="50"/>
      <c r="J38" s="50"/>
      <c r="K38" s="50"/>
      <c r="L38" s="32">
        <f>+_xlfn.XLOOKUP(C38,'[1]4'!$C:$C,'[1]4'!$I:$I,0)</f>
        <v>0</v>
      </c>
      <c r="M38" s="56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30">
        <f>+_xlfn.XLOOKUP(TEXT($C38,"@"),'[2]Tabla BG 2'!$C:$C,'[2]Tabla BG 2'!R:R,0)+X38</f>
        <v>0</v>
      </c>
      <c r="Z38" s="31">
        <f>+_xlfn.XLOOKUP(TEXT($C38,"@"),'[2]Tabla BG 2'!$C:$C,'[2]Tabla BG 2'!S:S,0)+Y38</f>
        <v>0</v>
      </c>
      <c r="AA38" s="31">
        <f>+_xlfn.XLOOKUP(TEXT($C38,"@"),'[2]Tabla BG 2'!$C:$C,'[2]Tabla BG 2'!T:T,0)+Z38</f>
        <v>0</v>
      </c>
      <c r="AB38" s="31">
        <f>+_xlfn.XLOOKUP(TEXT($C38,"@"),'[2]Tabla BG 2'!$C:$C,'[2]Tabla BG 2'!U:U,0)+AA38</f>
        <v>0</v>
      </c>
      <c r="AC38" s="31">
        <f>+_xlfn.XLOOKUP(TEXT($C38,"@"),'[2]Tabla BG 2'!$C:$C,'[2]Tabla BG 2'!V:V,0)+AB38</f>
        <v>0</v>
      </c>
      <c r="AD38" s="31">
        <f>+_xlfn.XLOOKUP(TEXT($C38,"@"),'[2]Tabla BG 2'!$C:$C,'[2]Tabla BG 2'!W:W,0)+AC38</f>
        <v>0</v>
      </c>
      <c r="AE38" s="31">
        <f>+_xlfn.XLOOKUP(TEXT($C38,"@"),'[2]Tabla BG 2'!$C:$C,'[2]Tabla BG 2'!X:X,0)+AD38</f>
        <v>0</v>
      </c>
      <c r="AF38" s="31">
        <f>+_xlfn.XLOOKUP(TEXT($C38,"@"),'[2]Tabla BG 2'!$C:$C,'[2]Tabla BG 2'!Y:Y,0)+AE38</f>
        <v>0</v>
      </c>
      <c r="AG38" s="31">
        <f>+_xlfn.XLOOKUP(TEXT($C38,"@"),'[2]Tabla BG 2'!$C:$C,'[2]Tabla BG 2'!Z:Z,0)+AF38</f>
        <v>0</v>
      </c>
      <c r="AH38" s="31">
        <f>+_xlfn.XLOOKUP(TEXT($C38,"@"),'[2]Tabla BG 2'!$C:$C,'[2]Tabla BG 2'!AA:AA,0)+AG38</f>
        <v>0</v>
      </c>
      <c r="AI38" s="31">
        <f>+_xlfn.XLOOKUP(TEXT($C38,"@"),'[2]Tabla BG 2'!$C:$C,'[2]Tabla BG 2'!AB:AB,0)+AH38</f>
        <v>0</v>
      </c>
      <c r="AJ38" s="32">
        <f>+_xlfn.XLOOKUP(TEXT($C38,"@"),'[2]Tabla BG 2'!$C:$C,'[2]Tabla BG 2'!AC:AC,0)+AI38</f>
        <v>0</v>
      </c>
      <c r="AK38" s="56">
        <f>+_xlfn.XLOOKUP(TEXT($C38,"@"),'[2]Tabla BG 2'!$C:$C,'[2]Tabla BG 2'!AE:AE,0)+AJ38</f>
        <v>0</v>
      </c>
      <c r="AL38" s="52">
        <f>+_xlfn.XLOOKUP(TEXT($C38,"@"),'[2]Tabla BG 2'!$C:$C,'[2]Tabla BG 2'!AF:AF,0)+AK38</f>
        <v>0</v>
      </c>
      <c r="AM38" s="52">
        <f>+_xlfn.XLOOKUP(TEXT($C38,"@"),'[2]Tabla BG 2'!$C:$C,'[2]Tabla BG 2'!AG:AG,0)+AL38</f>
        <v>0</v>
      </c>
      <c r="AN38" s="52">
        <f>+_xlfn.XLOOKUP(TEXT($C38,"@"),'[2]Tabla BG 2'!$C:$C,'[2]Tabla BG 2'!AG:AG,0)+AM38</f>
        <v>0</v>
      </c>
      <c r="AO38" s="52">
        <f>+_xlfn.XLOOKUP(TEXT($C38,"@"),'[2]Tabla BG 2'!$C:$C,'[2]Tabla BG 2'!AH:AH,0)+AN38</f>
        <v>0</v>
      </c>
      <c r="AP38" s="52">
        <f>+_xlfn.XLOOKUP(TEXT($C38,"@"),'[2]Tabla BG 2'!$C:$C,'[2]Tabla BG 2'!AI:AI,0)+AO38</f>
        <v>0</v>
      </c>
      <c r="AQ38" s="52">
        <f>+_xlfn.XLOOKUP(TEXT($C38,"@"),'[2]Tabla BG 2'!$C:$C,'[2]Tabla BG 2'!AJ:AJ,0)+AP38</f>
        <v>0</v>
      </c>
      <c r="AR38" s="52">
        <f>+_xlfn.XLOOKUP(TEXT($C38,"@"),'[2]Tabla BG 2'!$C:$C,'[2]Tabla BG 2'!AK:AK,0)+AQ38</f>
        <v>0</v>
      </c>
      <c r="AS38" s="52">
        <f>+_xlfn.XLOOKUP(TEXT($C38,"@"),'[2]Tabla BG 2'!$C:$C,'[2]Tabla BG 2'!AL:AL,0)+AR38</f>
        <v>0</v>
      </c>
      <c r="AT38" s="52">
        <f>+_xlfn.XLOOKUP(TEXT($C38,"@"),'[2]Tabla BG 2'!$C:$C,'[2]Tabla BG 2'!AM:AM,0)+AS38</f>
        <v>0</v>
      </c>
      <c r="AU38" s="52">
        <f>+_xlfn.XLOOKUP(TEXT($C38,"@"),'[2]Tabla BG 2'!$C:$C,'[2]Tabla BG 2'!AN:AN,0)+AT38</f>
        <v>0</v>
      </c>
      <c r="AV38" s="53">
        <f>+_xlfn.XLOOKUP(TEXT($C38,"@"),'[2]Tabla BG 2'!$C:$C,'[2]Tabla BG 2'!AO:AO,0)+AU38</f>
        <v>0</v>
      </c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5">
        <f>+X38+8</f>
        <v>8</v>
      </c>
      <c r="BJ38" s="55">
        <f t="shared" ref="BJ38:BK38" si="16">+BI38+8</f>
        <v>16</v>
      </c>
      <c r="BK38" s="55">
        <f t="shared" si="16"/>
        <v>24</v>
      </c>
      <c r="BL38" s="55"/>
      <c r="BM38" s="55"/>
      <c r="BN38" s="55"/>
    </row>
    <row r="39" spans="1:66" x14ac:dyDescent="0.35">
      <c r="A39" s="1">
        <v>2412</v>
      </c>
      <c r="B39" s="2" t="str">
        <f t="shared" si="3"/>
        <v>COC1705</v>
      </c>
      <c r="C39" s="36">
        <v>1705</v>
      </c>
      <c r="D39" s="66" t="s">
        <v>32</v>
      </c>
      <c r="E39" s="49"/>
      <c r="F39" s="50"/>
      <c r="G39" s="50"/>
      <c r="H39" s="50"/>
      <c r="I39" s="50"/>
      <c r="J39" s="50"/>
      <c r="K39" s="50"/>
      <c r="L39" s="32">
        <f>+_xlfn.XLOOKUP(C39,'[1]4'!$C:$C,'[1]4'!$I:$I,0)</f>
        <v>17369.355</v>
      </c>
      <c r="M39" s="56">
        <f>+_xlfn.XLOOKUP(TEXT($C39,"@"),'[2]Tabla BG 2'!$C:$C,'[2]Tabla BG 2'!E:E,0)+L39</f>
        <v>16814.438999999998</v>
      </c>
      <c r="N39" s="57">
        <f>+_xlfn.XLOOKUP(TEXT($C39,"@"),'[2]Tabla BG 2'!$C:$C,'[2]Tabla BG 2'!F:F,0)+M39</f>
        <v>22715.771999999997</v>
      </c>
      <c r="O39" s="57">
        <f>+_xlfn.XLOOKUP(TEXT($C39,"@"),'[2]Tabla BG 2'!$C:$C,'[2]Tabla BG 2'!G:G,0)+N39</f>
        <v>21392.277999999998</v>
      </c>
      <c r="P39" s="57">
        <f>+_xlfn.XLOOKUP(TEXT($C39,"@"),'[2]Tabla BG 2'!$C:$C,'[2]Tabla BG 2'!H:H,0)+O39</f>
        <v>21220.409</v>
      </c>
      <c r="Q39" s="57">
        <f>+_xlfn.XLOOKUP(TEXT($C39,"@"),'[2]Tabla BG 2'!$C:$C,'[2]Tabla BG 2'!I:I,0)+P39</f>
        <v>19666.605</v>
      </c>
      <c r="R39" s="57">
        <f>+_xlfn.XLOOKUP(TEXT($C39,"@"),'[2]Tabla BG 2'!$C:$C,'[2]Tabla BG 2'!J:J,0)+Q39</f>
        <v>17575.001</v>
      </c>
      <c r="S39" s="57">
        <f>+_xlfn.XLOOKUP(TEXT($C39,"@"),'[2]Tabla BG 2'!$C:$C,'[2]Tabla BG 2'!K:K,0)+R39</f>
        <v>22789.029000000002</v>
      </c>
      <c r="T39" s="57">
        <f>+_xlfn.XLOOKUP(TEXT($C39,"@"),'[2]Tabla BG 2'!$C:$C,'[2]Tabla BG 2'!L:L,0)+S39</f>
        <v>34534.275000000001</v>
      </c>
      <c r="U39" s="57">
        <f>+_xlfn.XLOOKUP(TEXT($C39,"@"),'[2]Tabla BG 2'!$C:$C,'[2]Tabla BG 2'!M:M,0)+T39</f>
        <v>38691.067000000003</v>
      </c>
      <c r="V39" s="57">
        <f>+_xlfn.XLOOKUP(TEXT($C39,"@"),'[2]Tabla BG 2'!$C:$C,'[2]Tabla BG 2'!N:N,0)+U39</f>
        <v>32259.867000000002</v>
      </c>
      <c r="W39" s="57">
        <f>+_xlfn.XLOOKUP(TEXT($C39,"@"),'[2]Tabla BG 2'!$C:$C,'[2]Tabla BG 2'!O:O,0)+V39</f>
        <v>34524.792000000001</v>
      </c>
      <c r="X39" s="57">
        <f>+_xlfn.XLOOKUP(TEXT($C39,"@"),'[2]Tabla BG 2'!$C:$C,'[2]Tabla BG 2'!P:P,0)+W39</f>
        <v>28029.618000000002</v>
      </c>
      <c r="Y39" s="30">
        <f>+_xlfn.XLOOKUP(TEXT($C39,"@"),'[2]Tabla BG 2'!$C:$C,'[2]Tabla BG 2'!R:R,0)+X39</f>
        <v>24756.618000000002</v>
      </c>
      <c r="Z39" s="31">
        <f>+_xlfn.XLOOKUP(TEXT($C39,"@"),'[2]Tabla BG 2'!$C:$C,'[2]Tabla BG 2'!S:S,0)+Y39</f>
        <v>28665.348000000002</v>
      </c>
      <c r="AA39" s="31">
        <f>+_xlfn.XLOOKUP(TEXT($C39,"@"),'[2]Tabla BG 2'!$C:$C,'[2]Tabla BG 2'!T:T,0)+Z39</f>
        <v>24536.191000000003</v>
      </c>
      <c r="AB39" s="31">
        <f>+_xlfn.XLOOKUP(TEXT($C39,"@"),'[2]Tabla BG 2'!$C:$C,'[2]Tabla BG 2'!U:U,0)+AA39</f>
        <v>20407.030000000002</v>
      </c>
      <c r="AC39" s="31">
        <f>+_xlfn.XLOOKUP(TEXT($C39,"@"),'[2]Tabla BG 2'!$C:$C,'[2]Tabla BG 2'!V:V,0)+AB39</f>
        <v>16896.478000000003</v>
      </c>
      <c r="AD39" s="31">
        <f>+_xlfn.XLOOKUP(TEXT($C39,"@"),'[2]Tabla BG 2'!$C:$C,'[2]Tabla BG 2'!W:W,0)+AC39</f>
        <v>12746.143000000004</v>
      </c>
      <c r="AE39" s="31">
        <f>+_xlfn.XLOOKUP(TEXT($C39,"@"),'[2]Tabla BG 2'!$C:$C,'[2]Tabla BG 2'!X:X,0)+AD39</f>
        <v>15978.899000000003</v>
      </c>
      <c r="AF39" s="31">
        <f>+_xlfn.XLOOKUP(TEXT($C39,"@"),'[2]Tabla BG 2'!$C:$C,'[2]Tabla BG 2'!Y:Y,0)+AE39</f>
        <v>11873.865000000003</v>
      </c>
      <c r="AG39" s="31">
        <f>+_xlfn.XLOOKUP(TEXT($C39,"@"),'[2]Tabla BG 2'!$C:$C,'[2]Tabla BG 2'!Z:Z,0)+AF39</f>
        <v>21351.033000000003</v>
      </c>
      <c r="AH39" s="31">
        <f>+_xlfn.XLOOKUP(TEXT($C39,"@"),'[2]Tabla BG 2'!$C:$C,'[2]Tabla BG 2'!AA:AA,0)+AG39</f>
        <v>19148.360000000004</v>
      </c>
      <c r="AI39" s="31">
        <f>+_xlfn.XLOOKUP(TEXT($C39,"@"),'[2]Tabla BG 2'!$C:$C,'[2]Tabla BG 2'!AB:AB,0)+AH39</f>
        <v>23453.229000000007</v>
      </c>
      <c r="AJ39" s="32">
        <f>+_xlfn.XLOOKUP(TEXT($C39,"@"),'[2]Tabla BG 2'!$C:$C,'[2]Tabla BG 2'!AC:AC,0)+AI39</f>
        <v>18683.910000000007</v>
      </c>
      <c r="AK39" s="56">
        <f>+_xlfn.XLOOKUP(TEXT($C39,"@"),'[2]Tabla BG 2'!$C:$C,'[2]Tabla BG 2'!AE:AE,0)+AJ39</f>
        <v>16801.526000000005</v>
      </c>
      <c r="AL39" s="57">
        <f>+_xlfn.XLOOKUP(TEXT($C39,"@"),'[2]Tabla BG 2'!$C:$C,'[2]Tabla BG 2'!AF:AF,0)+AK39</f>
        <v>24413.249000000003</v>
      </c>
      <c r="AM39" s="57">
        <f>+_xlfn.XLOOKUP(TEXT($C39,"@"),'[2]Tabla BG 2'!$C:$C,'[2]Tabla BG 2'!AG:AG,0)+AL39</f>
        <v>21032.155000000002</v>
      </c>
      <c r="AN39" s="57">
        <f>+_xlfn.XLOOKUP(TEXT($C39,"@"),'[2]Tabla BG 2'!$C:$C,'[2]Tabla BG 2'!AG:AG,0)+AM39</f>
        <v>17651.061000000002</v>
      </c>
      <c r="AO39" s="57">
        <f>+_xlfn.XLOOKUP(TEXT($C39,"@"),'[2]Tabla BG 2'!$C:$C,'[2]Tabla BG 2'!AH:AH,0)+AN39</f>
        <v>19999.306</v>
      </c>
      <c r="AP39" s="57">
        <f>+_xlfn.XLOOKUP(TEXT($C39,"@"),'[2]Tabla BG 2'!$C:$C,'[2]Tabla BG 2'!AI:AI,0)+AO39</f>
        <v>23662.106</v>
      </c>
      <c r="AQ39" s="57">
        <f>+_xlfn.XLOOKUP(TEXT($C39,"@"),'[2]Tabla BG 2'!$C:$C,'[2]Tabla BG 2'!AJ:AJ,0)+AP39</f>
        <v>23662.106</v>
      </c>
      <c r="AR39" s="57">
        <f>+_xlfn.XLOOKUP(TEXT($C39,"@"),'[2]Tabla BG 2'!$C:$C,'[2]Tabla BG 2'!AK:AK,0)+AQ39</f>
        <v>23662.106</v>
      </c>
      <c r="AS39" s="57">
        <f>+_xlfn.XLOOKUP(TEXT($C39,"@"),'[2]Tabla BG 2'!$C:$C,'[2]Tabla BG 2'!AL:AL,0)+AR39</f>
        <v>23662.106</v>
      </c>
      <c r="AT39" s="57">
        <f>+_xlfn.XLOOKUP(TEXT($C39,"@"),'[2]Tabla BG 2'!$C:$C,'[2]Tabla BG 2'!AM:AM,0)+AS39</f>
        <v>23662.106</v>
      </c>
      <c r="AU39" s="57">
        <f>+_xlfn.XLOOKUP(TEXT($C39,"@"),'[2]Tabla BG 2'!$C:$C,'[2]Tabla BG 2'!AN:AN,0)+AT39</f>
        <v>23662.106</v>
      </c>
      <c r="AV39" s="58">
        <f>+_xlfn.XLOOKUP(TEXT($C39,"@"),'[2]Tabla BG 2'!$C:$C,'[2]Tabla BG 2'!AO:AO,0)+AU39</f>
        <v>23662.106</v>
      </c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5"/>
      <c r="BJ39" s="55"/>
      <c r="BK39" s="55"/>
      <c r="BL39" s="55"/>
      <c r="BM39" s="55"/>
      <c r="BN39" s="55"/>
    </row>
    <row r="40" spans="1:66" x14ac:dyDescent="0.35">
      <c r="A40" s="1">
        <v>2495</v>
      </c>
      <c r="B40" s="2" t="str">
        <f t="shared" si="3"/>
        <v>COC1710</v>
      </c>
      <c r="C40" s="36">
        <v>1710</v>
      </c>
      <c r="D40" s="66" t="s">
        <v>33</v>
      </c>
      <c r="E40" s="49"/>
      <c r="F40" s="50"/>
      <c r="G40" s="50"/>
      <c r="H40" s="50"/>
      <c r="I40" s="50"/>
      <c r="J40" s="50"/>
      <c r="K40" s="50"/>
      <c r="L40" s="32">
        <f>+_xlfn.XLOOKUP(C40,'[1]4'!$C:$C,'[1]4'!$I:$I,0)</f>
        <v>17338.870999999999</v>
      </c>
      <c r="M40" s="56">
        <f>+_xlfn.XLOOKUP(TEXT($C40,"@"),'[2]Tabla BG 2'!$C:$C,'[2]Tabla BG 2'!E:E,0)+L40</f>
        <v>17338.870999999999</v>
      </c>
      <c r="N40" s="57">
        <f>+_xlfn.XLOOKUP(TEXT($C40,"@"),'[2]Tabla BG 2'!$C:$C,'[2]Tabla BG 2'!F:F,0)+M40</f>
        <v>17338.870999999999</v>
      </c>
      <c r="O40" s="57">
        <f>+_xlfn.XLOOKUP(TEXT($C40,"@"),'[2]Tabla BG 2'!$C:$C,'[2]Tabla BG 2'!G:G,0)+N40</f>
        <v>17338.870999999999</v>
      </c>
      <c r="P40" s="57">
        <f>+_xlfn.XLOOKUP(TEXT($C40,"@"),'[2]Tabla BG 2'!$C:$C,'[2]Tabla BG 2'!H:H,0)+O40</f>
        <v>17338.870999999999</v>
      </c>
      <c r="Q40" s="57">
        <f>+_xlfn.XLOOKUP(TEXT($C40,"@"),'[2]Tabla BG 2'!$C:$C,'[2]Tabla BG 2'!I:I,0)+P40</f>
        <v>17338.870999999999</v>
      </c>
      <c r="R40" s="57">
        <f>+_xlfn.XLOOKUP(TEXT($C40,"@"),'[2]Tabla BG 2'!$C:$C,'[2]Tabla BG 2'!J:J,0)+Q40</f>
        <v>17338.870999999999</v>
      </c>
      <c r="S40" s="57">
        <f>+_xlfn.XLOOKUP(TEXT($C40,"@"),'[2]Tabla BG 2'!$C:$C,'[2]Tabla BG 2'!K:K,0)+R40</f>
        <v>17338.870999999999</v>
      </c>
      <c r="T40" s="57">
        <f>+_xlfn.XLOOKUP(TEXT($C40,"@"),'[2]Tabla BG 2'!$C:$C,'[2]Tabla BG 2'!L:L,0)+S40</f>
        <v>17338.870999999999</v>
      </c>
      <c r="U40" s="57">
        <f>+_xlfn.XLOOKUP(TEXT($C40,"@"),'[2]Tabla BG 2'!$C:$C,'[2]Tabla BG 2'!M:M,0)+T40</f>
        <v>17338.870999999999</v>
      </c>
      <c r="V40" s="57">
        <f>+_xlfn.XLOOKUP(TEXT($C40,"@"),'[2]Tabla BG 2'!$C:$C,'[2]Tabla BG 2'!N:N,0)+U40</f>
        <v>17338.870999999999</v>
      </c>
      <c r="W40" s="57">
        <f>+_xlfn.XLOOKUP(TEXT($C40,"@"),'[2]Tabla BG 2'!$C:$C,'[2]Tabla BG 2'!O:O,0)+V40</f>
        <v>17338.870999999999</v>
      </c>
      <c r="X40" s="57">
        <f>+_xlfn.XLOOKUP(TEXT($C40,"@"),'[2]Tabla BG 2'!$C:$C,'[2]Tabla BG 2'!P:P,0)+W40</f>
        <v>17338.870999999999</v>
      </c>
      <c r="Y40" s="30">
        <f>+_xlfn.XLOOKUP(TEXT($C40,"@"),'[2]Tabla BG 2'!$C:$C,'[2]Tabla BG 2'!R:R,0)+X40</f>
        <v>17338.870999999999</v>
      </c>
      <c r="Z40" s="31">
        <f>+_xlfn.XLOOKUP(TEXT($C40,"@"),'[2]Tabla BG 2'!$C:$C,'[2]Tabla BG 2'!S:S,0)+Y40</f>
        <v>17338.870999999999</v>
      </c>
      <c r="AA40" s="31">
        <f>+_xlfn.XLOOKUP(TEXT($C40,"@"),'[2]Tabla BG 2'!$C:$C,'[2]Tabla BG 2'!T:T,0)+Z40</f>
        <v>17338.870999999999</v>
      </c>
      <c r="AB40" s="31">
        <f>+_xlfn.XLOOKUP(TEXT($C40,"@"),'[2]Tabla BG 2'!$C:$C,'[2]Tabla BG 2'!U:U,0)+AA40</f>
        <v>17338.870999999999</v>
      </c>
      <c r="AC40" s="31">
        <f>+_xlfn.XLOOKUP(TEXT($C40,"@"),'[2]Tabla BG 2'!$C:$C,'[2]Tabla BG 2'!V:V,0)+AB40</f>
        <v>17338.870999999999</v>
      </c>
      <c r="AD40" s="31">
        <f>+_xlfn.XLOOKUP(TEXT($C40,"@"),'[2]Tabla BG 2'!$C:$C,'[2]Tabla BG 2'!W:W,0)+AC40</f>
        <v>17338.870999999999</v>
      </c>
      <c r="AE40" s="31">
        <f>+_xlfn.XLOOKUP(TEXT($C40,"@"),'[2]Tabla BG 2'!$C:$C,'[2]Tabla BG 2'!X:X,0)+AD40</f>
        <v>17338.870999999999</v>
      </c>
      <c r="AF40" s="31">
        <f>+_xlfn.XLOOKUP(TEXT($C40,"@"),'[2]Tabla BG 2'!$C:$C,'[2]Tabla BG 2'!Y:Y,0)+AE40</f>
        <v>17338.870999999999</v>
      </c>
      <c r="AG40" s="31">
        <f>+_xlfn.XLOOKUP(TEXT($C40,"@"),'[2]Tabla BG 2'!$C:$C,'[2]Tabla BG 2'!Z:Z,0)+AF40</f>
        <v>17338.870999999999</v>
      </c>
      <c r="AH40" s="31">
        <f>+_xlfn.XLOOKUP(TEXT($C40,"@"),'[2]Tabla BG 2'!$C:$C,'[2]Tabla BG 2'!AA:AA,0)+AG40</f>
        <v>17338.870999999999</v>
      </c>
      <c r="AI40" s="31">
        <f>+_xlfn.XLOOKUP(TEXT($C40,"@"),'[2]Tabla BG 2'!$C:$C,'[2]Tabla BG 2'!AB:AB,0)+AH40</f>
        <v>17338.870999999999</v>
      </c>
      <c r="AJ40" s="32">
        <f>+_xlfn.XLOOKUP(TEXT($C40,"@"),'[2]Tabla BG 2'!$C:$C,'[2]Tabla BG 2'!AC:AC,0)+AI40</f>
        <v>17338.87124</v>
      </c>
      <c r="AK40" s="56">
        <f>+_xlfn.XLOOKUP(TEXT($C40,"@"),'[2]Tabla BG 2'!$C:$C,'[2]Tabla BG 2'!AE:AE,0)+AJ40</f>
        <v>17338.87124</v>
      </c>
      <c r="AL40" s="57">
        <f>+_xlfn.XLOOKUP(TEXT($C40,"@"),'[2]Tabla BG 2'!$C:$C,'[2]Tabla BG 2'!AF:AF,0)+AK40</f>
        <v>17338.87124</v>
      </c>
      <c r="AM40" s="57">
        <f>+_xlfn.XLOOKUP(TEXT($C40,"@"),'[2]Tabla BG 2'!$C:$C,'[2]Tabla BG 2'!AG:AG,0)+AL40</f>
        <v>17338.87124</v>
      </c>
      <c r="AN40" s="57">
        <f>+_xlfn.XLOOKUP(TEXT($C40,"@"),'[2]Tabla BG 2'!$C:$C,'[2]Tabla BG 2'!AG:AG,0)+AM40</f>
        <v>17338.87124</v>
      </c>
      <c r="AO40" s="57">
        <f>+_xlfn.XLOOKUP(TEXT($C40,"@"),'[2]Tabla BG 2'!$C:$C,'[2]Tabla BG 2'!AH:AH,0)+AN40</f>
        <v>17338.87124</v>
      </c>
      <c r="AP40" s="57">
        <f>+_xlfn.XLOOKUP(TEXT($C40,"@"),'[2]Tabla BG 2'!$C:$C,'[2]Tabla BG 2'!AI:AI,0)+AO40</f>
        <v>17338.871480000002</v>
      </c>
      <c r="AQ40" s="57">
        <f>+_xlfn.XLOOKUP(TEXT($C40,"@"),'[2]Tabla BG 2'!$C:$C,'[2]Tabla BG 2'!AJ:AJ,0)+AP40</f>
        <v>17338.871480000002</v>
      </c>
      <c r="AR40" s="57">
        <f>+_xlfn.XLOOKUP(TEXT($C40,"@"),'[2]Tabla BG 2'!$C:$C,'[2]Tabla BG 2'!AK:AK,0)+AQ40</f>
        <v>17338.871480000002</v>
      </c>
      <c r="AS40" s="57">
        <f>+_xlfn.XLOOKUP(TEXT($C40,"@"),'[2]Tabla BG 2'!$C:$C,'[2]Tabla BG 2'!AL:AL,0)+AR40</f>
        <v>17338.871480000002</v>
      </c>
      <c r="AT40" s="57">
        <f>+_xlfn.XLOOKUP(TEXT($C40,"@"),'[2]Tabla BG 2'!$C:$C,'[2]Tabla BG 2'!AM:AM,0)+AS40</f>
        <v>17338.871480000002</v>
      </c>
      <c r="AU40" s="57">
        <f>+_xlfn.XLOOKUP(TEXT($C40,"@"),'[2]Tabla BG 2'!$C:$C,'[2]Tabla BG 2'!AN:AN,0)+AT40</f>
        <v>17338.871480000002</v>
      </c>
      <c r="AV40" s="58">
        <f>+_xlfn.XLOOKUP(TEXT($C40,"@"),'[2]Tabla BG 2'!$C:$C,'[2]Tabla BG 2'!AO:AO,0)+AU40</f>
        <v>17338.871480000002</v>
      </c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5"/>
      <c r="BJ40" s="55"/>
      <c r="BK40" s="55"/>
      <c r="BL40" s="55"/>
      <c r="BM40" s="55"/>
      <c r="BN40" s="55"/>
    </row>
    <row r="41" spans="1:66" x14ac:dyDescent="0.35">
      <c r="A41" s="1">
        <v>2505</v>
      </c>
      <c r="B41" s="2" t="str">
        <f t="shared" si="3"/>
        <v>COC</v>
      </c>
      <c r="C41"/>
      <c r="D41" s="16"/>
      <c r="E41" s="49"/>
      <c r="F41" s="50"/>
      <c r="G41" s="50"/>
      <c r="H41" s="50"/>
      <c r="I41" s="50"/>
      <c r="J41" s="50"/>
      <c r="K41" s="50"/>
      <c r="L41" s="32"/>
      <c r="M41" s="56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30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2"/>
      <c r="AK41" s="56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8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5">
        <f>+X41+-8</f>
        <v>-8</v>
      </c>
      <c r="BJ41" s="55">
        <f t="shared" ref="BJ41:BK41" si="17">+BI41+-8</f>
        <v>-16</v>
      </c>
      <c r="BK41" s="55">
        <f t="shared" si="17"/>
        <v>-24</v>
      </c>
      <c r="BL41" s="55"/>
      <c r="BM41" s="55"/>
      <c r="BN41" s="55"/>
    </row>
    <row r="42" spans="1:66" x14ac:dyDescent="0.35">
      <c r="A42" s="1">
        <v>2510</v>
      </c>
      <c r="B42" s="2" t="str">
        <f t="shared" si="3"/>
        <v>COC</v>
      </c>
      <c r="C42"/>
      <c r="D42" s="16"/>
      <c r="E42" s="59"/>
      <c r="F42" s="60"/>
      <c r="G42" s="60"/>
      <c r="H42" s="60"/>
      <c r="I42" s="60"/>
      <c r="J42" s="60"/>
      <c r="K42" s="60"/>
      <c r="L42" s="64"/>
      <c r="M42" s="56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30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2"/>
      <c r="AK42" s="56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8"/>
      <c r="AW42" s="61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17"/>
      <c r="BJ42" s="17"/>
      <c r="BK42" s="17"/>
      <c r="BL42" s="17"/>
      <c r="BM42" s="17"/>
      <c r="BN42" s="17"/>
    </row>
    <row r="43" spans="1:66" ht="15" thickBot="1" x14ac:dyDescent="0.4">
      <c r="A43" s="1">
        <v>2515</v>
      </c>
      <c r="B43" s="2" t="str">
        <f t="shared" si="3"/>
        <v>COC</v>
      </c>
      <c r="C43"/>
      <c r="D43" s="3" t="s">
        <v>34</v>
      </c>
      <c r="E43" s="37"/>
      <c r="F43" s="38"/>
      <c r="G43" s="38"/>
      <c r="H43" s="38"/>
      <c r="I43" s="38"/>
      <c r="J43" s="38"/>
      <c r="K43" s="38"/>
      <c r="L43" s="39">
        <f>SUM(L44:L52)</f>
        <v>714006.27782999992</v>
      </c>
      <c r="M43" s="40">
        <f>SUM(M44:M52)</f>
        <v>717568.03038999997</v>
      </c>
      <c r="N43" s="41">
        <f>SUM(N44:N52)</f>
        <v>726940.99112999998</v>
      </c>
      <c r="O43" s="41">
        <f t="shared" ref="O43:AV43" si="18">SUM(O44:O52)</f>
        <v>722464.07198000001</v>
      </c>
      <c r="P43" s="41">
        <f t="shared" si="18"/>
        <v>720837.15283000004</v>
      </c>
      <c r="Q43" s="41">
        <f t="shared" si="18"/>
        <v>716350.73368000006</v>
      </c>
      <c r="R43" s="41">
        <f t="shared" si="18"/>
        <v>714895.21453</v>
      </c>
      <c r="S43" s="41">
        <f t="shared" si="18"/>
        <v>720997.1765200001</v>
      </c>
      <c r="T43" s="41">
        <f t="shared" si="18"/>
        <v>719298.53419999999</v>
      </c>
      <c r="U43" s="41">
        <f t="shared" si="18"/>
        <v>807956.67822</v>
      </c>
      <c r="V43" s="41">
        <f t="shared" si="18"/>
        <v>869863.95280999993</v>
      </c>
      <c r="W43" s="41">
        <f t="shared" si="18"/>
        <v>871177.49879999983</v>
      </c>
      <c r="X43" s="44">
        <f t="shared" si="18"/>
        <v>872132.29485999979</v>
      </c>
      <c r="Y43" s="42">
        <f t="shared" si="18"/>
        <v>869997.9957999998</v>
      </c>
      <c r="Z43" s="43">
        <f t="shared" si="18"/>
        <v>866123.41737999977</v>
      </c>
      <c r="AA43" s="43">
        <f t="shared" si="18"/>
        <v>872540.28928999975</v>
      </c>
      <c r="AB43" s="43">
        <f t="shared" si="18"/>
        <v>885812.16119999974</v>
      </c>
      <c r="AC43" s="43">
        <f t="shared" si="18"/>
        <v>882570.61643999978</v>
      </c>
      <c r="AD43" s="43">
        <f t="shared" si="18"/>
        <v>883005.30501999997</v>
      </c>
      <c r="AE43" s="43">
        <f t="shared" si="18"/>
        <v>901284.69325999997</v>
      </c>
      <c r="AF43" s="43">
        <f t="shared" si="18"/>
        <v>906017.40040000016</v>
      </c>
      <c r="AG43" s="43">
        <f t="shared" si="18"/>
        <v>900748.85040000011</v>
      </c>
      <c r="AH43" s="43">
        <f t="shared" si="18"/>
        <v>896229.66903999995</v>
      </c>
      <c r="AI43" s="43">
        <f t="shared" si="18"/>
        <v>890911.58667999995</v>
      </c>
      <c r="AJ43" s="39">
        <f t="shared" si="18"/>
        <v>886410.68032000004</v>
      </c>
      <c r="AK43" s="40">
        <f t="shared" si="18"/>
        <v>882693.05572000006</v>
      </c>
      <c r="AL43" s="41">
        <f t="shared" si="18"/>
        <v>878641.99811999989</v>
      </c>
      <c r="AM43" s="41">
        <f t="shared" si="18"/>
        <v>874111.04051999992</v>
      </c>
      <c r="AN43" s="41">
        <f t="shared" si="18"/>
        <v>874111.04051999992</v>
      </c>
      <c r="AO43" s="41">
        <f t="shared" si="18"/>
        <v>866342.35832000012</v>
      </c>
      <c r="AP43" s="41">
        <f t="shared" si="18"/>
        <v>1030978.07861</v>
      </c>
      <c r="AQ43" s="41">
        <f t="shared" si="18"/>
        <v>1030978.07861</v>
      </c>
      <c r="AR43" s="41">
        <f t="shared" si="18"/>
        <v>1030978.07861</v>
      </c>
      <c r="AS43" s="41">
        <f t="shared" si="18"/>
        <v>1030978.07861</v>
      </c>
      <c r="AT43" s="41">
        <f t="shared" si="18"/>
        <v>1030978.07861</v>
      </c>
      <c r="AU43" s="41">
        <f t="shared" si="18"/>
        <v>1030978.07861</v>
      </c>
      <c r="AV43" s="44">
        <f t="shared" si="18"/>
        <v>1030978.07861</v>
      </c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6" t="e">
        <f>+BI44+#REF!+BI52</f>
        <v>#REF!</v>
      </c>
      <c r="BJ43" s="46" t="e">
        <f>+#REF!+BJ52</f>
        <v>#REF!</v>
      </c>
      <c r="BK43" s="46" t="e">
        <f>+#REF!+BK52</f>
        <v>#REF!</v>
      </c>
      <c r="BL43" s="47"/>
      <c r="BM43" s="47"/>
      <c r="BN43" s="47"/>
    </row>
    <row r="44" spans="1:66" ht="15" thickTop="1" x14ac:dyDescent="0.35">
      <c r="A44" s="1">
        <v>2520</v>
      </c>
      <c r="B44" s="2" t="str">
        <f t="shared" si="3"/>
        <v>COC1504</v>
      </c>
      <c r="C44">
        <v>1504</v>
      </c>
      <c r="D44" s="16" t="s">
        <v>35</v>
      </c>
      <c r="E44" s="49"/>
      <c r="F44" s="50"/>
      <c r="G44" s="50"/>
      <c r="H44" s="50"/>
      <c r="I44" s="50"/>
      <c r="J44" s="50"/>
      <c r="K44" s="50"/>
      <c r="L44" s="32">
        <f>+_xlfn.XLOOKUP(C44,'[1]4'!$C:$C,'[1]4'!$I:$I,0)</f>
        <v>0</v>
      </c>
      <c r="M44" s="56">
        <f>+_xlfn.XLOOKUP(TEXT($C44,"@"),'[2]Tabla BG 2'!$C:$C,'[2]Tabla BG 2'!E:E,0)+L44</f>
        <v>0</v>
      </c>
      <c r="N44" s="52">
        <f>+_xlfn.XLOOKUP(TEXT($C44,"@"),'[2]Tabla BG 2'!$C:$C,'[2]Tabla BG 2'!F:F,0)+M44</f>
        <v>0</v>
      </c>
      <c r="O44" s="52">
        <f>+_xlfn.XLOOKUP(TEXT($C44,"@"),'[2]Tabla BG 2'!$C:$C,'[2]Tabla BG 2'!G:G,0)+N44</f>
        <v>0</v>
      </c>
      <c r="P44" s="52">
        <f>+_xlfn.XLOOKUP(TEXT($C44,"@"),'[2]Tabla BG 2'!$C:$C,'[2]Tabla BG 2'!H:H,0)+O44</f>
        <v>0</v>
      </c>
      <c r="Q44" s="52">
        <f>+_xlfn.XLOOKUP(TEXT($C44,"@"),'[2]Tabla BG 2'!$C:$C,'[2]Tabla BG 2'!I:I,0)+P44</f>
        <v>0</v>
      </c>
      <c r="R44" s="52">
        <f>+_xlfn.XLOOKUP(TEXT($C44,"@"),'[2]Tabla BG 2'!$C:$C,'[2]Tabla BG 2'!J:J,0)+Q44</f>
        <v>0</v>
      </c>
      <c r="S44" s="52">
        <f>+_xlfn.XLOOKUP(TEXT($C44,"@"),'[2]Tabla BG 2'!$C:$C,'[2]Tabla BG 2'!K:K,0)+R44</f>
        <v>0</v>
      </c>
      <c r="T44" s="52">
        <f>+_xlfn.XLOOKUP(TEXT($C44,"@"),'[2]Tabla BG 2'!$C:$C,'[2]Tabla BG 2'!L:L,0)+S44</f>
        <v>0</v>
      </c>
      <c r="U44" s="52">
        <f>+_xlfn.XLOOKUP(TEXT($C44,"@"),'[2]Tabla BG 2'!$C:$C,'[2]Tabla BG 2'!M:M,0)+T44</f>
        <v>0</v>
      </c>
      <c r="V44" s="52">
        <f>+_xlfn.XLOOKUP(TEXT($C44,"@"),'[2]Tabla BG 2'!$C:$C,'[2]Tabla BG 2'!N:N,0)+U44</f>
        <v>0</v>
      </c>
      <c r="W44" s="52">
        <f>+_xlfn.XLOOKUP(TEXT($C44,"@"),'[2]Tabla BG 2'!$C:$C,'[2]Tabla BG 2'!O:O,0)+V44</f>
        <v>0</v>
      </c>
      <c r="X44" s="52">
        <f>+_xlfn.XLOOKUP(TEXT($C44,"@"),'[2]Tabla BG 2'!$C:$C,'[2]Tabla BG 2'!P:P,0)+W44</f>
        <v>0</v>
      </c>
      <c r="Y44" s="30">
        <f>+_xlfn.XLOOKUP(TEXT($C44,"@"),'[2]Tabla BG 2'!$C:$C,'[2]Tabla BG 2'!R:R,0)+X44</f>
        <v>0</v>
      </c>
      <c r="Z44" s="31">
        <f>+_xlfn.XLOOKUP(TEXT($C44,"@"),'[2]Tabla BG 2'!$C:$C,'[2]Tabla BG 2'!S:S,0)+Y44</f>
        <v>0</v>
      </c>
      <c r="AA44" s="31">
        <f>+_xlfn.XLOOKUP(TEXT($C44,"@"),'[2]Tabla BG 2'!$C:$C,'[2]Tabla BG 2'!T:T,0)+Z44</f>
        <v>0</v>
      </c>
      <c r="AB44" s="31">
        <f>+_xlfn.XLOOKUP(TEXT($C44,"@"),'[2]Tabla BG 2'!$C:$C,'[2]Tabla BG 2'!U:U,0)+AA44</f>
        <v>0</v>
      </c>
      <c r="AC44" s="31">
        <f>+_xlfn.XLOOKUP(TEXT($C44,"@"),'[2]Tabla BG 2'!$C:$C,'[2]Tabla BG 2'!V:V,0)+AB44</f>
        <v>0</v>
      </c>
      <c r="AD44" s="31">
        <f>+_xlfn.XLOOKUP(TEXT($C44,"@"),'[2]Tabla BG 2'!$C:$C,'[2]Tabla BG 2'!W:W,0)+AC44</f>
        <v>0</v>
      </c>
      <c r="AE44" s="31">
        <f>+_xlfn.XLOOKUP(TEXT($C44,"@"),'[2]Tabla BG 2'!$C:$C,'[2]Tabla BG 2'!X:X,0)+AD44</f>
        <v>0</v>
      </c>
      <c r="AF44" s="31">
        <f>+_xlfn.XLOOKUP(TEXT($C44,"@"),'[2]Tabla BG 2'!$C:$C,'[2]Tabla BG 2'!Y:Y,0)+AE44</f>
        <v>0</v>
      </c>
      <c r="AG44" s="31">
        <f>+_xlfn.XLOOKUP(TEXT($C44,"@"),'[2]Tabla BG 2'!$C:$C,'[2]Tabla BG 2'!Z:Z,0)+AF44</f>
        <v>0</v>
      </c>
      <c r="AH44" s="31">
        <f>+_xlfn.XLOOKUP(TEXT($C44,"@"),'[2]Tabla BG 2'!$C:$C,'[2]Tabla BG 2'!AA:AA,0)+AG44</f>
        <v>0</v>
      </c>
      <c r="AI44" s="31">
        <f>+_xlfn.XLOOKUP(TEXT($C44,"@"),'[2]Tabla BG 2'!$C:$C,'[2]Tabla BG 2'!AB:AB,0)+AH44</f>
        <v>0</v>
      </c>
      <c r="AJ44" s="32">
        <f>+_xlfn.XLOOKUP(TEXT($C44,"@"),'[2]Tabla BG 2'!$C:$C,'[2]Tabla BG 2'!AC:AC,0)+AI44</f>
        <v>0</v>
      </c>
      <c r="AK44" s="56">
        <f>+_xlfn.XLOOKUP(TEXT($C44,"@"),'[2]Tabla BG 2'!$C:$C,'[2]Tabla BG 2'!AE:AE,0)+AJ44</f>
        <v>0</v>
      </c>
      <c r="AL44" s="52">
        <f>+_xlfn.XLOOKUP(TEXT($C44,"@"),'[2]Tabla BG 2'!$C:$C,'[2]Tabla BG 2'!AF:AF,0)+AK44</f>
        <v>0</v>
      </c>
      <c r="AM44" s="52">
        <f>+_xlfn.XLOOKUP(TEXT($C44,"@"),'[2]Tabla BG 2'!$C:$C,'[2]Tabla BG 2'!AG:AG,0)+AL44</f>
        <v>0</v>
      </c>
      <c r="AN44" s="52">
        <f>+_xlfn.XLOOKUP(TEXT($C44,"@"),'[2]Tabla BG 2'!$C:$C,'[2]Tabla BG 2'!AG:AG,0)+AM44</f>
        <v>0</v>
      </c>
      <c r="AO44" s="52">
        <f>+_xlfn.XLOOKUP(TEXT($C44,"@"),'[2]Tabla BG 2'!$C:$C,'[2]Tabla BG 2'!AH:AH,0)+AN44</f>
        <v>0</v>
      </c>
      <c r="AP44" s="52">
        <f>+_xlfn.XLOOKUP(TEXT($C44,"@"),'[2]Tabla BG 2'!$C:$C,'[2]Tabla BG 2'!AI:AI,0)+AO44</f>
        <v>0</v>
      </c>
      <c r="AQ44" s="52">
        <f>+_xlfn.XLOOKUP(TEXT($C44,"@"),'[2]Tabla BG 2'!$C:$C,'[2]Tabla BG 2'!AJ:AJ,0)+AP44</f>
        <v>0</v>
      </c>
      <c r="AR44" s="52">
        <f>+_xlfn.XLOOKUP(TEXT($C44,"@"),'[2]Tabla BG 2'!$C:$C,'[2]Tabla BG 2'!AK:AK,0)+AQ44</f>
        <v>0</v>
      </c>
      <c r="AS44" s="52">
        <f>+_xlfn.XLOOKUP(TEXT($C44,"@"),'[2]Tabla BG 2'!$C:$C,'[2]Tabla BG 2'!AL:AL,0)+AR44</f>
        <v>0</v>
      </c>
      <c r="AT44" s="52">
        <f>+_xlfn.XLOOKUP(TEXT($C44,"@"),'[2]Tabla BG 2'!$C:$C,'[2]Tabla BG 2'!AM:AM,0)+AS44</f>
        <v>0</v>
      </c>
      <c r="AU44" s="52">
        <f>+_xlfn.XLOOKUP(TEXT($C44,"@"),'[2]Tabla BG 2'!$C:$C,'[2]Tabla BG 2'!AN:AN,0)+AT44</f>
        <v>0</v>
      </c>
      <c r="AV44" s="53">
        <f>+_xlfn.XLOOKUP(TEXT($C44,"@"),'[2]Tabla BG 2'!$C:$C,'[2]Tabla BG 2'!AO:AO,0)+AU44</f>
        <v>0</v>
      </c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5"/>
      <c r="BJ44" s="55"/>
      <c r="BK44" s="55"/>
      <c r="BL44" s="55"/>
      <c r="BM44" s="55"/>
      <c r="BN44" s="55"/>
    </row>
    <row r="45" spans="1:66" x14ac:dyDescent="0.35">
      <c r="A45" s="1">
        <v>2525</v>
      </c>
      <c r="B45" s="2" t="str">
        <f t="shared" si="3"/>
        <v>COC1516</v>
      </c>
      <c r="C45">
        <v>1516</v>
      </c>
      <c r="D45" s="16" t="s">
        <v>36</v>
      </c>
      <c r="E45" s="49"/>
      <c r="F45" s="50"/>
      <c r="G45" s="50"/>
      <c r="H45" s="50"/>
      <c r="I45" s="50"/>
      <c r="J45" s="50"/>
      <c r="K45" s="50"/>
      <c r="L45" s="32">
        <f>+_xlfn.XLOOKUP(C45,'[1]4'!$C:$C,'[1]4'!$I:$I,0)</f>
        <v>0</v>
      </c>
      <c r="M45" s="56">
        <f>+_xlfn.XLOOKUP(TEXT($C45,"@"),'[2]Tabla BG 2'!$C:$C,'[2]Tabla BG 2'!E:E,0)+L45</f>
        <v>0</v>
      </c>
      <c r="N45" s="57">
        <f>+_xlfn.XLOOKUP(TEXT($C45,"@"),'[2]Tabla BG 2'!$C:$C,'[2]Tabla BG 2'!F:F,0)+M45</f>
        <v>0</v>
      </c>
      <c r="O45" s="57">
        <f>+_xlfn.XLOOKUP(TEXT($C45,"@"),'[2]Tabla BG 2'!$C:$C,'[2]Tabla BG 2'!G:G,0)+N45</f>
        <v>0</v>
      </c>
      <c r="P45" s="57">
        <f>+_xlfn.XLOOKUP(TEXT($C45,"@"),'[2]Tabla BG 2'!$C:$C,'[2]Tabla BG 2'!H:H,0)+O45</f>
        <v>0</v>
      </c>
      <c r="Q45" s="57">
        <f>+_xlfn.XLOOKUP(TEXT($C45,"@"),'[2]Tabla BG 2'!$C:$C,'[2]Tabla BG 2'!I:I,0)+P45</f>
        <v>0</v>
      </c>
      <c r="R45" s="57">
        <f>+_xlfn.XLOOKUP(TEXT($C45,"@"),'[2]Tabla BG 2'!$C:$C,'[2]Tabla BG 2'!J:J,0)+Q45</f>
        <v>0</v>
      </c>
      <c r="S45" s="57">
        <f>+_xlfn.XLOOKUP(TEXT($C45,"@"),'[2]Tabla BG 2'!$C:$C,'[2]Tabla BG 2'!K:K,0)+R45</f>
        <v>0</v>
      </c>
      <c r="T45" s="57">
        <f>+_xlfn.XLOOKUP(TEXT($C45,"@"),'[2]Tabla BG 2'!$C:$C,'[2]Tabla BG 2'!L:L,0)+S45</f>
        <v>0</v>
      </c>
      <c r="U45" s="57">
        <f>+_xlfn.XLOOKUP(TEXT($C45,"@"),'[2]Tabla BG 2'!$C:$C,'[2]Tabla BG 2'!M:M,0)+T45</f>
        <v>0</v>
      </c>
      <c r="V45" s="57">
        <f>+_xlfn.XLOOKUP(TEXT($C45,"@"),'[2]Tabla BG 2'!$C:$C,'[2]Tabla BG 2'!N:N,0)+U45</f>
        <v>0</v>
      </c>
      <c r="W45" s="57">
        <f>+_xlfn.XLOOKUP(TEXT($C45,"@"),'[2]Tabla BG 2'!$C:$C,'[2]Tabla BG 2'!O:O,0)+V45</f>
        <v>0</v>
      </c>
      <c r="X45" s="57">
        <f>+_xlfn.XLOOKUP(TEXT($C45,"@"),'[2]Tabla BG 2'!$C:$C,'[2]Tabla BG 2'!P:P,0)+W45</f>
        <v>0</v>
      </c>
      <c r="Y45" s="30">
        <f>+_xlfn.XLOOKUP(TEXT($C45,"@"),'[2]Tabla BG 2'!$C:$C,'[2]Tabla BG 2'!R:R,0)+X45</f>
        <v>0</v>
      </c>
      <c r="Z45" s="31">
        <f>+_xlfn.XLOOKUP(TEXT($C45,"@"),'[2]Tabla BG 2'!$C:$C,'[2]Tabla BG 2'!S:S,0)+Y45</f>
        <v>0</v>
      </c>
      <c r="AA45" s="31">
        <f>+_xlfn.XLOOKUP(TEXT($C45,"@"),'[2]Tabla BG 2'!$C:$C,'[2]Tabla BG 2'!T:T,0)+Z45</f>
        <v>0</v>
      </c>
      <c r="AB45" s="31">
        <f>+_xlfn.XLOOKUP(TEXT($C45,"@"),'[2]Tabla BG 2'!$C:$C,'[2]Tabla BG 2'!U:U,0)+AA45</f>
        <v>0</v>
      </c>
      <c r="AC45" s="31">
        <f>+_xlfn.XLOOKUP(TEXT($C45,"@"),'[2]Tabla BG 2'!$C:$C,'[2]Tabla BG 2'!V:V,0)+AB45</f>
        <v>0</v>
      </c>
      <c r="AD45" s="31">
        <f>+_xlfn.XLOOKUP(TEXT($C45,"@"),'[2]Tabla BG 2'!$C:$C,'[2]Tabla BG 2'!W:W,0)+AC45</f>
        <v>0</v>
      </c>
      <c r="AE45" s="31">
        <f>+_xlfn.XLOOKUP(TEXT($C45,"@"),'[2]Tabla BG 2'!$C:$C,'[2]Tabla BG 2'!X:X,0)+AD45</f>
        <v>0</v>
      </c>
      <c r="AF45" s="31">
        <f>+_xlfn.XLOOKUP(TEXT($C45,"@"),'[2]Tabla BG 2'!$C:$C,'[2]Tabla BG 2'!Y:Y,0)+AE45</f>
        <v>0</v>
      </c>
      <c r="AG45" s="31">
        <f>+_xlfn.XLOOKUP(TEXT($C45,"@"),'[2]Tabla BG 2'!$C:$C,'[2]Tabla BG 2'!Z:Z,0)+AF45</f>
        <v>0</v>
      </c>
      <c r="AH45" s="31">
        <f>+_xlfn.XLOOKUP(TEXT($C45,"@"),'[2]Tabla BG 2'!$C:$C,'[2]Tabla BG 2'!AA:AA,0)+AG45</f>
        <v>0</v>
      </c>
      <c r="AI45" s="31">
        <f>+_xlfn.XLOOKUP(TEXT($C45,"@"),'[2]Tabla BG 2'!$C:$C,'[2]Tabla BG 2'!AB:AB,0)+AH45</f>
        <v>0</v>
      </c>
      <c r="AJ45" s="32">
        <f>+_xlfn.XLOOKUP(TEXT($C45,"@"),'[2]Tabla BG 2'!$C:$C,'[2]Tabla BG 2'!AC:AC,0)+AI45</f>
        <v>0</v>
      </c>
      <c r="AK45" s="56">
        <f>+_xlfn.XLOOKUP(TEXT($C45,"@"),'[2]Tabla BG 2'!$C:$C,'[2]Tabla BG 2'!AE:AE,0)+AJ45</f>
        <v>0</v>
      </c>
      <c r="AL45" s="57">
        <f>+_xlfn.XLOOKUP(TEXT($C45,"@"),'[2]Tabla BG 2'!$C:$C,'[2]Tabla BG 2'!AF:AF,0)+AK45</f>
        <v>0</v>
      </c>
      <c r="AM45" s="57">
        <f>+_xlfn.XLOOKUP(TEXT($C45,"@"),'[2]Tabla BG 2'!$C:$C,'[2]Tabla BG 2'!AG:AG,0)+AL45</f>
        <v>0</v>
      </c>
      <c r="AN45" s="57">
        <f>+_xlfn.XLOOKUP(TEXT($C45,"@"),'[2]Tabla BG 2'!$C:$C,'[2]Tabla BG 2'!AG:AG,0)+AM45</f>
        <v>0</v>
      </c>
      <c r="AO45" s="57">
        <f>+_xlfn.XLOOKUP(TEXT($C45,"@"),'[2]Tabla BG 2'!$C:$C,'[2]Tabla BG 2'!AH:AH,0)+AN45</f>
        <v>0</v>
      </c>
      <c r="AP45" s="57">
        <f>+_xlfn.XLOOKUP(TEXT($C45,"@"),'[2]Tabla BG 2'!$C:$C,'[2]Tabla BG 2'!AI:AI,0)+AO45</f>
        <v>0</v>
      </c>
      <c r="AQ45" s="57">
        <f>+_xlfn.XLOOKUP(TEXT($C45,"@"),'[2]Tabla BG 2'!$C:$C,'[2]Tabla BG 2'!AJ:AJ,0)+AP45</f>
        <v>0</v>
      </c>
      <c r="AR45" s="57">
        <f>+_xlfn.XLOOKUP(TEXT($C45,"@"),'[2]Tabla BG 2'!$C:$C,'[2]Tabla BG 2'!AK:AK,0)+AQ45</f>
        <v>0</v>
      </c>
      <c r="AS45" s="57">
        <f>+_xlfn.XLOOKUP(TEXT($C45,"@"),'[2]Tabla BG 2'!$C:$C,'[2]Tabla BG 2'!AL:AL,0)+AR45</f>
        <v>0</v>
      </c>
      <c r="AT45" s="57">
        <f>+_xlfn.XLOOKUP(TEXT($C45,"@"),'[2]Tabla BG 2'!$C:$C,'[2]Tabla BG 2'!AM:AM,0)+AS45</f>
        <v>0</v>
      </c>
      <c r="AU45" s="57">
        <f>+_xlfn.XLOOKUP(TEXT($C45,"@"),'[2]Tabla BG 2'!$C:$C,'[2]Tabla BG 2'!AN:AN,0)+AT45</f>
        <v>0</v>
      </c>
      <c r="AV45" s="58">
        <f>+_xlfn.XLOOKUP(TEXT($C45,"@"),'[2]Tabla BG 2'!$C:$C,'[2]Tabla BG 2'!AO:AO,0)+AU45</f>
        <v>0</v>
      </c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5"/>
      <c r="BJ45" s="55"/>
      <c r="BK45" s="55"/>
      <c r="BL45" s="55"/>
      <c r="BM45" s="55"/>
      <c r="BN45" s="55"/>
    </row>
    <row r="46" spans="1:66" x14ac:dyDescent="0.35">
      <c r="B46" s="2" t="str">
        <f t="shared" si="3"/>
        <v>COC1518</v>
      </c>
      <c r="C46">
        <v>1518</v>
      </c>
      <c r="D46" s="16" t="s">
        <v>37</v>
      </c>
      <c r="E46" s="49"/>
      <c r="F46" s="50"/>
      <c r="G46" s="50"/>
      <c r="H46" s="50"/>
      <c r="I46" s="50"/>
      <c r="J46" s="50"/>
      <c r="K46" s="50"/>
      <c r="L46" s="32">
        <f>+_xlfn.XLOOKUP(C46,'[1]4'!$C:$C,'[1]4'!$I:$I,0)</f>
        <v>0</v>
      </c>
      <c r="M46" s="56">
        <f>+_xlfn.XLOOKUP(TEXT($C46,"@"),'[2]Tabla BG 2'!$C:$C,'[2]Tabla BG 2'!E:E,0)+L46</f>
        <v>0</v>
      </c>
      <c r="N46" s="57">
        <f>+_xlfn.XLOOKUP(TEXT($C46,"@"),'[2]Tabla BG 2'!$C:$C,'[2]Tabla BG 2'!F:F,0)+M46</f>
        <v>0</v>
      </c>
      <c r="O46" s="57">
        <f>+_xlfn.XLOOKUP(TEXT($C46,"@"),'[2]Tabla BG 2'!$C:$C,'[2]Tabla BG 2'!G:G,0)+N46</f>
        <v>0</v>
      </c>
      <c r="P46" s="57">
        <f>+_xlfn.XLOOKUP(TEXT($C46,"@"),'[2]Tabla BG 2'!$C:$C,'[2]Tabla BG 2'!H:H,0)+O46</f>
        <v>0</v>
      </c>
      <c r="Q46" s="57">
        <f>+_xlfn.XLOOKUP(TEXT($C46,"@"),'[2]Tabla BG 2'!$C:$C,'[2]Tabla BG 2'!I:I,0)+P46</f>
        <v>0</v>
      </c>
      <c r="R46" s="57">
        <f>+_xlfn.XLOOKUP(TEXT($C46,"@"),'[2]Tabla BG 2'!$C:$C,'[2]Tabla BG 2'!J:J,0)+Q46</f>
        <v>0</v>
      </c>
      <c r="S46" s="57">
        <f>+_xlfn.XLOOKUP(TEXT($C46,"@"),'[2]Tabla BG 2'!$C:$C,'[2]Tabla BG 2'!K:K,0)+R46</f>
        <v>0</v>
      </c>
      <c r="T46" s="57">
        <f>+_xlfn.XLOOKUP(TEXT($C46,"@"),'[2]Tabla BG 2'!$C:$C,'[2]Tabla BG 2'!L:L,0)+S46</f>
        <v>0</v>
      </c>
      <c r="U46" s="57">
        <f>+_xlfn.XLOOKUP(TEXT($C46,"@"),'[2]Tabla BG 2'!$C:$C,'[2]Tabla BG 2'!M:M,0)+T46</f>
        <v>0</v>
      </c>
      <c r="V46" s="57">
        <f>+_xlfn.XLOOKUP(TEXT($C46,"@"),'[2]Tabla BG 2'!$C:$C,'[2]Tabla BG 2'!N:N,0)+U46</f>
        <v>0</v>
      </c>
      <c r="W46" s="57">
        <f>+_xlfn.XLOOKUP(TEXT($C46,"@"),'[2]Tabla BG 2'!$C:$C,'[2]Tabla BG 2'!O:O,0)+V46</f>
        <v>0</v>
      </c>
      <c r="X46" s="57">
        <f>+_xlfn.XLOOKUP(TEXT($C46,"@"),'[2]Tabla BG 2'!$C:$C,'[2]Tabla BG 2'!P:P,0)+W46</f>
        <v>0</v>
      </c>
      <c r="Y46" s="30">
        <f>+_xlfn.XLOOKUP(TEXT($C46,"@"),'[2]Tabla BG 2'!$C:$C,'[2]Tabla BG 2'!R:R,0)+X46</f>
        <v>0</v>
      </c>
      <c r="Z46" s="31">
        <f>+_xlfn.XLOOKUP(TEXT($C46,"@"),'[2]Tabla BG 2'!$C:$C,'[2]Tabla BG 2'!S:S,0)+Y46</f>
        <v>0</v>
      </c>
      <c r="AA46" s="31">
        <f>+_xlfn.XLOOKUP(TEXT($C46,"@"),'[2]Tabla BG 2'!$C:$C,'[2]Tabla BG 2'!T:T,0)+Z46</f>
        <v>0</v>
      </c>
      <c r="AB46" s="31">
        <f>+_xlfn.XLOOKUP(TEXT($C46,"@"),'[2]Tabla BG 2'!$C:$C,'[2]Tabla BG 2'!U:U,0)+AA46</f>
        <v>0</v>
      </c>
      <c r="AC46" s="31">
        <f>+_xlfn.XLOOKUP(TEXT($C46,"@"),'[2]Tabla BG 2'!$C:$C,'[2]Tabla BG 2'!V:V,0)+AB46</f>
        <v>0</v>
      </c>
      <c r="AD46" s="31">
        <f>+_xlfn.XLOOKUP(TEXT($C46,"@"),'[2]Tabla BG 2'!$C:$C,'[2]Tabla BG 2'!W:W,0)+AC46</f>
        <v>0</v>
      </c>
      <c r="AE46" s="31">
        <f>+_xlfn.XLOOKUP(TEXT($C46,"@"),'[2]Tabla BG 2'!$C:$C,'[2]Tabla BG 2'!X:X,0)+AD46</f>
        <v>0</v>
      </c>
      <c r="AF46" s="31">
        <f>+_xlfn.XLOOKUP(TEXT($C46,"@"),'[2]Tabla BG 2'!$C:$C,'[2]Tabla BG 2'!Y:Y,0)+AE46</f>
        <v>0</v>
      </c>
      <c r="AG46" s="31">
        <f>+_xlfn.XLOOKUP(TEXT($C46,"@"),'[2]Tabla BG 2'!$C:$C,'[2]Tabla BG 2'!Z:Z,0)+AF46</f>
        <v>0</v>
      </c>
      <c r="AH46" s="31">
        <f>+_xlfn.XLOOKUP(TEXT($C46,"@"),'[2]Tabla BG 2'!$C:$C,'[2]Tabla BG 2'!AA:AA,0)+AG46</f>
        <v>0</v>
      </c>
      <c r="AI46" s="31">
        <f>+_xlfn.XLOOKUP(TEXT($C46,"@"),'[2]Tabla BG 2'!$C:$C,'[2]Tabla BG 2'!AB:AB,0)+AH46</f>
        <v>0</v>
      </c>
      <c r="AJ46" s="32">
        <f>+_xlfn.XLOOKUP(TEXT($C46,"@"),'[2]Tabla BG 2'!$C:$C,'[2]Tabla BG 2'!AC:AC,0)+AI46</f>
        <v>0</v>
      </c>
      <c r="AK46" s="56">
        <f>+_xlfn.XLOOKUP(TEXT($C46,"@"),'[2]Tabla BG 2'!$C:$C,'[2]Tabla BG 2'!AE:AE,0)+AJ46</f>
        <v>0</v>
      </c>
      <c r="AL46" s="57">
        <f>+_xlfn.XLOOKUP(TEXT($C46,"@"),'[2]Tabla BG 2'!$C:$C,'[2]Tabla BG 2'!AF:AF,0)+AK46</f>
        <v>0</v>
      </c>
      <c r="AM46" s="57">
        <f>+_xlfn.XLOOKUP(TEXT($C46,"@"),'[2]Tabla BG 2'!$C:$C,'[2]Tabla BG 2'!AG:AG,0)+AL46</f>
        <v>0</v>
      </c>
      <c r="AN46" s="57">
        <f>+_xlfn.XLOOKUP(TEXT($C46,"@"),'[2]Tabla BG 2'!$C:$C,'[2]Tabla BG 2'!AG:AG,0)+AM46</f>
        <v>0</v>
      </c>
      <c r="AO46" s="57">
        <f>+_xlfn.XLOOKUP(TEXT($C46,"@"),'[2]Tabla BG 2'!$C:$C,'[2]Tabla BG 2'!AH:AH,0)+AN46</f>
        <v>0</v>
      </c>
      <c r="AP46" s="57">
        <f>+_xlfn.XLOOKUP(TEXT($C46,"@"),'[2]Tabla BG 2'!$C:$C,'[2]Tabla BG 2'!AI:AI,0)+AO46</f>
        <v>0</v>
      </c>
      <c r="AQ46" s="57">
        <f>+_xlfn.XLOOKUP(TEXT($C46,"@"),'[2]Tabla BG 2'!$C:$C,'[2]Tabla BG 2'!AJ:AJ,0)+AP46</f>
        <v>0</v>
      </c>
      <c r="AR46" s="57">
        <f>+_xlfn.XLOOKUP(TEXT($C46,"@"),'[2]Tabla BG 2'!$C:$C,'[2]Tabla BG 2'!AK:AK,0)+AQ46</f>
        <v>0</v>
      </c>
      <c r="AS46" s="57">
        <f>+_xlfn.XLOOKUP(TEXT($C46,"@"),'[2]Tabla BG 2'!$C:$C,'[2]Tabla BG 2'!AL:AL,0)+AR46</f>
        <v>0</v>
      </c>
      <c r="AT46" s="57">
        <f>+_xlfn.XLOOKUP(TEXT($C46,"@"),'[2]Tabla BG 2'!$C:$C,'[2]Tabla BG 2'!AM:AM,0)+AS46</f>
        <v>0</v>
      </c>
      <c r="AU46" s="57">
        <f>+_xlfn.XLOOKUP(TEXT($C46,"@"),'[2]Tabla BG 2'!$C:$C,'[2]Tabla BG 2'!AN:AN,0)+AT46</f>
        <v>0</v>
      </c>
      <c r="AV46" s="58">
        <f>+_xlfn.XLOOKUP(TEXT($C46,"@"),'[2]Tabla BG 2'!$C:$C,'[2]Tabla BG 2'!AO:AO,0)+AU46</f>
        <v>0</v>
      </c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5"/>
      <c r="BJ46" s="55"/>
      <c r="BK46" s="55"/>
      <c r="BL46" s="55"/>
      <c r="BM46" s="55"/>
      <c r="BN46" s="55"/>
    </row>
    <row r="47" spans="1:66" x14ac:dyDescent="0.35">
      <c r="A47" s="1">
        <v>2605</v>
      </c>
      <c r="B47" s="2" t="str">
        <f t="shared" si="3"/>
        <v>COC1520</v>
      </c>
      <c r="C47">
        <v>1520</v>
      </c>
      <c r="D47" s="16" t="s">
        <v>38</v>
      </c>
      <c r="E47" s="49"/>
      <c r="F47" s="50"/>
      <c r="G47" s="50"/>
      <c r="H47" s="50"/>
      <c r="I47" s="50"/>
      <c r="J47" s="50"/>
      <c r="K47" s="50"/>
      <c r="L47" s="32">
        <f>+_xlfn.XLOOKUP(C47,'[1]4'!$C:$C,'[1]4'!$I:$I,0)</f>
        <v>0</v>
      </c>
      <c r="M47" s="56">
        <f>+_xlfn.XLOOKUP(TEXT($C47,"@"),'[2]Tabla BG 2'!$C:$C,'[2]Tabla BG 2'!E:E,0)+L47</f>
        <v>4955.8739999999998</v>
      </c>
      <c r="N47" s="57">
        <f>+_xlfn.XLOOKUP(TEXT($C47,"@"),'[2]Tabla BG 2'!$C:$C,'[2]Tabla BG 2'!F:F,0)+M47</f>
        <v>5055.8739999999998</v>
      </c>
      <c r="O47" s="57">
        <f>+_xlfn.XLOOKUP(TEXT($C47,"@"),'[2]Tabla BG 2'!$C:$C,'[2]Tabla BG 2'!G:G,0)+N47</f>
        <v>5055.8739999999998</v>
      </c>
      <c r="P47" s="57">
        <f>+_xlfn.XLOOKUP(TEXT($C47,"@"),'[2]Tabla BG 2'!$C:$C,'[2]Tabla BG 2'!H:H,0)+O47</f>
        <v>5055.8739999999998</v>
      </c>
      <c r="Q47" s="57">
        <f>+_xlfn.XLOOKUP(TEXT($C47,"@"),'[2]Tabla BG 2'!$C:$C,'[2]Tabla BG 2'!I:I,0)+P47</f>
        <v>5055.8739999999998</v>
      </c>
      <c r="R47" s="57">
        <f>+_xlfn.XLOOKUP(TEXT($C47,"@"),'[2]Tabla BG 2'!$C:$C,'[2]Tabla BG 2'!J:J,0)+Q47</f>
        <v>5055.8739999999998</v>
      </c>
      <c r="S47" s="57">
        <f>+_xlfn.XLOOKUP(TEXT($C47,"@"),'[2]Tabla BG 2'!$C:$C,'[2]Tabla BG 2'!K:K,0)+R47</f>
        <v>5055.8739999999998</v>
      </c>
      <c r="T47" s="57">
        <f>+_xlfn.XLOOKUP(TEXT($C47,"@"),'[2]Tabla BG 2'!$C:$C,'[2]Tabla BG 2'!L:L,0)+S47</f>
        <v>5055.8739999999998</v>
      </c>
      <c r="U47" s="57">
        <f>+_xlfn.XLOOKUP(TEXT($C47,"@"),'[2]Tabla BG 2'!$C:$C,'[2]Tabla BG 2'!M:M,0)+T47</f>
        <v>5055.8739999999998</v>
      </c>
      <c r="V47" s="57">
        <f>+_xlfn.XLOOKUP(TEXT($C47,"@"),'[2]Tabla BG 2'!$C:$C,'[2]Tabla BG 2'!N:N,0)+U47</f>
        <v>5055.8739999999998</v>
      </c>
      <c r="W47" s="57">
        <f>+_xlfn.XLOOKUP(TEXT($C47,"@"),'[2]Tabla BG 2'!$C:$C,'[2]Tabla BG 2'!O:O,0)+V47</f>
        <v>5055.8739999999998</v>
      </c>
      <c r="X47" s="57">
        <f>+_xlfn.XLOOKUP(TEXT($C47,"@"),'[2]Tabla BG 2'!$C:$C,'[2]Tabla BG 2'!P:P,0)+W47</f>
        <v>5055.8739999999998</v>
      </c>
      <c r="Y47" s="30">
        <f>+_xlfn.XLOOKUP(TEXT($C47,"@"),'[2]Tabla BG 2'!$C:$C,'[2]Tabla BG 2'!R:R,0)+X47</f>
        <v>5055.8739999999998</v>
      </c>
      <c r="Z47" s="31">
        <f>+_xlfn.XLOOKUP(TEXT($C47,"@"),'[2]Tabla BG 2'!$C:$C,'[2]Tabla BG 2'!S:S,0)+Y47</f>
        <v>5055.8739999999998</v>
      </c>
      <c r="AA47" s="31">
        <f>+_xlfn.XLOOKUP(TEXT($C47,"@"),'[2]Tabla BG 2'!$C:$C,'[2]Tabla BG 2'!T:T,0)+Z47</f>
        <v>5055.8739999999998</v>
      </c>
      <c r="AB47" s="31">
        <f>+_xlfn.XLOOKUP(TEXT($C47,"@"),'[2]Tabla BG 2'!$C:$C,'[2]Tabla BG 2'!U:U,0)+AA47</f>
        <v>5055.8739999999998</v>
      </c>
      <c r="AC47" s="31">
        <f>+_xlfn.XLOOKUP(TEXT($C47,"@"),'[2]Tabla BG 2'!$C:$C,'[2]Tabla BG 2'!V:V,0)+AB47</f>
        <v>5055.8739999999998</v>
      </c>
      <c r="AD47" s="31">
        <f>+_xlfn.XLOOKUP(TEXT($C47,"@"),'[2]Tabla BG 2'!$C:$C,'[2]Tabla BG 2'!W:W,0)+AC47</f>
        <v>5055.8739999999998</v>
      </c>
      <c r="AE47" s="31">
        <f>+_xlfn.XLOOKUP(TEXT($C47,"@"),'[2]Tabla BG 2'!$C:$C,'[2]Tabla BG 2'!X:X,0)+AD47</f>
        <v>5055.8739999999998</v>
      </c>
      <c r="AF47" s="31">
        <f>+_xlfn.XLOOKUP(TEXT($C47,"@"),'[2]Tabla BG 2'!$C:$C,'[2]Tabla BG 2'!Y:Y,0)+AE47</f>
        <v>6326.4609999999993</v>
      </c>
      <c r="AG47" s="31">
        <f>+_xlfn.XLOOKUP(TEXT($C47,"@"),'[2]Tabla BG 2'!$C:$C,'[2]Tabla BG 2'!Z:Z,0)+AF47</f>
        <v>6326.4609999999993</v>
      </c>
      <c r="AH47" s="31">
        <f>+_xlfn.XLOOKUP(TEXT($C47,"@"),'[2]Tabla BG 2'!$C:$C,'[2]Tabla BG 2'!AA:AA,0)+AG47</f>
        <v>6326.4609999999993</v>
      </c>
      <c r="AI47" s="31">
        <f>+_xlfn.XLOOKUP(TEXT($C47,"@"),'[2]Tabla BG 2'!$C:$C,'[2]Tabla BG 2'!AB:AB,0)+AH47</f>
        <v>6326.4609999999993</v>
      </c>
      <c r="AJ47" s="32">
        <f>+_xlfn.XLOOKUP(TEXT($C47,"@"),'[2]Tabla BG 2'!$C:$C,'[2]Tabla BG 2'!AC:AC,0)+AI47</f>
        <v>6326.4609999999993</v>
      </c>
      <c r="AK47" s="56">
        <f>+_xlfn.XLOOKUP(TEXT($C47,"@"),'[2]Tabla BG 2'!$C:$C,'[2]Tabla BG 2'!AE:AE,0)+AJ47</f>
        <v>6326.4609999999993</v>
      </c>
      <c r="AL47" s="57">
        <f>+_xlfn.XLOOKUP(TEXT($C47,"@"),'[2]Tabla BG 2'!$C:$C,'[2]Tabla BG 2'!AF:AF,0)+AK47</f>
        <v>6326.4609999999993</v>
      </c>
      <c r="AM47" s="57">
        <f>+_xlfn.XLOOKUP(TEXT($C47,"@"),'[2]Tabla BG 2'!$C:$C,'[2]Tabla BG 2'!AG:AG,0)+AL47</f>
        <v>6326.4609999999993</v>
      </c>
      <c r="AN47" s="57">
        <f>+_xlfn.XLOOKUP(TEXT($C47,"@"),'[2]Tabla BG 2'!$C:$C,'[2]Tabla BG 2'!AG:AG,0)+AM47</f>
        <v>6326.4609999999993</v>
      </c>
      <c r="AO47" s="57">
        <f>+_xlfn.XLOOKUP(TEXT($C47,"@"),'[2]Tabla BG 2'!$C:$C,'[2]Tabla BG 2'!AH:AH,0)+AN47</f>
        <v>6326.4609999999993</v>
      </c>
      <c r="AP47" s="57">
        <f>+_xlfn.XLOOKUP(TEXT($C47,"@"),'[2]Tabla BG 2'!$C:$C,'[2]Tabla BG 2'!AI:AI,0)+AO47</f>
        <v>12652.921999999999</v>
      </c>
      <c r="AQ47" s="57">
        <f>+_xlfn.XLOOKUP(TEXT($C47,"@"),'[2]Tabla BG 2'!$C:$C,'[2]Tabla BG 2'!AJ:AJ,0)+AP47</f>
        <v>12652.921999999999</v>
      </c>
      <c r="AR47" s="57">
        <f>+_xlfn.XLOOKUP(TEXT($C47,"@"),'[2]Tabla BG 2'!$C:$C,'[2]Tabla BG 2'!AK:AK,0)+AQ47</f>
        <v>12652.921999999999</v>
      </c>
      <c r="AS47" s="57">
        <f>+_xlfn.XLOOKUP(TEXT($C47,"@"),'[2]Tabla BG 2'!$C:$C,'[2]Tabla BG 2'!AL:AL,0)+AR47</f>
        <v>12652.921999999999</v>
      </c>
      <c r="AT47" s="57">
        <f>+_xlfn.XLOOKUP(TEXT($C47,"@"),'[2]Tabla BG 2'!$C:$C,'[2]Tabla BG 2'!AM:AM,0)+AS47</f>
        <v>12652.921999999999</v>
      </c>
      <c r="AU47" s="57">
        <f>+_xlfn.XLOOKUP(TEXT($C47,"@"),'[2]Tabla BG 2'!$C:$C,'[2]Tabla BG 2'!AN:AN,0)+AT47</f>
        <v>12652.921999999999</v>
      </c>
      <c r="AV47" s="58">
        <f>+_xlfn.XLOOKUP(TEXT($C47,"@"),'[2]Tabla BG 2'!$C:$C,'[2]Tabla BG 2'!AO:AO,0)+AU47</f>
        <v>12652.921999999999</v>
      </c>
      <c r="AW47" s="54"/>
      <c r="AX47" s="54"/>
      <c r="AY47" s="54"/>
      <c r="AZ47" s="54"/>
      <c r="BA47" s="54"/>
      <c r="BB47" s="54"/>
      <c r="BC47" s="54"/>
      <c r="BD47" s="54"/>
      <c r="BE47" s="54"/>
      <c r="BF47" s="54"/>
      <c r="BG47" s="54"/>
      <c r="BH47" s="54"/>
      <c r="BI47" s="55"/>
      <c r="BJ47" s="55"/>
      <c r="BK47" s="55"/>
      <c r="BL47" s="55"/>
      <c r="BM47" s="55"/>
      <c r="BN47" s="55"/>
    </row>
    <row r="48" spans="1:66" x14ac:dyDescent="0.35">
      <c r="A48" s="1">
        <v>2610</v>
      </c>
      <c r="B48" s="2" t="str">
        <f t="shared" si="3"/>
        <v>COC1524</v>
      </c>
      <c r="C48">
        <v>1524</v>
      </c>
      <c r="D48" s="16" t="s">
        <v>39</v>
      </c>
      <c r="E48" s="49"/>
      <c r="F48" s="50"/>
      <c r="G48" s="50"/>
      <c r="H48" s="50"/>
      <c r="I48" s="50"/>
      <c r="J48" s="50"/>
      <c r="K48" s="50"/>
      <c r="L48" s="32">
        <f>+_xlfn.XLOOKUP(C48,'[1]4'!$C:$C,'[1]4'!$I:$I,0)</f>
        <v>782962.72317999997</v>
      </c>
      <c r="M48" s="56">
        <f>+_xlfn.XLOOKUP(TEXT($C48,"@"),'[2]Tabla BG 2'!$C:$C,'[2]Tabla BG 2'!E:E,0)+L48</f>
        <v>786000.02318000002</v>
      </c>
      <c r="N48" s="57">
        <f>+_xlfn.XLOOKUP(TEXT($C48,"@"),'[2]Tabla BG 2'!$C:$C,'[2]Tabla BG 2'!F:F,0)+M48</f>
        <v>795669.06518000003</v>
      </c>
      <c r="O48" s="57">
        <f>+_xlfn.XLOOKUP(TEXT($C48,"@"),'[2]Tabla BG 2'!$C:$C,'[2]Tabla BG 2'!G:G,0)+N48</f>
        <v>795669.06518000003</v>
      </c>
      <c r="P48" s="57">
        <f>+_xlfn.XLOOKUP(TEXT($C48,"@"),'[2]Tabla BG 2'!$C:$C,'[2]Tabla BG 2'!H:H,0)+O48</f>
        <v>798519.06518000003</v>
      </c>
      <c r="Q48" s="57">
        <f>+_xlfn.XLOOKUP(TEXT($C48,"@"),'[2]Tabla BG 2'!$C:$C,'[2]Tabla BG 2'!I:I,0)+P48</f>
        <v>798519.06518000003</v>
      </c>
      <c r="R48" s="57">
        <f>+_xlfn.XLOOKUP(TEXT($C48,"@"),'[2]Tabla BG 2'!$C:$C,'[2]Tabla BG 2'!J:J,0)+Q48</f>
        <v>798931.96518000006</v>
      </c>
      <c r="S48" s="57">
        <f>+_xlfn.XLOOKUP(TEXT($C48,"@"),'[2]Tabla BG 2'!$C:$C,'[2]Tabla BG 2'!K:K,0)+R48</f>
        <v>805731.96518000006</v>
      </c>
      <c r="T48" s="57">
        <f>+_xlfn.XLOOKUP(TEXT($C48,"@"),'[2]Tabla BG 2'!$C:$C,'[2]Tabla BG 2'!L:L,0)+S48</f>
        <v>807251.96518000006</v>
      </c>
      <c r="U48" s="57">
        <f>+_xlfn.XLOOKUP(TEXT($C48,"@"),'[2]Tabla BG 2'!$C:$C,'[2]Tabla BG 2'!M:M,0)+T48</f>
        <v>816861.04818000004</v>
      </c>
      <c r="V48" s="57">
        <f>+_xlfn.XLOOKUP(TEXT($C48,"@"),'[2]Tabla BG 2'!$C:$C,'[2]Tabla BG 2'!N:N,0)+U48</f>
        <v>879135.46818000008</v>
      </c>
      <c r="W48" s="57">
        <f>+_xlfn.XLOOKUP(TEXT($C48,"@"),'[2]Tabla BG 2'!$C:$C,'[2]Tabla BG 2'!O:O,0)+V48</f>
        <v>885636.74718000006</v>
      </c>
      <c r="X48" s="57">
        <f>+_xlfn.XLOOKUP(TEXT($C48,"@"),'[2]Tabla BG 2'!$C:$C,'[2]Tabla BG 2'!P:P,0)+W48</f>
        <v>891800.94718000002</v>
      </c>
      <c r="Y48" s="30">
        <f>+_xlfn.XLOOKUP(TEXT($C48,"@"),'[2]Tabla BG 2'!$C:$C,'[2]Tabla BG 2'!R:R,0)+X48</f>
        <v>891800.94718000002</v>
      </c>
      <c r="Z48" s="31">
        <f>+_xlfn.XLOOKUP(TEXT($C48,"@"),'[2]Tabla BG 2'!$C:$C,'[2]Tabla BG 2'!S:S,0)+Y48</f>
        <v>892306.68718000001</v>
      </c>
      <c r="AA48" s="31">
        <f>+_xlfn.XLOOKUP(TEXT($C48,"@"),'[2]Tabla BG 2'!$C:$C,'[2]Tabla BG 2'!T:T,0)+Z48</f>
        <v>903106.68718000001</v>
      </c>
      <c r="AB48" s="31">
        <f>+_xlfn.XLOOKUP(TEXT($C48,"@"),'[2]Tabla BG 2'!$C:$C,'[2]Tabla BG 2'!U:U,0)+AA48</f>
        <v>920821.68718000001</v>
      </c>
      <c r="AC48" s="31">
        <f>+_xlfn.XLOOKUP(TEXT($C48,"@"),'[2]Tabla BG 2'!$C:$C,'[2]Tabla BG 2'!V:V,0)+AB48</f>
        <v>920821.68718000001</v>
      </c>
      <c r="AD48" s="31">
        <f>+_xlfn.XLOOKUP(TEXT($C48,"@"),'[2]Tabla BG 2'!$C:$C,'[2]Tabla BG 2'!W:W,0)+AC48</f>
        <v>920821.68718000001</v>
      </c>
      <c r="AE48" s="31">
        <f>+_xlfn.XLOOKUP(TEXT($C48,"@"),'[2]Tabla BG 2'!$C:$C,'[2]Tabla BG 2'!X:X,0)+AD48</f>
        <v>943747.58518000005</v>
      </c>
      <c r="AF48" s="31">
        <f>+_xlfn.XLOOKUP(TEXT($C48,"@"),'[2]Tabla BG 2'!$C:$C,'[2]Tabla BG 2'!Y:Y,0)+AE48</f>
        <v>951983.5811800001</v>
      </c>
      <c r="AG48" s="31">
        <f>+_xlfn.XLOOKUP(TEXT($C48,"@"),'[2]Tabla BG 2'!$C:$C,'[2]Tabla BG 2'!Z:Z,0)+AF48</f>
        <v>956583.5811800001</v>
      </c>
      <c r="AH48" s="31">
        <f>+_xlfn.XLOOKUP(TEXT($C48,"@"),'[2]Tabla BG 2'!$C:$C,'[2]Tabla BG 2'!AA:AA,0)+AG48</f>
        <v>957382.48218000005</v>
      </c>
      <c r="AI48" s="31">
        <f>+_xlfn.XLOOKUP(TEXT($C48,"@"),'[2]Tabla BG 2'!$C:$C,'[2]Tabla BG 2'!AB:AB,0)+AH48</f>
        <v>957382.48218000005</v>
      </c>
      <c r="AJ48" s="32">
        <f>+_xlfn.XLOOKUP(TEXT($C48,"@"),'[2]Tabla BG 2'!$C:$C,'[2]Tabla BG 2'!AC:AC,0)+AI48</f>
        <v>957382.48218000005</v>
      </c>
      <c r="AK48" s="56">
        <f>+_xlfn.XLOOKUP(TEXT($C48,"@"),'[2]Tabla BG 2'!$C:$C,'[2]Tabla BG 2'!AE:AE,0)+AJ48</f>
        <v>957382.48218000005</v>
      </c>
      <c r="AL48" s="57">
        <f>+_xlfn.XLOOKUP(TEXT($C48,"@"),'[2]Tabla BG 2'!$C:$C,'[2]Tabla BG 2'!AF:AF,0)+AK48</f>
        <v>957862.38218000007</v>
      </c>
      <c r="AM48" s="57">
        <f>+_xlfn.XLOOKUP(TEXT($C48,"@"),'[2]Tabla BG 2'!$C:$C,'[2]Tabla BG 2'!AG:AG,0)+AL48</f>
        <v>957862.38218000007</v>
      </c>
      <c r="AN48" s="57">
        <f>+_xlfn.XLOOKUP(TEXT($C48,"@"),'[2]Tabla BG 2'!$C:$C,'[2]Tabla BG 2'!AG:AG,0)+AM48</f>
        <v>957862.38218000007</v>
      </c>
      <c r="AO48" s="57">
        <f>+_xlfn.XLOOKUP(TEXT($C48,"@"),'[2]Tabla BG 2'!$C:$C,'[2]Tabla BG 2'!AH:AH,0)+AN48</f>
        <v>958342.2821800001</v>
      </c>
      <c r="AP48" s="57">
        <f>+_xlfn.XLOOKUP(TEXT($C48,"@"),'[2]Tabla BG 2'!$C:$C,'[2]Tabla BG 2'!AI:AI,0)+AO48</f>
        <v>1133241.9411800001</v>
      </c>
      <c r="AQ48" s="57">
        <f>+_xlfn.XLOOKUP(TEXT($C48,"@"),'[2]Tabla BG 2'!$C:$C,'[2]Tabla BG 2'!AJ:AJ,0)+AP48</f>
        <v>1133241.9411800001</v>
      </c>
      <c r="AR48" s="57">
        <f>+_xlfn.XLOOKUP(TEXT($C48,"@"),'[2]Tabla BG 2'!$C:$C,'[2]Tabla BG 2'!AK:AK,0)+AQ48</f>
        <v>1133241.9411800001</v>
      </c>
      <c r="AS48" s="57">
        <f>+_xlfn.XLOOKUP(TEXT($C48,"@"),'[2]Tabla BG 2'!$C:$C,'[2]Tabla BG 2'!AL:AL,0)+AR48</f>
        <v>1133241.9411800001</v>
      </c>
      <c r="AT48" s="57">
        <f>+_xlfn.XLOOKUP(TEXT($C48,"@"),'[2]Tabla BG 2'!$C:$C,'[2]Tabla BG 2'!AM:AM,0)+AS48</f>
        <v>1133241.9411800001</v>
      </c>
      <c r="AU48" s="57">
        <f>+_xlfn.XLOOKUP(TEXT($C48,"@"),'[2]Tabla BG 2'!$C:$C,'[2]Tabla BG 2'!AN:AN,0)+AT48</f>
        <v>1133241.9411800001</v>
      </c>
      <c r="AV48" s="58">
        <f>+_xlfn.XLOOKUP(TEXT($C48,"@"),'[2]Tabla BG 2'!$C:$C,'[2]Tabla BG 2'!AO:AO,0)+AU48</f>
        <v>1133241.9411800001</v>
      </c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5"/>
      <c r="BJ48" s="55"/>
      <c r="BK48" s="55"/>
      <c r="BL48" s="55"/>
      <c r="BM48" s="55"/>
      <c r="BN48" s="55"/>
    </row>
    <row r="49" spans="1:68" x14ac:dyDescent="0.35">
      <c r="A49" s="1">
        <v>2725</v>
      </c>
      <c r="B49" s="2" t="str">
        <f t="shared" si="3"/>
        <v>COC1528</v>
      </c>
      <c r="C49">
        <v>1528</v>
      </c>
      <c r="D49" s="16" t="s">
        <v>40</v>
      </c>
      <c r="E49" s="49"/>
      <c r="F49" s="50"/>
      <c r="G49" s="50"/>
      <c r="H49" s="50"/>
      <c r="I49" s="50"/>
      <c r="J49" s="50"/>
      <c r="K49" s="50"/>
      <c r="L49" s="32">
        <f>+_xlfn.XLOOKUP(C49,'[1]4'!$C:$C,'[1]4'!$I:$I,0)</f>
        <v>75439.168680000002</v>
      </c>
      <c r="M49" s="56">
        <f>+_xlfn.XLOOKUP(TEXT($C49,"@"),'[2]Tabla BG 2'!$C:$C,'[2]Tabla BG 2'!E:E,0)+L49</f>
        <v>75588.168680000002</v>
      </c>
      <c r="N49" s="57">
        <f>+_xlfn.XLOOKUP(TEXT($C49,"@"),'[2]Tabla BG 2'!$C:$C,'[2]Tabla BG 2'!F:F,0)+M49</f>
        <v>78686.068679999997</v>
      </c>
      <c r="O49" s="57">
        <f>+_xlfn.XLOOKUP(TEXT($C49,"@"),'[2]Tabla BG 2'!$C:$C,'[2]Tabla BG 2'!G:G,0)+N49</f>
        <v>78686.068679999997</v>
      </c>
      <c r="P49" s="57">
        <f>+_xlfn.XLOOKUP(TEXT($C49,"@"),'[2]Tabla BG 2'!$C:$C,'[2]Tabla BG 2'!H:H,0)+O49</f>
        <v>78686.068679999997</v>
      </c>
      <c r="Q49" s="57">
        <f>+_xlfn.XLOOKUP(TEXT($C49,"@"),'[2]Tabla BG 2'!$C:$C,'[2]Tabla BG 2'!I:I,0)+P49</f>
        <v>78686.068679999997</v>
      </c>
      <c r="R49" s="57">
        <f>+_xlfn.XLOOKUP(TEXT($C49,"@"),'[2]Tabla BG 2'!$C:$C,'[2]Tabla BG 2'!J:J,0)+Q49</f>
        <v>81304.068679999997</v>
      </c>
      <c r="S49" s="57">
        <f>+_xlfn.XLOOKUP(TEXT($C49,"@"),'[2]Tabla BG 2'!$C:$C,'[2]Tabla BG 2'!K:K,0)+R49</f>
        <v>85077.468679999991</v>
      </c>
      <c r="T49" s="57">
        <f>+_xlfn.XLOOKUP(TEXT($C49,"@"),'[2]Tabla BG 2'!$C:$C,'[2]Tabla BG 2'!L:L,0)+S49</f>
        <v>86477.268679999994</v>
      </c>
      <c r="U49" s="57">
        <f>+_xlfn.XLOOKUP(TEXT($C49,"@"),'[2]Tabla BG 2'!$C:$C,'[2]Tabla BG 2'!M:M,0)+T49</f>
        <v>88626.168679999988</v>
      </c>
      <c r="V49" s="57">
        <f>+_xlfn.XLOOKUP(TEXT($C49,"@"),'[2]Tabla BG 2'!$C:$C,'[2]Tabla BG 2'!N:N,0)+U49</f>
        <v>93253.968679999991</v>
      </c>
      <c r="W49" s="57">
        <f>+_xlfn.XLOOKUP(TEXT($C49,"@"),'[2]Tabla BG 2'!$C:$C,'[2]Tabla BG 2'!O:O,0)+V49</f>
        <v>93253.968679999991</v>
      </c>
      <c r="X49" s="57">
        <f>+_xlfn.XLOOKUP(TEXT($C49,"@"),'[2]Tabla BG 2'!$C:$C,'[2]Tabla BG 2'!P:P,0)+W49</f>
        <v>93253.968679999991</v>
      </c>
      <c r="Y49" s="30">
        <f>+_xlfn.XLOOKUP(TEXT($C49,"@"),'[2]Tabla BG 2'!$C:$C,'[2]Tabla BG 2'!R:R,0)+X49</f>
        <v>95452.968679999991</v>
      </c>
      <c r="Z49" s="31">
        <f>+_xlfn.XLOOKUP(TEXT($C49,"@"),'[2]Tabla BG 2'!$C:$C,'[2]Tabla BG 2'!S:S,0)+Y49</f>
        <v>95452.968679999991</v>
      </c>
      <c r="AA49" s="31">
        <f>+_xlfn.XLOOKUP(TEXT($C49,"@"),'[2]Tabla BG 2'!$C:$C,'[2]Tabla BG 2'!T:T,0)+Z49</f>
        <v>95452.968679999991</v>
      </c>
      <c r="AB49" s="31">
        <f>+_xlfn.XLOOKUP(TEXT($C49,"@"),'[2]Tabla BG 2'!$C:$C,'[2]Tabla BG 2'!U:U,0)+AA49</f>
        <v>95452.968679999991</v>
      </c>
      <c r="AC49" s="31">
        <f>+_xlfn.XLOOKUP(TEXT($C49,"@"),'[2]Tabla BG 2'!$C:$C,'[2]Tabla BG 2'!V:V,0)+AB49</f>
        <v>96752.968679999991</v>
      </c>
      <c r="AD49" s="31">
        <f>+_xlfn.XLOOKUP(TEXT($C49,"@"),'[2]Tabla BG 2'!$C:$C,'[2]Tabla BG 2'!W:W,0)+AC49</f>
        <v>101750.86867999999</v>
      </c>
      <c r="AE49" s="31">
        <f>+_xlfn.XLOOKUP(TEXT($C49,"@"),'[2]Tabla BG 2'!$C:$C,'[2]Tabla BG 2'!X:X,0)+AD49</f>
        <v>101750.86867999999</v>
      </c>
      <c r="AF49" s="31">
        <f>+_xlfn.XLOOKUP(TEXT($C49,"@"),'[2]Tabla BG 2'!$C:$C,'[2]Tabla BG 2'!Y:Y,0)+AE49</f>
        <v>101750.86867999999</v>
      </c>
      <c r="AG49" s="31">
        <f>+_xlfn.XLOOKUP(TEXT($C49,"@"),'[2]Tabla BG 2'!$C:$C,'[2]Tabla BG 2'!Z:Z,0)+AF49</f>
        <v>101750.86867999999</v>
      </c>
      <c r="AH49" s="31">
        <f>+_xlfn.XLOOKUP(TEXT($C49,"@"),'[2]Tabla BG 2'!$C:$C,'[2]Tabla BG 2'!AA:AA,0)+AG49</f>
        <v>101750.86867999999</v>
      </c>
      <c r="AI49" s="31">
        <f>+_xlfn.XLOOKUP(TEXT($C49,"@"),'[2]Tabla BG 2'!$C:$C,'[2]Tabla BG 2'!AB:AB,0)+AH49</f>
        <v>101750.86867999999</v>
      </c>
      <c r="AJ49" s="32">
        <f>+_xlfn.XLOOKUP(TEXT($C49,"@"),'[2]Tabla BG 2'!$C:$C,'[2]Tabla BG 2'!AC:AC,0)+AI49</f>
        <v>102573.37067999998</v>
      </c>
      <c r="AK49" s="56">
        <f>+_xlfn.XLOOKUP(TEXT($C49,"@"),'[2]Tabla BG 2'!$C:$C,'[2]Tabla BG 2'!AE:AE,0)+AJ49</f>
        <v>103373.37067999998</v>
      </c>
      <c r="AL49" s="57">
        <f>+_xlfn.XLOOKUP(TEXT($C49,"@"),'[2]Tabla BG 2'!$C:$C,'[2]Tabla BG 2'!AF:AF,0)+AK49</f>
        <v>103373.37067999998</v>
      </c>
      <c r="AM49" s="57">
        <f>+_xlfn.XLOOKUP(TEXT($C49,"@"),'[2]Tabla BG 2'!$C:$C,'[2]Tabla BG 2'!AG:AG,0)+AL49</f>
        <v>103373.37067999998</v>
      </c>
      <c r="AN49" s="57">
        <f>+_xlfn.XLOOKUP(TEXT($C49,"@"),'[2]Tabla BG 2'!$C:$C,'[2]Tabla BG 2'!AG:AG,0)+AM49</f>
        <v>103373.37067999998</v>
      </c>
      <c r="AO49" s="57">
        <f>+_xlfn.XLOOKUP(TEXT($C49,"@"),'[2]Tabla BG 2'!$C:$C,'[2]Tabla BG 2'!AH:AH,0)+AN49</f>
        <v>104173.37067999998</v>
      </c>
      <c r="AP49" s="57">
        <f>+_xlfn.XLOOKUP(TEXT($C49,"@"),'[2]Tabla BG 2'!$C:$C,'[2]Tabla BG 2'!AI:AI,0)+AO49</f>
        <v>132107.57267999998</v>
      </c>
      <c r="AQ49" s="57">
        <f>+_xlfn.XLOOKUP(TEXT($C49,"@"),'[2]Tabla BG 2'!$C:$C,'[2]Tabla BG 2'!AJ:AJ,0)+AP49</f>
        <v>132107.57267999998</v>
      </c>
      <c r="AR49" s="57">
        <f>+_xlfn.XLOOKUP(TEXT($C49,"@"),'[2]Tabla BG 2'!$C:$C,'[2]Tabla BG 2'!AK:AK,0)+AQ49</f>
        <v>132107.57267999998</v>
      </c>
      <c r="AS49" s="57">
        <f>+_xlfn.XLOOKUP(TEXT($C49,"@"),'[2]Tabla BG 2'!$C:$C,'[2]Tabla BG 2'!AL:AL,0)+AR49</f>
        <v>132107.57267999998</v>
      </c>
      <c r="AT49" s="57">
        <f>+_xlfn.XLOOKUP(TEXT($C49,"@"),'[2]Tabla BG 2'!$C:$C,'[2]Tabla BG 2'!AM:AM,0)+AS49</f>
        <v>132107.57267999998</v>
      </c>
      <c r="AU49" s="57">
        <f>+_xlfn.XLOOKUP(TEXT($C49,"@"),'[2]Tabla BG 2'!$C:$C,'[2]Tabla BG 2'!AN:AN,0)+AT49</f>
        <v>132107.57267999998</v>
      </c>
      <c r="AV49" s="58">
        <f>+_xlfn.XLOOKUP(TEXT($C49,"@"),'[2]Tabla BG 2'!$C:$C,'[2]Tabla BG 2'!AO:AO,0)+AU49</f>
        <v>132107.57267999998</v>
      </c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5"/>
      <c r="BJ49" s="55"/>
      <c r="BK49" s="55"/>
      <c r="BL49" s="55"/>
      <c r="BM49" s="55"/>
      <c r="BN49" s="55"/>
    </row>
    <row r="50" spans="1:68" x14ac:dyDescent="0.35">
      <c r="A50" s="48">
        <v>3115</v>
      </c>
      <c r="B50" s="2" t="str">
        <f t="shared" si="3"/>
        <v>COC1532</v>
      </c>
      <c r="C50">
        <v>1532</v>
      </c>
      <c r="D50" s="16" t="s">
        <v>41</v>
      </c>
      <c r="E50" s="49"/>
      <c r="F50" s="50"/>
      <c r="G50" s="50"/>
      <c r="H50" s="50"/>
      <c r="I50" s="50"/>
      <c r="J50" s="50"/>
      <c r="K50" s="50"/>
      <c r="L50" s="32">
        <f>+_xlfn.XLOOKUP(C50,'[1]4'!$C:$C,'[1]4'!$I:$I,0)</f>
        <v>12129.856220000001</v>
      </c>
      <c r="M50" s="56">
        <f>+_xlfn.XLOOKUP(TEXT($C50,"@"),'[2]Tabla BG 2'!$C:$C,'[2]Tabla BG 2'!E:E,0)+L50</f>
        <v>12129.856220000001</v>
      </c>
      <c r="N50" s="57">
        <f>+_xlfn.XLOOKUP(TEXT($C50,"@"),'[2]Tabla BG 2'!$C:$C,'[2]Tabla BG 2'!F:F,0)+M50</f>
        <v>12779.120220000001</v>
      </c>
      <c r="O50" s="57">
        <f>+_xlfn.XLOOKUP(TEXT($C50,"@"),'[2]Tabla BG 2'!$C:$C,'[2]Tabla BG 2'!G:G,0)+N50</f>
        <v>12779.120220000001</v>
      </c>
      <c r="P50" s="57">
        <f>+_xlfn.XLOOKUP(TEXT($C50,"@"),'[2]Tabla BG 2'!$C:$C,'[2]Tabla BG 2'!H:H,0)+O50</f>
        <v>12779.120220000001</v>
      </c>
      <c r="Q50" s="57">
        <f>+_xlfn.XLOOKUP(TEXT($C50,"@"),'[2]Tabla BG 2'!$C:$C,'[2]Tabla BG 2'!I:I,0)+P50</f>
        <v>12779.120220000001</v>
      </c>
      <c r="R50" s="57">
        <f>+_xlfn.XLOOKUP(TEXT($C50,"@"),'[2]Tabla BG 2'!$C:$C,'[2]Tabla BG 2'!J:J,0)+Q50</f>
        <v>12779.120220000001</v>
      </c>
      <c r="S50" s="57">
        <f>+_xlfn.XLOOKUP(TEXT($C50,"@"),'[2]Tabla BG 2'!$C:$C,'[2]Tabla BG 2'!K:K,0)+R50</f>
        <v>12779.120220000001</v>
      </c>
      <c r="T50" s="57">
        <f>+_xlfn.XLOOKUP(TEXT($C50,"@"),'[2]Tabla BG 2'!$C:$C,'[2]Tabla BG 2'!L:L,0)+S50</f>
        <v>12779.120220000001</v>
      </c>
      <c r="U50" s="57">
        <f>+_xlfn.XLOOKUP(TEXT($C50,"@"),'[2]Tabla BG 2'!$C:$C,'[2]Tabla BG 2'!M:M,0)+T50</f>
        <v>94326.120219999997</v>
      </c>
      <c r="V50" s="57">
        <f>+_xlfn.XLOOKUP(TEXT($C50,"@"),'[2]Tabla BG 2'!$C:$C,'[2]Tabla BG 2'!N:N,0)+U50</f>
        <v>94326.120219999997</v>
      </c>
      <c r="W50" s="57">
        <f>+_xlfn.XLOOKUP(TEXT($C50,"@"),'[2]Tabla BG 2'!$C:$C,'[2]Tabla BG 2'!O:O,0)+V50</f>
        <v>94326.120219999997</v>
      </c>
      <c r="X50" s="57">
        <f>+_xlfn.XLOOKUP(TEXT($C50,"@"),'[2]Tabla BG 2'!$C:$C,'[2]Tabla BG 2'!P:P,0)+W50</f>
        <v>94326.120219999997</v>
      </c>
      <c r="Y50" s="30">
        <f>+_xlfn.XLOOKUP(TEXT($C50,"@"),'[2]Tabla BG 2'!$C:$C,'[2]Tabla BG 2'!R:R,0)+X50</f>
        <v>94326.120219999997</v>
      </c>
      <c r="Z50" s="31">
        <f>+_xlfn.XLOOKUP(TEXT($C50,"@"),'[2]Tabla BG 2'!$C:$C,'[2]Tabla BG 2'!S:S,0)+Y50</f>
        <v>94326.120219999997</v>
      </c>
      <c r="AA50" s="31">
        <f>+_xlfn.XLOOKUP(TEXT($C50,"@"),'[2]Tabla BG 2'!$C:$C,'[2]Tabla BG 2'!T:T,0)+Z50</f>
        <v>94326.120219999997</v>
      </c>
      <c r="AB50" s="31">
        <f>+_xlfn.XLOOKUP(TEXT($C50,"@"),'[2]Tabla BG 2'!$C:$C,'[2]Tabla BG 2'!U:U,0)+AA50</f>
        <v>94326.120219999997</v>
      </c>
      <c r="AC50" s="31">
        <f>+_xlfn.XLOOKUP(TEXT($C50,"@"),'[2]Tabla BG 2'!$C:$C,'[2]Tabla BG 2'!V:V,0)+AB50</f>
        <v>94326.120219999997</v>
      </c>
      <c r="AD50" s="31">
        <f>+_xlfn.XLOOKUP(TEXT($C50,"@"),'[2]Tabla BG 2'!$C:$C,'[2]Tabla BG 2'!W:W,0)+AC50</f>
        <v>94326.120219999997</v>
      </c>
      <c r="AE50" s="31">
        <f>+_xlfn.XLOOKUP(TEXT($C50,"@"),'[2]Tabla BG 2'!$C:$C,'[2]Tabla BG 2'!X:X,0)+AD50</f>
        <v>94326.120219999997</v>
      </c>
      <c r="AF50" s="31">
        <f>+_xlfn.XLOOKUP(TEXT($C50,"@"),'[2]Tabla BG 2'!$C:$C,'[2]Tabla BG 2'!Y:Y,0)+AE50</f>
        <v>94326.120219999997</v>
      </c>
      <c r="AG50" s="31">
        <f>+_xlfn.XLOOKUP(TEXT($C50,"@"),'[2]Tabla BG 2'!$C:$C,'[2]Tabla BG 2'!Z:Z,0)+AF50</f>
        <v>94326.120219999997</v>
      </c>
      <c r="AH50" s="31">
        <f>+_xlfn.XLOOKUP(TEXT($C50,"@"),'[2]Tabla BG 2'!$C:$C,'[2]Tabla BG 2'!AA:AA,0)+AG50</f>
        <v>94326.120219999997</v>
      </c>
      <c r="AI50" s="31">
        <f>+_xlfn.XLOOKUP(TEXT($C50,"@"),'[2]Tabla BG 2'!$C:$C,'[2]Tabla BG 2'!AB:AB,0)+AH50</f>
        <v>94326.120219999997</v>
      </c>
      <c r="AJ50" s="32">
        <f>+_xlfn.XLOOKUP(TEXT($C50,"@"),'[2]Tabla BG 2'!$C:$C,'[2]Tabla BG 2'!AC:AC,0)+AI50</f>
        <v>94326.120219999997</v>
      </c>
      <c r="AK50" s="56">
        <f>+_xlfn.XLOOKUP(TEXT($C50,"@"),'[2]Tabla BG 2'!$C:$C,'[2]Tabla BG 2'!AE:AE,0)+AJ50</f>
        <v>94326.120219999997</v>
      </c>
      <c r="AL50" s="57">
        <f>+_xlfn.XLOOKUP(TEXT($C50,"@"),'[2]Tabla BG 2'!$C:$C,'[2]Tabla BG 2'!AF:AF,0)+AK50</f>
        <v>94326.120219999997</v>
      </c>
      <c r="AM50" s="57">
        <f>+_xlfn.XLOOKUP(TEXT($C50,"@"),'[2]Tabla BG 2'!$C:$C,'[2]Tabla BG 2'!AG:AG,0)+AL50</f>
        <v>94326.120219999997</v>
      </c>
      <c r="AN50" s="57">
        <f>+_xlfn.XLOOKUP(TEXT($C50,"@"),'[2]Tabla BG 2'!$C:$C,'[2]Tabla BG 2'!AG:AG,0)+AM50</f>
        <v>94326.120219999997</v>
      </c>
      <c r="AO50" s="57">
        <f>+_xlfn.XLOOKUP(TEXT($C50,"@"),'[2]Tabla BG 2'!$C:$C,'[2]Tabla BG 2'!AH:AH,0)+AN50</f>
        <v>94326.120219999997</v>
      </c>
      <c r="AP50" s="57">
        <f>+_xlfn.XLOOKUP(TEXT($C50,"@"),'[2]Tabla BG 2'!$C:$C,'[2]Tabla BG 2'!AI:AI,0)+AO50</f>
        <v>176522.38422000001</v>
      </c>
      <c r="AQ50" s="57">
        <f>+_xlfn.XLOOKUP(TEXT($C50,"@"),'[2]Tabla BG 2'!$C:$C,'[2]Tabla BG 2'!AJ:AJ,0)+AP50</f>
        <v>176522.38422000001</v>
      </c>
      <c r="AR50" s="57">
        <f>+_xlfn.XLOOKUP(TEXT($C50,"@"),'[2]Tabla BG 2'!$C:$C,'[2]Tabla BG 2'!AK:AK,0)+AQ50</f>
        <v>176522.38422000001</v>
      </c>
      <c r="AS50" s="57">
        <f>+_xlfn.XLOOKUP(TEXT($C50,"@"),'[2]Tabla BG 2'!$C:$C,'[2]Tabla BG 2'!AL:AL,0)+AR50</f>
        <v>176522.38422000001</v>
      </c>
      <c r="AT50" s="57">
        <f>+_xlfn.XLOOKUP(TEXT($C50,"@"),'[2]Tabla BG 2'!$C:$C,'[2]Tabla BG 2'!AM:AM,0)+AS50</f>
        <v>176522.38422000001</v>
      </c>
      <c r="AU50" s="57">
        <f>+_xlfn.XLOOKUP(TEXT($C50,"@"),'[2]Tabla BG 2'!$C:$C,'[2]Tabla BG 2'!AN:AN,0)+AT50</f>
        <v>176522.38422000001</v>
      </c>
      <c r="AV50" s="58">
        <f>+_xlfn.XLOOKUP(TEXT($C50,"@"),'[2]Tabla BG 2'!$C:$C,'[2]Tabla BG 2'!AO:AO,0)+AU50</f>
        <v>176522.38422000001</v>
      </c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5"/>
      <c r="BJ50" s="55"/>
      <c r="BK50" s="55"/>
      <c r="BL50" s="55"/>
      <c r="BM50" s="55"/>
      <c r="BN50" s="55"/>
    </row>
    <row r="51" spans="1:68" x14ac:dyDescent="0.35">
      <c r="A51" s="48">
        <v>3305</v>
      </c>
      <c r="B51" s="2" t="str">
        <f t="shared" si="3"/>
        <v>COC1592</v>
      </c>
      <c r="C51">
        <v>1592</v>
      </c>
      <c r="D51" s="16" t="s">
        <v>42</v>
      </c>
      <c r="E51" s="49"/>
      <c r="F51" s="50"/>
      <c r="G51" s="50"/>
      <c r="H51" s="50"/>
      <c r="I51" s="50"/>
      <c r="J51" s="50"/>
      <c r="K51" s="50"/>
      <c r="L51" s="32">
        <f>+_xlfn.XLOOKUP(C51,'[1]4'!$C:$C,'[1]4'!$I:$I,0)</f>
        <v>-156525.47025000001</v>
      </c>
      <c r="M51" s="56">
        <f>+_xlfn.XLOOKUP(TEXT($C51,"@"),'[2]Tabla BG 2'!$C:$C,'[2]Tabla BG 2'!E:E,0)+L51</f>
        <v>-161105.89169000002</v>
      </c>
      <c r="N51" s="57">
        <f>+_xlfn.XLOOKUP(TEXT($C51,"@"),'[2]Tabla BG 2'!$C:$C,'[2]Tabla BG 2'!F:F,0)+M51</f>
        <v>-165249.13695000001</v>
      </c>
      <c r="O51" s="57">
        <f>+_xlfn.XLOOKUP(TEXT($C51,"@"),'[2]Tabla BG 2'!$C:$C,'[2]Tabla BG 2'!G:G,0)+N51</f>
        <v>-169726.05610000002</v>
      </c>
      <c r="P51" s="57">
        <f>+_xlfn.XLOOKUP(TEXT($C51,"@"),'[2]Tabla BG 2'!$C:$C,'[2]Tabla BG 2'!H:H,0)+O51</f>
        <v>-174202.97525000002</v>
      </c>
      <c r="Q51" s="57">
        <f>+_xlfn.XLOOKUP(TEXT($C51,"@"),'[2]Tabla BG 2'!$C:$C,'[2]Tabla BG 2'!I:I,0)+P51</f>
        <v>-178689.39440000002</v>
      </c>
      <c r="R51" s="57">
        <f>+_xlfn.XLOOKUP(TEXT($C51,"@"),'[2]Tabla BG 2'!$C:$C,'[2]Tabla BG 2'!J:J,0)+Q51</f>
        <v>-183175.81355000002</v>
      </c>
      <c r="S51" s="57">
        <f>+_xlfn.XLOOKUP(TEXT($C51,"@"),'[2]Tabla BG 2'!$C:$C,'[2]Tabla BG 2'!K:K,0)+R51</f>
        <v>-187647.25156000003</v>
      </c>
      <c r="T51" s="57">
        <f>+_xlfn.XLOOKUP(TEXT($C51,"@"),'[2]Tabla BG 2'!$C:$C,'[2]Tabla BG 2'!L:L,0)+S51</f>
        <v>-192265.69388000004</v>
      </c>
      <c r="U51" s="57">
        <f>+_xlfn.XLOOKUP(TEXT($C51,"@"),'[2]Tabla BG 2'!$C:$C,'[2]Tabla BG 2'!M:M,0)+T51</f>
        <v>-196912.53286000004</v>
      </c>
      <c r="V51" s="57">
        <f>+_xlfn.XLOOKUP(TEXT($C51,"@"),'[2]Tabla BG 2'!$C:$C,'[2]Tabla BG 2'!N:N,0)+U51</f>
        <v>-201907.47827000002</v>
      </c>
      <c r="W51" s="57">
        <f>+_xlfn.XLOOKUP(TEXT($C51,"@"),'[2]Tabla BG 2'!$C:$C,'[2]Tabla BG 2'!O:O,0)+V51</f>
        <v>-207095.21128000002</v>
      </c>
      <c r="X51" s="57">
        <f>+_xlfn.XLOOKUP(TEXT($C51,"@"),'[2]Tabla BG 2'!$C:$C,'[2]Tabla BG 2'!P:P,0)+W51</f>
        <v>-212304.61522000001</v>
      </c>
      <c r="Y51" s="30">
        <f>+_xlfn.XLOOKUP(TEXT($C51,"@"),'[2]Tabla BG 2'!$C:$C,'[2]Tabla BG 2'!R:R,0)+X51</f>
        <v>-216637.91428</v>
      </c>
      <c r="Z51" s="31">
        <f>+_xlfn.XLOOKUP(TEXT($C51,"@"),'[2]Tabla BG 2'!$C:$C,'[2]Tabla BG 2'!S:S,0)+Y51</f>
        <v>-221018.23269999999</v>
      </c>
      <c r="AA51" s="31">
        <f>+_xlfn.XLOOKUP(TEXT($C51,"@"),'[2]Tabla BG 2'!$C:$C,'[2]Tabla BG 2'!T:T,0)+Z51</f>
        <v>-225401.36079000001</v>
      </c>
      <c r="AB51" s="31">
        <f>+_xlfn.XLOOKUP(TEXT($C51,"@"),'[2]Tabla BG 2'!$C:$C,'[2]Tabla BG 2'!U:U,0)+AA51</f>
        <v>-229844.48888000002</v>
      </c>
      <c r="AC51" s="31">
        <f>+_xlfn.XLOOKUP(TEXT($C51,"@"),'[2]Tabla BG 2'!$C:$C,'[2]Tabla BG 2'!V:V,0)+AB51</f>
        <v>-234386.03364000001</v>
      </c>
      <c r="AD51" s="31">
        <f>+_xlfn.XLOOKUP(TEXT($C51,"@"),'[2]Tabla BG 2'!$C:$C,'[2]Tabla BG 2'!W:W,0)+AC51</f>
        <v>-238949.24506000002</v>
      </c>
      <c r="AE51" s="31">
        <f>+_xlfn.XLOOKUP(TEXT($C51,"@"),'[2]Tabla BG 2'!$C:$C,'[2]Tabla BG 2'!X:X,0)+AD51</f>
        <v>-243595.75482</v>
      </c>
      <c r="AF51" s="31">
        <f>+_xlfn.XLOOKUP(TEXT($C51,"@"),'[2]Tabla BG 2'!$C:$C,'[2]Tabla BG 2'!Y:Y,0)+AE51</f>
        <v>-248369.63068</v>
      </c>
      <c r="AG51" s="31">
        <f>+_xlfn.XLOOKUP(TEXT($C51,"@"),'[2]Tabla BG 2'!$C:$C,'[2]Tabla BG 2'!Z:Z,0)+AF51</f>
        <v>-258238.18067999999</v>
      </c>
      <c r="AH51" s="31">
        <f>+_xlfn.XLOOKUP(TEXT($C51,"@"),'[2]Tabla BG 2'!$C:$C,'[2]Tabla BG 2'!AA:AA,0)+AG51</f>
        <v>-263556.26303999999</v>
      </c>
      <c r="AI51" s="31">
        <f>+_xlfn.XLOOKUP(TEXT($C51,"@"),'[2]Tabla BG 2'!$C:$C,'[2]Tabla BG 2'!AB:AB,0)+AH51</f>
        <v>-268874.34539999999</v>
      </c>
      <c r="AJ51" s="32">
        <f>+_xlfn.XLOOKUP(TEXT($C51,"@"),'[2]Tabla BG 2'!$C:$C,'[2]Tabla BG 2'!AC:AC,0)+AI51</f>
        <v>-274197.75375999999</v>
      </c>
      <c r="AK51" s="56">
        <f>+_xlfn.XLOOKUP(TEXT($C51,"@"),'[2]Tabla BG 2'!$C:$C,'[2]Tabla BG 2'!AE:AE,0)+AJ51</f>
        <v>-278715.37835999997</v>
      </c>
      <c r="AL51" s="57">
        <f>+_xlfn.XLOOKUP(TEXT($C51,"@"),'[2]Tabla BG 2'!$C:$C,'[2]Tabla BG 2'!AF:AF,0)+AK51</f>
        <v>-283246.33596</v>
      </c>
      <c r="AM51" s="78">
        <f>+_xlfn.XLOOKUP(TEXT($C51,"@"),'[2]Tabla BG 2'!$C:$C,'[2]Tabla BG 2'!AG:AG,0)+AL51-'P Y G'!AG31</f>
        <v>-287777.29356000002</v>
      </c>
      <c r="AN51" s="57">
        <f>+_xlfn.XLOOKUP(TEXT($C51,"@"),'[2]Tabla BG 2'!$C:$C,'[2]Tabla BG 2'!AG:AG,0)+AM51</f>
        <v>-287777.29356000002</v>
      </c>
      <c r="AO51" s="57">
        <f>+_xlfn.XLOOKUP(TEXT($C51,"@"),'[2]Tabla BG 2'!$C:$C,'[2]Tabla BG 2'!AH:AH,0)+AN51</f>
        <v>-296825.87576000002</v>
      </c>
      <c r="AP51" s="57">
        <f>+_xlfn.XLOOKUP(TEXT($C51,"@"),'[2]Tabla BG 2'!$C:$C,'[2]Tabla BG 2'!AI:AI,0)+AO51</f>
        <v>-423546.74147000001</v>
      </c>
      <c r="AQ51" s="57">
        <f>+_xlfn.XLOOKUP(TEXT($C51,"@"),'[2]Tabla BG 2'!$C:$C,'[2]Tabla BG 2'!AJ:AJ,0)+AP51</f>
        <v>-423546.74147000001</v>
      </c>
      <c r="AR51" s="57">
        <f>+_xlfn.XLOOKUP(TEXT($C51,"@"),'[2]Tabla BG 2'!$C:$C,'[2]Tabla BG 2'!AK:AK,0)+AQ51</f>
        <v>-423546.74147000001</v>
      </c>
      <c r="AS51" s="57">
        <f>+_xlfn.XLOOKUP(TEXT($C51,"@"),'[2]Tabla BG 2'!$C:$C,'[2]Tabla BG 2'!AL:AL,0)+AR51</f>
        <v>-423546.74147000001</v>
      </c>
      <c r="AT51" s="57">
        <f>+_xlfn.XLOOKUP(TEXT($C51,"@"),'[2]Tabla BG 2'!$C:$C,'[2]Tabla BG 2'!AM:AM,0)+AS51</f>
        <v>-423546.74147000001</v>
      </c>
      <c r="AU51" s="57">
        <f>+_xlfn.XLOOKUP(TEXT($C51,"@"),'[2]Tabla BG 2'!$C:$C,'[2]Tabla BG 2'!AN:AN,0)+AT51</f>
        <v>-423546.74147000001</v>
      </c>
      <c r="AV51" s="58">
        <f>+_xlfn.XLOOKUP(TEXT($C51,"@"),'[2]Tabla BG 2'!$C:$C,'[2]Tabla BG 2'!AO:AO,0)+AU51</f>
        <v>-423546.74147000001</v>
      </c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5"/>
      <c r="BJ51" s="55"/>
      <c r="BK51" s="55"/>
      <c r="BL51" s="55"/>
      <c r="BM51" s="55"/>
      <c r="BN51" s="55"/>
    </row>
    <row r="52" spans="1:68" x14ac:dyDescent="0.35">
      <c r="A52" s="48">
        <v>3405</v>
      </c>
      <c r="B52" s="2" t="str">
        <f t="shared" si="3"/>
        <v>COC1698</v>
      </c>
      <c r="C52">
        <v>1698</v>
      </c>
      <c r="D52" s="16" t="s">
        <v>43</v>
      </c>
      <c r="E52" s="49"/>
      <c r="F52" s="50"/>
      <c r="G52" s="50"/>
      <c r="H52" s="50"/>
      <c r="I52" s="50"/>
      <c r="J52" s="50"/>
      <c r="K52" s="50"/>
      <c r="L52" s="32">
        <f>+_xlfn.XLOOKUP(C52,'[1]4'!$C:$C,'[1]4'!$I:$I,0)</f>
        <v>0</v>
      </c>
      <c r="M52" s="56">
        <f>+VLOOKUP($B52,'[4]TBG G Cuenta'!$A$6:$AA$1000,COLUMN('[4]TBG G Cuenta'!B194),FALSE)+L52</f>
        <v>0</v>
      </c>
      <c r="N52" s="57">
        <f>+VLOOKUP($B52,'[4]TBG G Cuenta'!$A$6:$AA$1000,COLUMN('[4]TBG G Cuenta'!C194),FALSE)+M52</f>
        <v>0</v>
      </c>
      <c r="O52" s="57">
        <f>+VLOOKUP($B52,'[4]TBG G Cuenta'!$A$6:$AA$1000,COLUMN('[4]TBG G Cuenta'!D194),FALSE)+N52</f>
        <v>0</v>
      </c>
      <c r="P52" s="57">
        <f>+VLOOKUP($B52,'[4]TBG G Cuenta'!$A$6:$AA$1000,COLUMN('[4]TBG G Cuenta'!E194),FALSE)+O52</f>
        <v>0</v>
      </c>
      <c r="Q52" s="57">
        <f>+VLOOKUP($B52,'[4]TBG G Cuenta'!$A$6:$AA$1000,COLUMN('[4]TBG G Cuenta'!F194),FALSE)+P52</f>
        <v>0</v>
      </c>
      <c r="R52" s="57">
        <f>+VLOOKUP($B52,'[4]TBG G Cuenta'!$A$6:$AA$1000,COLUMN('[4]TBG G Cuenta'!G194),FALSE)+Q52</f>
        <v>0</v>
      </c>
      <c r="S52" s="57">
        <f>+VLOOKUP($B52,'[4]TBG G Cuenta'!$A$6:$AA$1000,COLUMN('[4]TBG G Cuenta'!H194),FALSE)+R52</f>
        <v>0</v>
      </c>
      <c r="T52" s="57">
        <f>+VLOOKUP($B52,'[4]TBG G Cuenta'!$A$6:$AA$1000,COLUMN('[4]TBG G Cuenta'!I194),FALSE)+S52</f>
        <v>0</v>
      </c>
      <c r="U52" s="57">
        <f>+VLOOKUP($B52,'[4]TBG G Cuenta'!$A$6:$AA$1000,COLUMN('[4]TBG G Cuenta'!J194),FALSE)+T52</f>
        <v>0</v>
      </c>
      <c r="V52" s="57">
        <f>+VLOOKUP($B52,'[4]TBG G Cuenta'!$A$6:$AA$1000,COLUMN('[4]TBG G Cuenta'!K194),FALSE)+U52</f>
        <v>0</v>
      </c>
      <c r="W52" s="57">
        <f>+VLOOKUP($B52,'[4]TBG G Cuenta'!$A$6:$AA$1000,COLUMN('[4]TBG G Cuenta'!L194),FALSE)+V52</f>
        <v>0</v>
      </c>
      <c r="X52" s="57">
        <f>+VLOOKUP($B52,'[4]TBG G Cuenta'!$A$6:$AA$1000,COLUMN('[4]TBG G Cuenta'!M194),FALSE)+W52</f>
        <v>0</v>
      </c>
      <c r="Y52" s="30">
        <f>+_xlfn.XLOOKUP(TEXT(O52,"@"),'[2]Tabla BG 2'!$C:$C,'[2]Tabla BG 2'!R:R,0)+X52</f>
        <v>0</v>
      </c>
      <c r="Z52" s="31">
        <f>+_xlfn.XLOOKUP(TEXT(P52,"@"),'[2]Tabla BG 2'!$C:$C,'[2]Tabla BG 2'!S:S,0)+Y52</f>
        <v>0</v>
      </c>
      <c r="AA52" s="31">
        <f>+_xlfn.XLOOKUP(TEXT(Q52,"@"),'[2]Tabla BG 2'!$C:$C,'[2]Tabla BG 2'!T:T,0)+Z52</f>
        <v>0</v>
      </c>
      <c r="AB52" s="31">
        <f>+_xlfn.XLOOKUP(TEXT(R52,"@"),'[2]Tabla BG 2'!$C:$C,'[2]Tabla BG 2'!U:U,0)+AA52</f>
        <v>0</v>
      </c>
      <c r="AC52" s="31">
        <f>+_xlfn.XLOOKUP(TEXT(S52,"@"),'[2]Tabla BG 2'!$C:$C,'[2]Tabla BG 2'!V:V,0)+AB52</f>
        <v>0</v>
      </c>
      <c r="AD52" s="31">
        <f>+_xlfn.XLOOKUP(TEXT(T52,"@"),'[2]Tabla BG 2'!$C:$C,'[2]Tabla BG 2'!W:W,0)+AC52</f>
        <v>0</v>
      </c>
      <c r="AE52" s="31">
        <f>+_xlfn.XLOOKUP(TEXT(U52,"@"),'[2]Tabla BG 2'!$C:$C,'[2]Tabla BG 2'!X:X,0)+AD52</f>
        <v>0</v>
      </c>
      <c r="AF52" s="31">
        <f>+_xlfn.XLOOKUP(TEXT(V52,"@"),'[2]Tabla BG 2'!$C:$C,'[2]Tabla BG 2'!Y:Y,0)+AE52</f>
        <v>0</v>
      </c>
      <c r="AG52" s="31">
        <f>+_xlfn.XLOOKUP(TEXT(W52,"@"),'[2]Tabla BG 2'!$C:$C,'[2]Tabla BG 2'!Z:Z,0)+AF52</f>
        <v>0</v>
      </c>
      <c r="AH52" s="31">
        <f>+_xlfn.XLOOKUP(TEXT(X52,"@"),'[2]Tabla BG 2'!$C:$C,'[2]Tabla BG 2'!AA:AA,0)+AG52</f>
        <v>0</v>
      </c>
      <c r="AI52" s="31">
        <f>+_xlfn.XLOOKUP(TEXT(Y52,"@"),'[2]Tabla BG 2'!$C:$C,'[2]Tabla BG 2'!AB:AB,0)+AH52</f>
        <v>0</v>
      </c>
      <c r="AJ52" s="32">
        <f>+_xlfn.XLOOKUP(TEXT(Z52,"@"),'[2]Tabla BG 2'!$C:$C,'[2]Tabla BG 2'!AC:AC,0)+AI52</f>
        <v>0</v>
      </c>
      <c r="AK52" s="56">
        <f>+_xlfn.XLOOKUP(TEXT(AA52,"@"),'[2]Tabla BG 2'!$C:$C,'[2]Tabla BG 2'!AE:AE,0)+AJ52</f>
        <v>0</v>
      </c>
      <c r="AL52" s="57">
        <f>+_xlfn.XLOOKUP(TEXT(AB52,"@"),'[2]Tabla BG 2'!$C:$C,'[2]Tabla BG 2'!AF:AF,0)+AK52</f>
        <v>0</v>
      </c>
      <c r="AM52" s="57">
        <f>+_xlfn.XLOOKUP(TEXT(AC52,"@"),'[2]Tabla BG 2'!$C:$C,'[2]Tabla BG 2'!AG:AG,0)+AL52</f>
        <v>0</v>
      </c>
      <c r="AN52" s="57">
        <f>+_xlfn.XLOOKUP(TEXT(AD52,"@"),'[2]Tabla BG 2'!$C:$C,'[2]Tabla BG 2'!AG:AG,0)+AM52</f>
        <v>0</v>
      </c>
      <c r="AO52" s="57">
        <f>+_xlfn.XLOOKUP(TEXT(AE52,"@"),'[2]Tabla BG 2'!$C:$C,'[2]Tabla BG 2'!AH:AH,0)+AN52</f>
        <v>0</v>
      </c>
      <c r="AP52" s="57">
        <f>+_xlfn.XLOOKUP(TEXT(AF52,"@"),'[2]Tabla BG 2'!$C:$C,'[2]Tabla BG 2'!AI:AI,0)+AO52</f>
        <v>0</v>
      </c>
      <c r="AQ52" s="57">
        <f>+_xlfn.XLOOKUP(TEXT(AG52,"@"),'[2]Tabla BG 2'!$C:$C,'[2]Tabla BG 2'!AJ:AJ,0)+AP52</f>
        <v>0</v>
      </c>
      <c r="AR52" s="57">
        <f>+_xlfn.XLOOKUP(TEXT(AH52,"@"),'[2]Tabla BG 2'!$C:$C,'[2]Tabla BG 2'!AK:AK,0)+AQ52</f>
        <v>0</v>
      </c>
      <c r="AS52" s="57">
        <f>+_xlfn.XLOOKUP(TEXT(AI52,"@"),'[2]Tabla BG 2'!$C:$C,'[2]Tabla BG 2'!AL:AL,0)+AR52</f>
        <v>0</v>
      </c>
      <c r="AT52" s="57">
        <f>+_xlfn.XLOOKUP(TEXT(AJ52,"@"),'[2]Tabla BG 2'!$C:$C,'[2]Tabla BG 2'!AM:AM,0)+AS52</f>
        <v>0</v>
      </c>
      <c r="AU52" s="57">
        <f>+_xlfn.XLOOKUP(TEXT(AK52,"@"),'[2]Tabla BG 2'!$C:$C,'[2]Tabla BG 2'!AN:AN,0)+AT52</f>
        <v>0</v>
      </c>
      <c r="AV52" s="58">
        <f>+_xlfn.XLOOKUP(TEXT(AL52,"@"),'[2]Tabla BG 2'!$C:$C,'[2]Tabla BG 2'!AO:AO,0)+AU52</f>
        <v>0</v>
      </c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5"/>
      <c r="BJ52" s="55"/>
      <c r="BK52" s="55"/>
      <c r="BL52" s="55"/>
      <c r="BM52" s="55"/>
      <c r="BN52" s="55"/>
    </row>
    <row r="53" spans="1:68" ht="15" thickBot="1" x14ac:dyDescent="0.4">
      <c r="A53" s="48">
        <v>3605</v>
      </c>
      <c r="B53" s="2" t="str">
        <f t="shared" si="3"/>
        <v>COC</v>
      </c>
      <c r="C53"/>
      <c r="D53" s="3" t="s">
        <v>44</v>
      </c>
      <c r="E53" s="37"/>
      <c r="F53" s="38"/>
      <c r="G53" s="38"/>
      <c r="H53" s="38"/>
      <c r="I53" s="38"/>
      <c r="J53" s="38"/>
      <c r="K53" s="38"/>
      <c r="L53" s="39">
        <f t="shared" ref="L53:BK53" si="19">+L54</f>
        <v>0</v>
      </c>
      <c r="M53" s="40">
        <f t="shared" si="19"/>
        <v>0</v>
      </c>
      <c r="N53" s="41">
        <f t="shared" si="19"/>
        <v>0</v>
      </c>
      <c r="O53" s="41">
        <f t="shared" si="19"/>
        <v>0</v>
      </c>
      <c r="P53" s="41">
        <f t="shared" si="19"/>
        <v>0</v>
      </c>
      <c r="Q53" s="41">
        <f t="shared" si="19"/>
        <v>0</v>
      </c>
      <c r="R53" s="41">
        <f t="shared" si="19"/>
        <v>0</v>
      </c>
      <c r="S53" s="41">
        <f t="shared" si="19"/>
        <v>0</v>
      </c>
      <c r="T53" s="41">
        <f t="shared" si="19"/>
        <v>0</v>
      </c>
      <c r="U53" s="41">
        <f t="shared" si="19"/>
        <v>0</v>
      </c>
      <c r="V53" s="41">
        <f t="shared" si="19"/>
        <v>0</v>
      </c>
      <c r="W53" s="41">
        <f t="shared" si="19"/>
        <v>0</v>
      </c>
      <c r="X53" s="44">
        <f t="shared" si="19"/>
        <v>0</v>
      </c>
      <c r="Y53" s="42">
        <f t="shared" si="19"/>
        <v>0</v>
      </c>
      <c r="Z53" s="43">
        <f t="shared" si="19"/>
        <v>0</v>
      </c>
      <c r="AA53" s="43">
        <f t="shared" si="19"/>
        <v>0</v>
      </c>
      <c r="AB53" s="43">
        <f t="shared" si="19"/>
        <v>0</v>
      </c>
      <c r="AC53" s="43">
        <f t="shared" si="19"/>
        <v>0</v>
      </c>
      <c r="AD53" s="43">
        <f t="shared" si="19"/>
        <v>0</v>
      </c>
      <c r="AE53" s="43">
        <f t="shared" si="19"/>
        <v>0</v>
      </c>
      <c r="AF53" s="43">
        <f t="shared" si="19"/>
        <v>0</v>
      </c>
      <c r="AG53" s="43">
        <f t="shared" si="19"/>
        <v>0</v>
      </c>
      <c r="AH53" s="43">
        <f t="shared" si="19"/>
        <v>0</v>
      </c>
      <c r="AI53" s="43">
        <f t="shared" si="19"/>
        <v>0</v>
      </c>
      <c r="AJ53" s="39">
        <f t="shared" si="19"/>
        <v>0</v>
      </c>
      <c r="AK53" s="40">
        <f t="shared" si="19"/>
        <v>0</v>
      </c>
      <c r="AL53" s="41">
        <f t="shared" si="19"/>
        <v>0</v>
      </c>
      <c r="AM53" s="41">
        <f t="shared" si="19"/>
        <v>0</v>
      </c>
      <c r="AN53" s="41">
        <f t="shared" si="19"/>
        <v>0</v>
      </c>
      <c r="AO53" s="41">
        <f t="shared" si="19"/>
        <v>0</v>
      </c>
      <c r="AP53" s="41">
        <f t="shared" si="19"/>
        <v>0</v>
      </c>
      <c r="AQ53" s="41">
        <f t="shared" si="19"/>
        <v>0</v>
      </c>
      <c r="AR53" s="41">
        <f t="shared" si="19"/>
        <v>0</v>
      </c>
      <c r="AS53" s="41">
        <f t="shared" si="19"/>
        <v>0</v>
      </c>
      <c r="AT53" s="41">
        <f t="shared" si="19"/>
        <v>0</v>
      </c>
      <c r="AU53" s="41">
        <f t="shared" si="19"/>
        <v>0</v>
      </c>
      <c r="AV53" s="44">
        <f t="shared" si="19"/>
        <v>0</v>
      </c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6">
        <f t="shared" si="19"/>
        <v>0</v>
      </c>
      <c r="BJ53" s="46">
        <f t="shared" si="19"/>
        <v>0</v>
      </c>
      <c r="BK53" s="46">
        <f t="shared" si="19"/>
        <v>0</v>
      </c>
      <c r="BL53" s="47"/>
      <c r="BM53" s="47"/>
      <c r="BN53" s="47"/>
    </row>
    <row r="54" spans="1:68" ht="15" thickTop="1" x14ac:dyDescent="0.35">
      <c r="A54" s="48">
        <v>3705</v>
      </c>
      <c r="B54" s="2" t="str">
        <f t="shared" si="3"/>
        <v>COC</v>
      </c>
      <c r="C54"/>
      <c r="D54" s="16" t="s">
        <v>45</v>
      </c>
      <c r="E54" s="49"/>
      <c r="F54" s="50"/>
      <c r="G54" s="50"/>
      <c r="H54" s="50"/>
      <c r="I54" s="50"/>
      <c r="J54" s="50"/>
      <c r="K54" s="50"/>
      <c r="L54" s="32"/>
      <c r="M54" s="56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8"/>
      <c r="Y54" s="30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2"/>
      <c r="AK54" s="56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8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5"/>
      <c r="BJ54" s="55"/>
      <c r="BK54" s="55"/>
      <c r="BL54" s="55"/>
      <c r="BM54" s="55"/>
      <c r="BN54" s="55"/>
    </row>
    <row r="55" spans="1:68" x14ac:dyDescent="0.35">
      <c r="A55" s="48">
        <v>3715</v>
      </c>
      <c r="B55" s="2" t="str">
        <f t="shared" si="3"/>
        <v>COC</v>
      </c>
      <c r="C55"/>
      <c r="E55" s="49"/>
      <c r="F55" s="50"/>
      <c r="G55" s="50"/>
      <c r="H55" s="50"/>
      <c r="I55" s="50"/>
      <c r="J55" s="50"/>
      <c r="K55" s="50"/>
      <c r="L55" s="32"/>
      <c r="M55" s="56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8"/>
      <c r="Y55" s="30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2"/>
      <c r="AK55" s="56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8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</row>
    <row r="56" spans="1:68" x14ac:dyDescent="0.35">
      <c r="A56" s="1">
        <v>4135</v>
      </c>
      <c r="B56" s="2" t="str">
        <f t="shared" si="3"/>
        <v>COC</v>
      </c>
      <c r="C56"/>
      <c r="D56" s="18" t="s">
        <v>46</v>
      </c>
      <c r="E56" s="24"/>
      <c r="F56" s="24"/>
      <c r="G56" s="24"/>
      <c r="H56" s="24"/>
      <c r="I56" s="24"/>
      <c r="J56" s="24"/>
      <c r="K56" s="24"/>
      <c r="L56" s="73">
        <f t="shared" ref="L56:AV56" si="20">+L5+L35</f>
        <v>1838468.74095</v>
      </c>
      <c r="M56" s="75">
        <f t="shared" si="20"/>
        <v>1808136.3448299998</v>
      </c>
      <c r="N56" s="75">
        <f t="shared" si="20"/>
        <v>1864168.5478599998</v>
      </c>
      <c r="O56" s="75">
        <f t="shared" si="20"/>
        <v>1892030.9934899998</v>
      </c>
      <c r="P56" s="75">
        <f t="shared" si="20"/>
        <v>2013610.55106</v>
      </c>
      <c r="Q56" s="75">
        <f t="shared" si="20"/>
        <v>1841837.1036000003</v>
      </c>
      <c r="R56" s="75">
        <f t="shared" si="20"/>
        <v>1799333.56966</v>
      </c>
      <c r="S56" s="75">
        <f t="shared" si="20"/>
        <v>2124190.43848</v>
      </c>
      <c r="T56" s="75">
        <f t="shared" si="20"/>
        <v>2331409.6474699997</v>
      </c>
      <c r="U56" s="75">
        <f t="shared" si="20"/>
        <v>2477225.27623</v>
      </c>
      <c r="V56" s="75">
        <f t="shared" si="20"/>
        <v>2593046.6490100003</v>
      </c>
      <c r="W56" s="75">
        <f t="shared" si="20"/>
        <v>2655036.1739000003</v>
      </c>
      <c r="X56" s="73">
        <f t="shared" si="20"/>
        <v>2655999.70737</v>
      </c>
      <c r="Y56" s="75">
        <f t="shared" si="20"/>
        <v>2517885.6851699995</v>
      </c>
      <c r="Z56" s="75">
        <f t="shared" si="20"/>
        <v>2688313.6580699999</v>
      </c>
      <c r="AA56" s="75">
        <f t="shared" si="20"/>
        <v>2799969.8907399997</v>
      </c>
      <c r="AB56" s="75">
        <f t="shared" si="20"/>
        <v>3053936.6101499996</v>
      </c>
      <c r="AC56" s="75">
        <f t="shared" si="20"/>
        <v>2750066.9616800002</v>
      </c>
      <c r="AD56" s="75">
        <f t="shared" si="20"/>
        <v>2799127.1672100001</v>
      </c>
      <c r="AE56" s="75">
        <f t="shared" si="20"/>
        <v>2755010.3655000003</v>
      </c>
      <c r="AF56" s="75">
        <f t="shared" si="20"/>
        <v>2944478.0100500006</v>
      </c>
      <c r="AG56" s="75">
        <f t="shared" si="20"/>
        <v>2859042.4772000001</v>
      </c>
      <c r="AH56" s="75">
        <f t="shared" si="20"/>
        <v>3006549.53682</v>
      </c>
      <c r="AI56" s="75">
        <f t="shared" si="20"/>
        <v>2903234.327</v>
      </c>
      <c r="AJ56" s="73">
        <f t="shared" si="20"/>
        <v>2598749.9364</v>
      </c>
      <c r="AK56" s="75">
        <f t="shared" si="20"/>
        <v>2505424.97107</v>
      </c>
      <c r="AL56" s="75">
        <f t="shared" si="20"/>
        <v>2464721.3171699997</v>
      </c>
      <c r="AM56" s="75">
        <f t="shared" si="20"/>
        <v>2385931.6083699996</v>
      </c>
      <c r="AN56" s="75">
        <f t="shared" si="20"/>
        <v>2311672.8571699997</v>
      </c>
      <c r="AO56" s="75">
        <f t="shared" si="20"/>
        <v>2103385.4867399996</v>
      </c>
      <c r="AP56" s="75">
        <f t="shared" si="20"/>
        <v>2655379.31176</v>
      </c>
      <c r="AQ56" s="75">
        <f t="shared" si="20"/>
        <v>2655379.31176</v>
      </c>
      <c r="AR56" s="75">
        <f t="shared" si="20"/>
        <v>2655379.31176</v>
      </c>
      <c r="AS56" s="75">
        <f t="shared" si="20"/>
        <v>2655379.31176</v>
      </c>
      <c r="AT56" s="75">
        <f t="shared" si="20"/>
        <v>2655379.31176</v>
      </c>
      <c r="AU56" s="75">
        <f t="shared" si="20"/>
        <v>2655379.31176</v>
      </c>
      <c r="AV56" s="73">
        <f t="shared" si="20"/>
        <v>2655379.31176</v>
      </c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5" t="e">
        <f>+BI5+BI35</f>
        <v>#REF!</v>
      </c>
      <c r="BJ56" s="25" t="e">
        <f>+BJ5+BJ35</f>
        <v>#REF!</v>
      </c>
      <c r="BK56" s="25" t="e">
        <f>+BK5+BK35</f>
        <v>#REF!</v>
      </c>
      <c r="BL56" s="25"/>
      <c r="BM56" s="25"/>
      <c r="BN56" s="25"/>
    </row>
    <row r="57" spans="1:68" x14ac:dyDescent="0.35">
      <c r="A57" s="1">
        <v>4175</v>
      </c>
      <c r="B57" s="2" t="str">
        <f t="shared" si="3"/>
        <v>COC</v>
      </c>
      <c r="C57"/>
      <c r="D57"/>
      <c r="E57"/>
      <c r="F57"/>
      <c r="G57"/>
      <c r="H57"/>
      <c r="I57"/>
      <c r="J57"/>
      <c r="K57"/>
      <c r="L57" s="79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79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79"/>
      <c r="AL57" s="80"/>
      <c r="AM57" s="80"/>
      <c r="AN57" s="80"/>
      <c r="AO57" s="80"/>
      <c r="AP57" s="80"/>
      <c r="AQ57" s="80"/>
      <c r="AR57" s="80"/>
      <c r="AS57" s="80"/>
      <c r="AT57" s="80"/>
      <c r="AU57" s="80"/>
      <c r="AV57" s="79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</row>
    <row r="58" spans="1:68" ht="13" x14ac:dyDescent="0.3">
      <c r="A58" s="1">
        <v>4210</v>
      </c>
      <c r="B58" s="2" t="str">
        <f t="shared" si="3"/>
        <v>COC</v>
      </c>
      <c r="D58" s="10" t="s">
        <v>47</v>
      </c>
      <c r="E58" s="11"/>
      <c r="F58" s="11"/>
      <c r="G58" s="11"/>
      <c r="H58" s="11"/>
      <c r="I58" s="11"/>
      <c r="J58" s="11"/>
      <c r="K58" s="11"/>
      <c r="L58" s="11">
        <f t="shared" ref="L58:AV58" si="21">+L2</f>
        <v>45261</v>
      </c>
      <c r="M58" s="12">
        <f t="shared" si="21"/>
        <v>45292</v>
      </c>
      <c r="N58" s="12">
        <f t="shared" si="21"/>
        <v>45323</v>
      </c>
      <c r="O58" s="12">
        <f t="shared" si="21"/>
        <v>45352</v>
      </c>
      <c r="P58" s="12">
        <f t="shared" si="21"/>
        <v>45383</v>
      </c>
      <c r="Q58" s="12">
        <f t="shared" si="21"/>
        <v>45413</v>
      </c>
      <c r="R58" s="12">
        <f t="shared" si="21"/>
        <v>45444</v>
      </c>
      <c r="S58" s="12">
        <f t="shared" si="21"/>
        <v>45474</v>
      </c>
      <c r="T58" s="12">
        <f t="shared" si="21"/>
        <v>45505</v>
      </c>
      <c r="U58" s="12">
        <f t="shared" si="21"/>
        <v>45536</v>
      </c>
      <c r="V58" s="12">
        <f t="shared" si="21"/>
        <v>45566</v>
      </c>
      <c r="W58" s="12">
        <f t="shared" si="21"/>
        <v>45597</v>
      </c>
      <c r="X58" s="12">
        <f t="shared" si="21"/>
        <v>45627</v>
      </c>
      <c r="Y58" s="12">
        <f t="shared" si="21"/>
        <v>45658</v>
      </c>
      <c r="Z58" s="12">
        <f t="shared" si="21"/>
        <v>45689</v>
      </c>
      <c r="AA58" s="12">
        <f t="shared" si="21"/>
        <v>45717</v>
      </c>
      <c r="AB58" s="12">
        <f t="shared" si="21"/>
        <v>45748</v>
      </c>
      <c r="AC58" s="12">
        <f t="shared" si="21"/>
        <v>45778</v>
      </c>
      <c r="AD58" s="12">
        <f t="shared" si="21"/>
        <v>45809</v>
      </c>
      <c r="AE58" s="12">
        <f t="shared" si="21"/>
        <v>45839</v>
      </c>
      <c r="AF58" s="12">
        <f t="shared" si="21"/>
        <v>45870</v>
      </c>
      <c r="AG58" s="12">
        <f t="shared" si="21"/>
        <v>45901</v>
      </c>
      <c r="AH58" s="12">
        <f t="shared" si="21"/>
        <v>45931</v>
      </c>
      <c r="AI58" s="12">
        <f t="shared" si="21"/>
        <v>45962</v>
      </c>
      <c r="AJ58" s="81">
        <f t="shared" si="21"/>
        <v>45992</v>
      </c>
      <c r="AK58" s="12">
        <f t="shared" si="21"/>
        <v>46023</v>
      </c>
      <c r="AL58" s="12">
        <f t="shared" si="21"/>
        <v>46054</v>
      </c>
      <c r="AM58" s="12">
        <f t="shared" si="21"/>
        <v>46082</v>
      </c>
      <c r="AN58" s="12">
        <f t="shared" si="21"/>
        <v>46113</v>
      </c>
      <c r="AO58" s="12">
        <f t="shared" si="21"/>
        <v>46143</v>
      </c>
      <c r="AP58" s="12">
        <f t="shared" si="21"/>
        <v>46174</v>
      </c>
      <c r="AQ58" s="12">
        <f t="shared" si="21"/>
        <v>46204</v>
      </c>
      <c r="AR58" s="12">
        <f t="shared" si="21"/>
        <v>46235</v>
      </c>
      <c r="AS58" s="12">
        <f t="shared" si="21"/>
        <v>46266</v>
      </c>
      <c r="AT58" s="12">
        <f t="shared" si="21"/>
        <v>46296</v>
      </c>
      <c r="AU58" s="12">
        <f t="shared" si="21"/>
        <v>46327</v>
      </c>
      <c r="AV58" s="81">
        <f t="shared" si="21"/>
        <v>46357</v>
      </c>
      <c r="AW58" s="8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3">
        <f>+BI2</f>
        <v>45658</v>
      </c>
      <c r="BJ58" s="13">
        <f>+BJ2</f>
        <v>45689</v>
      </c>
      <c r="BK58" s="13">
        <f>+BK2</f>
        <v>45717</v>
      </c>
      <c r="BL58" s="14"/>
      <c r="BM58" s="14"/>
      <c r="BN58" s="14"/>
    </row>
    <row r="59" spans="1:68" x14ac:dyDescent="0.35">
      <c r="A59" s="1">
        <v>4250</v>
      </c>
      <c r="B59" s="2" t="str">
        <f t="shared" si="3"/>
        <v>COC</v>
      </c>
      <c r="C59"/>
      <c r="E59" s="83"/>
      <c r="F59" s="83"/>
      <c r="G59" s="83"/>
      <c r="H59" s="83"/>
      <c r="I59" s="83"/>
      <c r="J59" s="83"/>
      <c r="K59" s="83"/>
      <c r="L59" s="79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79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79"/>
      <c r="AK59" s="84"/>
      <c r="AL59" s="84"/>
      <c r="AM59" s="84"/>
      <c r="AN59" s="84"/>
      <c r="AO59" s="84"/>
      <c r="AP59" s="84"/>
      <c r="AQ59" s="84"/>
      <c r="AR59" s="84"/>
      <c r="AS59" s="84"/>
      <c r="AT59" s="84"/>
      <c r="AU59" s="84"/>
      <c r="AV59" s="79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</row>
    <row r="60" spans="1:68" x14ac:dyDescent="0.35">
      <c r="A60" s="1">
        <v>4255</v>
      </c>
      <c r="B60" s="2" t="str">
        <f t="shared" si="3"/>
        <v>COC</v>
      </c>
      <c r="C60"/>
      <c r="D60" s="18" t="s">
        <v>48</v>
      </c>
      <c r="E60" s="24"/>
      <c r="F60" s="24"/>
      <c r="G60" s="24"/>
      <c r="H60" s="24"/>
      <c r="I60" s="24"/>
      <c r="J60" s="24"/>
      <c r="K60" s="24"/>
      <c r="L60" s="73">
        <f>-L62-L69</f>
        <v>940293.11137000052</v>
      </c>
      <c r="M60" s="74">
        <f t="shared" ref="M60:W60" si="22">-M62-M69</f>
        <v>1058199.2758900004</v>
      </c>
      <c r="N60" s="75">
        <f t="shared" si="22"/>
        <v>1086630.4199000006</v>
      </c>
      <c r="O60" s="75">
        <f t="shared" si="22"/>
        <v>1172280.0143400007</v>
      </c>
      <c r="P60" s="75">
        <f t="shared" si="22"/>
        <v>1122540.3329600007</v>
      </c>
      <c r="Q60" s="75">
        <f t="shared" si="22"/>
        <v>1209087.7181500008</v>
      </c>
      <c r="R60" s="75">
        <f t="shared" si="22"/>
        <v>1218518.9337400007</v>
      </c>
      <c r="S60" s="75">
        <f t="shared" si="22"/>
        <v>1348183.2151500008</v>
      </c>
      <c r="T60" s="75">
        <f t="shared" si="22"/>
        <v>1496017.8889800007</v>
      </c>
      <c r="U60" s="75">
        <f t="shared" si="22"/>
        <v>1647794.7069300008</v>
      </c>
      <c r="V60" s="75">
        <f t="shared" si="22"/>
        <v>1684089.2314600009</v>
      </c>
      <c r="W60" s="75">
        <f t="shared" si="22"/>
        <v>1819768.3423000006</v>
      </c>
      <c r="X60" s="75">
        <f>-X62-X69</f>
        <v>1445807.9793800006</v>
      </c>
      <c r="Y60" s="75">
        <f>-Y62-Y69</f>
        <v>1645096.4021000008</v>
      </c>
      <c r="Z60" s="75">
        <f>-Z62-Z69</f>
        <v>1802795.6209000007</v>
      </c>
      <c r="AA60" s="75">
        <f t="shared" ref="AA60:AJ60" si="23">-AA62-AA69</f>
        <v>1919880.8016000008</v>
      </c>
      <c r="AB60" s="75">
        <f t="shared" si="23"/>
        <v>2000267.1637600008</v>
      </c>
      <c r="AC60" s="75">
        <f t="shared" si="23"/>
        <v>2105694.0049500009</v>
      </c>
      <c r="AD60" s="75">
        <f t="shared" si="23"/>
        <v>2127002.6149400007</v>
      </c>
      <c r="AE60" s="75">
        <f t="shared" si="23"/>
        <v>2124369.5328200003</v>
      </c>
      <c r="AF60" s="75">
        <f t="shared" si="23"/>
        <v>2211077.3168500005</v>
      </c>
      <c r="AG60" s="75">
        <f t="shared" si="23"/>
        <v>2289617.1745800003</v>
      </c>
      <c r="AH60" s="75">
        <f t="shared" si="23"/>
        <v>1697043.4636300006</v>
      </c>
      <c r="AI60" s="75">
        <f t="shared" si="23"/>
        <v>1585570.6444400004</v>
      </c>
      <c r="AJ60" s="73">
        <f t="shared" si="23"/>
        <v>1224791.6826600004</v>
      </c>
      <c r="AK60" s="74">
        <f>-AK62-AK69</f>
        <v>1425850.9402200002</v>
      </c>
      <c r="AL60" s="75">
        <f>-AL62-AL69</f>
        <v>1415219.7938400002</v>
      </c>
      <c r="AM60" s="75">
        <f t="shared" ref="AM60:AV60" si="24">-AM62-AM69</f>
        <v>1578630.2036700002</v>
      </c>
      <c r="AN60" s="75">
        <f t="shared" si="24"/>
        <v>1498630.2036700002</v>
      </c>
      <c r="AO60" s="75">
        <f t="shared" si="24"/>
        <v>1418630.2036700002</v>
      </c>
      <c r="AP60" s="75">
        <f t="shared" si="24"/>
        <v>1291159.6997400001</v>
      </c>
      <c r="AQ60" s="75">
        <f t="shared" si="24"/>
        <v>1291159.6997400001</v>
      </c>
      <c r="AR60" s="75">
        <f t="shared" si="24"/>
        <v>1291159.6997400001</v>
      </c>
      <c r="AS60" s="75">
        <f t="shared" si="24"/>
        <v>1291159.6997400001</v>
      </c>
      <c r="AT60" s="75">
        <f t="shared" si="24"/>
        <v>1291159.6997400001</v>
      </c>
      <c r="AU60" s="75">
        <f t="shared" si="24"/>
        <v>1291159.6997400001</v>
      </c>
      <c r="AV60" s="73">
        <f t="shared" si="24"/>
        <v>182977.69974000013</v>
      </c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5" t="e">
        <f>-#REF!-BI62-BI69</f>
        <v>#REF!</v>
      </c>
      <c r="BJ60" s="25" t="e">
        <f>-#REF!-BJ62-BJ69</f>
        <v>#REF!</v>
      </c>
      <c r="BK60" s="25" t="e">
        <f>-#REF!-BK62-BK69</f>
        <v>#REF!</v>
      </c>
      <c r="BL60" s="25"/>
      <c r="BM60" s="25"/>
      <c r="BN60" s="25"/>
    </row>
    <row r="61" spans="1:68" x14ac:dyDescent="0.35">
      <c r="A61" s="1">
        <v>4295</v>
      </c>
      <c r="B61" s="2" t="str">
        <f t="shared" si="3"/>
        <v>COC</v>
      </c>
      <c r="C61"/>
      <c r="D61" s="3"/>
      <c r="E61" s="26"/>
      <c r="F61" s="50"/>
      <c r="G61" s="50"/>
      <c r="H61" s="50"/>
      <c r="I61" s="50"/>
      <c r="J61" s="50"/>
      <c r="K61" s="50"/>
      <c r="L61" s="32"/>
      <c r="M61" s="56"/>
      <c r="N61" s="57"/>
      <c r="O61" s="57"/>
      <c r="P61" s="57"/>
      <c r="Q61" s="29"/>
      <c r="R61" s="29"/>
      <c r="S61" s="29"/>
      <c r="T61" s="29"/>
      <c r="U61" s="29"/>
      <c r="V61" s="29"/>
      <c r="W61" s="29"/>
      <c r="X61" s="29"/>
      <c r="Y61" s="76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2"/>
      <c r="AK61" s="56"/>
      <c r="AL61" s="57"/>
      <c r="AM61" s="57"/>
      <c r="AN61" s="57"/>
      <c r="AO61" s="29"/>
      <c r="AP61" s="29"/>
      <c r="AQ61" s="29"/>
      <c r="AR61" s="29"/>
      <c r="AS61" s="29"/>
      <c r="AT61" s="29"/>
      <c r="AU61" s="29"/>
      <c r="AV61" s="33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5"/>
      <c r="BJ61" s="35"/>
      <c r="BK61" s="35"/>
      <c r="BL61" s="35"/>
      <c r="BM61" s="35"/>
      <c r="BN61" s="35"/>
    </row>
    <row r="62" spans="1:68" ht="15" thickBot="1" x14ac:dyDescent="0.4">
      <c r="A62" s="1">
        <v>5105</v>
      </c>
      <c r="B62" s="2" t="str">
        <f t="shared" si="3"/>
        <v>COC</v>
      </c>
      <c r="C62"/>
      <c r="D62" s="3" t="s">
        <v>49</v>
      </c>
      <c r="E62" s="37"/>
      <c r="F62" s="38"/>
      <c r="G62" s="38"/>
      <c r="H62" s="38"/>
      <c r="I62" s="38"/>
      <c r="J62" s="38"/>
      <c r="K62" s="38"/>
      <c r="L62" s="39">
        <f>SUM(L63:L67)</f>
        <v>-467626.03130999999</v>
      </c>
      <c r="M62" s="40">
        <f>SUM(M63:M67)</f>
        <v>-940293.11137000052</v>
      </c>
      <c r="N62" s="41">
        <f>SUM(N63:N67)</f>
        <v>-940293.11137000052</v>
      </c>
      <c r="O62" s="41">
        <f t="shared" ref="O62:W62" si="25">SUM(O63:O67)</f>
        <v>-940293.11137000052</v>
      </c>
      <c r="P62" s="41">
        <f t="shared" si="25"/>
        <v>-890293.11137000052</v>
      </c>
      <c r="Q62" s="41">
        <f t="shared" si="25"/>
        <v>-890293.11137000052</v>
      </c>
      <c r="R62" s="41">
        <f t="shared" si="25"/>
        <v>-890293.11137000052</v>
      </c>
      <c r="S62" s="41">
        <f t="shared" si="25"/>
        <v>-890293.11137000052</v>
      </c>
      <c r="T62" s="41">
        <f t="shared" si="25"/>
        <v>-890293.11137000052</v>
      </c>
      <c r="U62" s="41">
        <f t="shared" si="25"/>
        <v>-890293.11137000052</v>
      </c>
      <c r="V62" s="41">
        <f t="shared" si="25"/>
        <v>-810293.11137000052</v>
      </c>
      <c r="W62" s="41">
        <f t="shared" si="25"/>
        <v>-810293.11137000052</v>
      </c>
      <c r="X62" s="41">
        <f>SUM(X63:X67)</f>
        <v>-810293.11137000052</v>
      </c>
      <c r="Y62" s="42">
        <f>SUM(Y63:Y67)</f>
        <v>-1445807.9793800006</v>
      </c>
      <c r="Z62" s="43">
        <f>SUM(Z63:Z67)</f>
        <v>-1445807.9793800006</v>
      </c>
      <c r="AA62" s="43">
        <f t="shared" ref="AA62:AJ62" si="26">SUM(AA63:AA67)</f>
        <v>-1445807.9793800006</v>
      </c>
      <c r="AB62" s="43">
        <f t="shared" si="26"/>
        <v>-1445807.9793800006</v>
      </c>
      <c r="AC62" s="43">
        <f t="shared" si="26"/>
        <v>-1361207.9793800006</v>
      </c>
      <c r="AD62" s="43">
        <f t="shared" si="26"/>
        <v>-1361207.9793800006</v>
      </c>
      <c r="AE62" s="43">
        <f t="shared" si="26"/>
        <v>-1221207.9793800006</v>
      </c>
      <c r="AF62" s="43">
        <f t="shared" si="26"/>
        <v>-1221207.9793800006</v>
      </c>
      <c r="AG62" s="43">
        <f t="shared" si="26"/>
        <v>-1221207.9793800006</v>
      </c>
      <c r="AH62" s="43">
        <f t="shared" si="26"/>
        <v>-596626.26538000058</v>
      </c>
      <c r="AI62" s="43">
        <f t="shared" si="26"/>
        <v>-420155.52738000057</v>
      </c>
      <c r="AJ62" s="39">
        <f t="shared" si="26"/>
        <v>-420155.47545000049</v>
      </c>
      <c r="AK62" s="40">
        <f>SUM(AK63:AK67)</f>
        <v>-1224791.6826600002</v>
      </c>
      <c r="AL62" s="41">
        <f>SUM(AL63:AL67)</f>
        <v>-1224791.6826600002</v>
      </c>
      <c r="AM62" s="41">
        <f>SUM(AM63:AM67)</f>
        <v>-1144791.6826600002</v>
      </c>
      <c r="AN62" s="41">
        <f t="shared" ref="AN62:AV62" si="27">SUM(AN63:AN67)</f>
        <v>-1064791.6826600002</v>
      </c>
      <c r="AO62" s="41">
        <f t="shared" si="27"/>
        <v>-984791.68266000017</v>
      </c>
      <c r="AP62" s="41">
        <f t="shared" si="27"/>
        <v>-857321.17873000004</v>
      </c>
      <c r="AQ62" s="41">
        <f t="shared" si="27"/>
        <v>-857321.17873000004</v>
      </c>
      <c r="AR62" s="41">
        <f t="shared" si="27"/>
        <v>-857321.17873000004</v>
      </c>
      <c r="AS62" s="41">
        <f t="shared" si="27"/>
        <v>-857321.17873000004</v>
      </c>
      <c r="AT62" s="41">
        <f t="shared" si="27"/>
        <v>-857321.17873000004</v>
      </c>
      <c r="AU62" s="41">
        <f t="shared" si="27"/>
        <v>-857321.17873000004</v>
      </c>
      <c r="AV62" s="44">
        <f t="shared" si="27"/>
        <v>250860.82126999996</v>
      </c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6">
        <f t="shared" ref="BI62:BK62" si="28">SUM(BI63:BI67)</f>
        <v>0</v>
      </c>
      <c r="BJ62" s="46">
        <f t="shared" si="28"/>
        <v>0</v>
      </c>
      <c r="BK62" s="46">
        <f t="shared" si="28"/>
        <v>0</v>
      </c>
      <c r="BL62" s="47"/>
      <c r="BM62" s="47"/>
      <c r="BN62" s="47"/>
    </row>
    <row r="63" spans="1:68" ht="15" thickTop="1" x14ac:dyDescent="0.35">
      <c r="A63" s="1">
        <v>5110</v>
      </c>
      <c r="B63" s="2" t="str">
        <f t="shared" si="3"/>
        <v>COC3115</v>
      </c>
      <c r="C63">
        <v>3115</v>
      </c>
      <c r="D63" s="16" t="s">
        <v>50</v>
      </c>
      <c r="E63" s="49"/>
      <c r="F63" s="50"/>
      <c r="G63" s="50"/>
      <c r="H63" s="50"/>
      <c r="I63" s="50"/>
      <c r="J63" s="50"/>
      <c r="K63" s="50"/>
      <c r="L63" s="32">
        <f>+_xlfn.XLOOKUP(C63,'[1]4'!$C:$C,'[1]4'!$I:$I,0)</f>
        <v>-10000</v>
      </c>
      <c r="M63" s="56">
        <f>+_xlfn.XLOOKUP(TEXT($C63,"@"),'[2]Tabla BG 2'!$C:$C,'[2]Tabla BG 2'!E:E,0)+L63</f>
        <v>-10000</v>
      </c>
      <c r="N63" s="52">
        <f>+_xlfn.XLOOKUP(TEXT($C63,"@"),'[2]Tabla BG 2'!$C:$C,'[2]Tabla BG 2'!F:F,0)+M63</f>
        <v>-10000</v>
      </c>
      <c r="O63" s="52">
        <f>+_xlfn.XLOOKUP(TEXT($C63,"@"),'[2]Tabla BG 2'!$C:$C,'[2]Tabla BG 2'!G:G,0)+N63</f>
        <v>-10000</v>
      </c>
      <c r="P63" s="52">
        <f>+_xlfn.XLOOKUP(TEXT($C63,"@"),'[2]Tabla BG 2'!$C:$C,'[2]Tabla BG 2'!H:H,0)+O63</f>
        <v>-10000</v>
      </c>
      <c r="Q63" s="52">
        <f>+_xlfn.XLOOKUP(TEXT($C63,"@"),'[2]Tabla BG 2'!$C:$C,'[2]Tabla BG 2'!I:I,0)+P63</f>
        <v>-10000</v>
      </c>
      <c r="R63" s="52">
        <f>+_xlfn.XLOOKUP(TEXT($C63,"@"),'[2]Tabla BG 2'!$C:$C,'[2]Tabla BG 2'!J:J,0)+Q63</f>
        <v>-10000</v>
      </c>
      <c r="S63" s="52">
        <f>+_xlfn.XLOOKUP(TEXT($C63,"@"),'[2]Tabla BG 2'!$C:$C,'[2]Tabla BG 2'!K:K,0)+R63</f>
        <v>-10000</v>
      </c>
      <c r="T63" s="52">
        <f>+_xlfn.XLOOKUP(TEXT($C63,"@"),'[2]Tabla BG 2'!$C:$C,'[2]Tabla BG 2'!L:L,0)+S63</f>
        <v>-10000</v>
      </c>
      <c r="U63" s="52">
        <f>+_xlfn.XLOOKUP(TEXT($C63,"@"),'[2]Tabla BG 2'!$C:$C,'[2]Tabla BG 2'!M:M,0)+T63</f>
        <v>-10000</v>
      </c>
      <c r="V63" s="52">
        <f>+_xlfn.XLOOKUP(TEXT($C63,"@"),'[2]Tabla BG 2'!$C:$C,'[2]Tabla BG 2'!N:N,0)+U63</f>
        <v>-10000</v>
      </c>
      <c r="W63" s="52">
        <f>+_xlfn.XLOOKUP(TEXT($C63,"@"),'[2]Tabla BG 2'!$C:$C,'[2]Tabla BG 2'!O:O,0)+V63</f>
        <v>-10000</v>
      </c>
      <c r="X63" s="52">
        <f>+_xlfn.XLOOKUP(TEXT($C63,"@"),'[2]Tabla BG 2'!$C:$C,'[2]Tabla BG 2'!P:P,0)+W63</f>
        <v>-10000</v>
      </c>
      <c r="Y63" s="30">
        <f>+_xlfn.XLOOKUP(TEXT($C63,"@"),'[2]Tabla BG 2'!$C:$C,'[2]Tabla BG 2'!R:R,0)+X63</f>
        <v>-10000</v>
      </c>
      <c r="Z63" s="31">
        <f>+_xlfn.XLOOKUP(TEXT($C63,"@"),'[2]Tabla BG 2'!$C:$C,'[2]Tabla BG 2'!S:S,0)+Y63</f>
        <v>-10000</v>
      </c>
      <c r="AA63" s="31">
        <f>+_xlfn.XLOOKUP(TEXT($C63,"@"),'[2]Tabla BG 2'!$C:$C,'[2]Tabla BG 2'!T:T,0)+Z63</f>
        <v>-10000</v>
      </c>
      <c r="AB63" s="31">
        <f>+_xlfn.XLOOKUP(TEXT($C63,"@"),'[2]Tabla BG 2'!$C:$C,'[2]Tabla BG 2'!U:U,0)+AA63</f>
        <v>-10000</v>
      </c>
      <c r="AC63" s="31">
        <f>+_xlfn.XLOOKUP(TEXT($C63,"@"),'[2]Tabla BG 2'!$C:$C,'[2]Tabla BG 2'!V:V,0)+AB63</f>
        <v>-10000</v>
      </c>
      <c r="AD63" s="31">
        <f>+_xlfn.XLOOKUP(TEXT($C63,"@"),'[2]Tabla BG 2'!$C:$C,'[2]Tabla BG 2'!W:W,0)+AC63</f>
        <v>-10000</v>
      </c>
      <c r="AE63" s="31">
        <f>+_xlfn.XLOOKUP(TEXT($C63,"@"),'[2]Tabla BG 2'!$C:$C,'[2]Tabla BG 2'!X:X,0)+AD63</f>
        <v>-10000</v>
      </c>
      <c r="AF63" s="31">
        <f>+_xlfn.XLOOKUP(TEXT($C63,"@"),'[2]Tabla BG 2'!$C:$C,'[2]Tabla BG 2'!Y:Y,0)+AE63</f>
        <v>-10000</v>
      </c>
      <c r="AG63" s="31">
        <f>+_xlfn.XLOOKUP(TEXT($C63,"@"),'[2]Tabla BG 2'!$C:$C,'[2]Tabla BG 2'!Z:Z,0)+AF63</f>
        <v>-10000</v>
      </c>
      <c r="AH63" s="31">
        <f>+_xlfn.XLOOKUP(TEXT($C63,"@"),'[2]Tabla BG 2'!$C:$C,'[2]Tabla BG 2'!AA:AA,0)+AG63</f>
        <v>-10000</v>
      </c>
      <c r="AI63" s="31">
        <f>+_xlfn.XLOOKUP(TEXT($C63,"@"),'[2]Tabla BG 2'!$C:$C,'[2]Tabla BG 2'!AB:AB,0)+AH63</f>
        <v>-10000</v>
      </c>
      <c r="AJ63" s="32">
        <f>+_xlfn.XLOOKUP(TEXT($C63,"@"),'[2]Tabla BG 2'!$C:$C,'[2]Tabla BG 2'!AC:AC,0)+AI63</f>
        <v>-10000</v>
      </c>
      <c r="AK63" s="56">
        <f>+_xlfn.XLOOKUP(TEXT($C63,"@"),'[2]Tabla BG 2'!$C:$C,'[2]Tabla BG 2'!AE:AE,0)+AJ63</f>
        <v>-10000</v>
      </c>
      <c r="AL63" s="52">
        <f>+_xlfn.XLOOKUP(TEXT($C63,"@"),'[2]Tabla BG 2'!$C:$C,'[2]Tabla BG 2'!AF:AF,0)+AK63</f>
        <v>-10000</v>
      </c>
      <c r="AM63" s="52">
        <f>+_xlfn.XLOOKUP(TEXT($C63,"@"),'[2]Tabla BG 2'!$C:$C,'[2]Tabla BG 2'!AG:AG,0)+AL63</f>
        <v>-10000</v>
      </c>
      <c r="AN63" s="52">
        <f>+_xlfn.XLOOKUP(TEXT($C63,"@"),'[2]Tabla BG 2'!$C:$C,'[2]Tabla BG 2'!AG:AG,0)+AM63</f>
        <v>-10000</v>
      </c>
      <c r="AO63" s="52">
        <f>+_xlfn.XLOOKUP(TEXT($C63,"@"),'[2]Tabla BG 2'!$C:$C,'[2]Tabla BG 2'!AH:AH,0)+AN63</f>
        <v>-10000</v>
      </c>
      <c r="AP63" s="52">
        <f>+_xlfn.XLOOKUP(TEXT($C63,"@"),'[2]Tabla BG 2'!$C:$C,'[2]Tabla BG 2'!AI:AI,0)+AO63</f>
        <v>-10000</v>
      </c>
      <c r="AQ63" s="52">
        <f>+_xlfn.XLOOKUP(TEXT($C63,"@"),'[2]Tabla BG 2'!$C:$C,'[2]Tabla BG 2'!AJ:AJ,0)+AP63</f>
        <v>-10000</v>
      </c>
      <c r="AR63" s="52">
        <f>+_xlfn.XLOOKUP(TEXT($C63,"@"),'[2]Tabla BG 2'!$C:$C,'[2]Tabla BG 2'!AK:AK,0)+AQ63</f>
        <v>-10000</v>
      </c>
      <c r="AS63" s="52">
        <f>+_xlfn.XLOOKUP(TEXT($C63,"@"),'[2]Tabla BG 2'!$C:$C,'[2]Tabla BG 2'!AL:AL,0)+AR63</f>
        <v>-10000</v>
      </c>
      <c r="AT63" s="52">
        <f>+_xlfn.XLOOKUP(TEXT($C63,"@"),'[2]Tabla BG 2'!$C:$C,'[2]Tabla BG 2'!AM:AM,0)+AS63</f>
        <v>-10000</v>
      </c>
      <c r="AU63" s="52">
        <f>+_xlfn.XLOOKUP(TEXT($C63,"@"),'[2]Tabla BG 2'!$C:$C,'[2]Tabla BG 2'!AN:AN,0)+AT63</f>
        <v>-10000</v>
      </c>
      <c r="AV63" s="53">
        <f>+_xlfn.XLOOKUP(TEXT($C63,"@"),'[2]Tabla BG 2'!$C:$C,'[2]Tabla BG 2'!AO:AO,0)+AU63</f>
        <v>-10000</v>
      </c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5"/>
      <c r="BJ63" s="55"/>
      <c r="BK63" s="55"/>
      <c r="BL63" s="55"/>
      <c r="BM63" s="55"/>
      <c r="BN63" s="55"/>
    </row>
    <row r="64" spans="1:68" x14ac:dyDescent="0.35">
      <c r="A64" s="1">
        <v>5111</v>
      </c>
      <c r="B64" s="2" t="str">
        <f t="shared" si="3"/>
        <v>COC3105</v>
      </c>
      <c r="C64">
        <v>3105</v>
      </c>
      <c r="D64" s="16" t="s">
        <v>51</v>
      </c>
      <c r="E64" s="49"/>
      <c r="F64" s="50"/>
      <c r="G64" s="50"/>
      <c r="H64" s="50"/>
      <c r="I64" s="50"/>
      <c r="J64" s="50"/>
      <c r="K64" s="50"/>
      <c r="L64" s="32">
        <f>+_xlfn.XLOOKUP(C64,'[1]4'!$C:$C,'[1]4'!$I:$I,0)</f>
        <v>0</v>
      </c>
      <c r="M64" s="56">
        <f>+_xlfn.XLOOKUP(TEXT($C64,"@"),'[2]Tabla BG 2'!$C:$C,'[2]Tabla BG 2'!E:E,0)+L64</f>
        <v>0</v>
      </c>
      <c r="N64" s="57">
        <f>+_xlfn.XLOOKUP(TEXT($C64,"@"),'[2]Tabla BG 2'!$C:$C,'[2]Tabla BG 2'!F:F,0)+M64</f>
        <v>0</v>
      </c>
      <c r="O64" s="57">
        <f>+_xlfn.XLOOKUP(TEXT($C64,"@"),'[2]Tabla BG 2'!$C:$C,'[2]Tabla BG 2'!G:G,0)+N64</f>
        <v>0</v>
      </c>
      <c r="P64" s="57">
        <f>+_xlfn.XLOOKUP(TEXT($C64,"@"),'[2]Tabla BG 2'!$C:$C,'[2]Tabla BG 2'!H:H,0)+O64</f>
        <v>0</v>
      </c>
      <c r="Q64" s="57">
        <f>+_xlfn.XLOOKUP(TEXT($C64,"@"),'[2]Tabla BG 2'!$C:$C,'[2]Tabla BG 2'!I:I,0)+P64</f>
        <v>0</v>
      </c>
      <c r="R64" s="57">
        <f>+_xlfn.XLOOKUP(TEXT($C64,"@"),'[2]Tabla BG 2'!$C:$C,'[2]Tabla BG 2'!J:J,0)+Q64</f>
        <v>0</v>
      </c>
      <c r="S64" s="57">
        <f>+_xlfn.XLOOKUP(TEXT($C64,"@"),'[2]Tabla BG 2'!$C:$C,'[2]Tabla BG 2'!K:K,0)+R64</f>
        <v>0</v>
      </c>
      <c r="T64" s="57">
        <f>+_xlfn.XLOOKUP(TEXT($C64,"@"),'[2]Tabla BG 2'!$C:$C,'[2]Tabla BG 2'!L:L,0)+S64</f>
        <v>0</v>
      </c>
      <c r="U64" s="57">
        <f>+_xlfn.XLOOKUP(TEXT($C64,"@"),'[2]Tabla BG 2'!$C:$C,'[2]Tabla BG 2'!M:M,0)+T64</f>
        <v>0</v>
      </c>
      <c r="V64" s="57">
        <f>+_xlfn.XLOOKUP(TEXT($C64,"@"),'[2]Tabla BG 2'!$C:$C,'[2]Tabla BG 2'!N:N,0)+U64</f>
        <v>0</v>
      </c>
      <c r="W64" s="57">
        <f>+_xlfn.XLOOKUP(TEXT($C64,"@"),'[2]Tabla BG 2'!$C:$C,'[2]Tabla BG 2'!O:O,0)+V64</f>
        <v>0</v>
      </c>
      <c r="X64" s="57">
        <f>+_xlfn.XLOOKUP(TEXT($C64,"@"),'[2]Tabla BG 2'!$C:$C,'[2]Tabla BG 2'!P:P,0)+W64</f>
        <v>0</v>
      </c>
      <c r="Y64" s="30">
        <f>+_xlfn.XLOOKUP(TEXT($C64,"@"),'[2]Tabla BG 2'!$C:$C,'[2]Tabla BG 2'!R:R,0)+X64</f>
        <v>0</v>
      </c>
      <c r="Z64" s="31">
        <f>+_xlfn.XLOOKUP(TEXT($C64,"@"),'[2]Tabla BG 2'!$C:$C,'[2]Tabla BG 2'!S:S,0)+Y64</f>
        <v>0</v>
      </c>
      <c r="AA64" s="31">
        <f>+_xlfn.XLOOKUP(TEXT($C64,"@"),'[2]Tabla BG 2'!$C:$C,'[2]Tabla BG 2'!T:T,0)+Z64</f>
        <v>0</v>
      </c>
      <c r="AB64" s="31">
        <f>+_xlfn.XLOOKUP(TEXT($C64,"@"),'[2]Tabla BG 2'!$C:$C,'[2]Tabla BG 2'!U:U,0)+AA64</f>
        <v>0</v>
      </c>
      <c r="AC64" s="31">
        <f>+_xlfn.XLOOKUP(TEXT($C64,"@"),'[2]Tabla BG 2'!$C:$C,'[2]Tabla BG 2'!V:V,0)+AB64</f>
        <v>0</v>
      </c>
      <c r="AD64" s="31">
        <f>+_xlfn.XLOOKUP(TEXT($C64,"@"),'[2]Tabla BG 2'!$C:$C,'[2]Tabla BG 2'!W:W,0)+AC64</f>
        <v>0</v>
      </c>
      <c r="AE64" s="31">
        <f>+_xlfn.XLOOKUP(TEXT($C64,"@"),'[2]Tabla BG 2'!$C:$C,'[2]Tabla BG 2'!X:X,0)+AD64</f>
        <v>0</v>
      </c>
      <c r="AF64" s="31">
        <f>+_xlfn.XLOOKUP(TEXT($C64,"@"),'[2]Tabla BG 2'!$C:$C,'[2]Tabla BG 2'!Y:Y,0)+AE64</f>
        <v>0</v>
      </c>
      <c r="AG64" s="31">
        <f>+_xlfn.XLOOKUP(TEXT($C64,"@"),'[2]Tabla BG 2'!$C:$C,'[2]Tabla BG 2'!Z:Z,0)+AF64</f>
        <v>0</v>
      </c>
      <c r="AH64" s="31">
        <f>+_xlfn.XLOOKUP(TEXT($C64,"@"),'[2]Tabla BG 2'!$C:$C,'[2]Tabla BG 2'!AA:AA,0)+AG64</f>
        <v>0</v>
      </c>
      <c r="AI64" s="31">
        <f>+_xlfn.XLOOKUP(TEXT($C64,"@"),'[2]Tabla BG 2'!$C:$C,'[2]Tabla BG 2'!AB:AB,0)+AH64</f>
        <v>0</v>
      </c>
      <c r="AJ64" s="32">
        <f>+_xlfn.XLOOKUP(TEXT($C64,"@"),'[2]Tabla BG 2'!$C:$C,'[2]Tabla BG 2'!AC:AC,0)+AI64</f>
        <v>0</v>
      </c>
      <c r="AK64" s="56">
        <f>+_xlfn.XLOOKUP(TEXT($C64,"@"),'[2]Tabla BG 2'!$C:$C,'[2]Tabla BG 2'!AE:AE,0)+AJ64</f>
        <v>0</v>
      </c>
      <c r="AL64" s="57">
        <f>+_xlfn.XLOOKUP(TEXT($C64,"@"),'[2]Tabla BG 2'!$C:$C,'[2]Tabla BG 2'!AF:AF,0)+AK64</f>
        <v>0</v>
      </c>
      <c r="AM64" s="57">
        <f>+_xlfn.XLOOKUP(TEXT($C64,"@"),'[2]Tabla BG 2'!$C:$C,'[2]Tabla BG 2'!AG:AG,0)+AL64</f>
        <v>0</v>
      </c>
      <c r="AN64" s="57">
        <f>+_xlfn.XLOOKUP(TEXT($C64,"@"),'[2]Tabla BG 2'!$C:$C,'[2]Tabla BG 2'!AG:AG,0)+AM64</f>
        <v>0</v>
      </c>
      <c r="AO64" s="57">
        <f>+_xlfn.XLOOKUP(TEXT($C64,"@"),'[2]Tabla BG 2'!$C:$C,'[2]Tabla BG 2'!AH:AH,0)+AN64</f>
        <v>0</v>
      </c>
      <c r="AP64" s="57">
        <f>+_xlfn.XLOOKUP(TEXT($C64,"@"),'[2]Tabla BG 2'!$C:$C,'[2]Tabla BG 2'!AI:AI,0)+AO64</f>
        <v>0</v>
      </c>
      <c r="AQ64" s="57">
        <f>+_xlfn.XLOOKUP(TEXT($C64,"@"),'[2]Tabla BG 2'!$C:$C,'[2]Tabla BG 2'!AJ:AJ,0)+AP64</f>
        <v>0</v>
      </c>
      <c r="AR64" s="57">
        <f>+_xlfn.XLOOKUP(TEXT($C64,"@"),'[2]Tabla BG 2'!$C:$C,'[2]Tabla BG 2'!AK:AK,0)+AQ64</f>
        <v>0</v>
      </c>
      <c r="AS64" s="57">
        <f>+_xlfn.XLOOKUP(TEXT($C64,"@"),'[2]Tabla BG 2'!$C:$C,'[2]Tabla BG 2'!AL:AL,0)+AR64</f>
        <v>0</v>
      </c>
      <c r="AT64" s="57">
        <f>+_xlfn.XLOOKUP(TEXT($C64,"@"),'[2]Tabla BG 2'!$C:$C,'[2]Tabla BG 2'!AM:AM,0)+AS64</f>
        <v>0</v>
      </c>
      <c r="AU64" s="57">
        <f>+_xlfn.XLOOKUP(TEXT($C64,"@"),'[2]Tabla BG 2'!$C:$C,'[2]Tabla BG 2'!AN:AN,0)+AT64</f>
        <v>0</v>
      </c>
      <c r="AV64" s="58">
        <f>+_xlfn.XLOOKUP(TEXT($C64,"@"),'[2]Tabla BG 2'!$C:$C,'[2]Tabla BG 2'!AO:AO,0)+AU64</f>
        <v>0</v>
      </c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5"/>
      <c r="BJ64" s="55"/>
      <c r="BK64" s="55"/>
      <c r="BL64" s="55"/>
      <c r="BM64" s="55"/>
      <c r="BN64" s="55"/>
    </row>
    <row r="65" spans="1:66" x14ac:dyDescent="0.35">
      <c r="A65" s="1">
        <v>5112</v>
      </c>
      <c r="B65" s="2" t="str">
        <f t="shared" si="3"/>
        <v>COC3305</v>
      </c>
      <c r="C65">
        <v>3305</v>
      </c>
      <c r="D65" s="16" t="s">
        <v>52</v>
      </c>
      <c r="E65" s="49"/>
      <c r="F65" s="50"/>
      <c r="G65" s="50"/>
      <c r="H65" s="50"/>
      <c r="I65" s="50"/>
      <c r="J65" s="50"/>
      <c r="K65" s="50"/>
      <c r="L65" s="32">
        <f>+_xlfn.XLOOKUP(C65,'[1]4'!$C:$C,'[1]4'!$I:$I,0)</f>
        <v>-5229.9755100000002</v>
      </c>
      <c r="M65" s="56">
        <f>+_xlfn.XLOOKUP(TEXT($C65,"@"),'[2]Tabla BG 2'!$C:$C,'[2]Tabla BG 2'!E:E,0)+L65</f>
        <v>-5229.9755100000002</v>
      </c>
      <c r="N65" s="57">
        <f>+_xlfn.XLOOKUP(TEXT($C65,"@"),'[2]Tabla BG 2'!$C:$C,'[2]Tabla BG 2'!F:F,0)+M65</f>
        <v>-5229.9755100000002</v>
      </c>
      <c r="O65" s="57">
        <f>+_xlfn.XLOOKUP(TEXT($C65,"@"),'[2]Tabla BG 2'!$C:$C,'[2]Tabla BG 2'!G:G,0)+N65</f>
        <v>-5229.9755100000002</v>
      </c>
      <c r="P65" s="57">
        <f>+_xlfn.XLOOKUP(TEXT($C65,"@"),'[2]Tabla BG 2'!$C:$C,'[2]Tabla BG 2'!H:H,0)+O65</f>
        <v>-5229.9755100000002</v>
      </c>
      <c r="Q65" s="57">
        <f>+_xlfn.XLOOKUP(TEXT($C65,"@"),'[2]Tabla BG 2'!$C:$C,'[2]Tabla BG 2'!I:I,0)+P65</f>
        <v>-5229.9755100000002</v>
      </c>
      <c r="R65" s="57">
        <f>+_xlfn.XLOOKUP(TEXT($C65,"@"),'[2]Tabla BG 2'!$C:$C,'[2]Tabla BG 2'!J:J,0)+Q65</f>
        <v>-5229.9755100000002</v>
      </c>
      <c r="S65" s="57">
        <f>+_xlfn.XLOOKUP(TEXT($C65,"@"),'[2]Tabla BG 2'!$C:$C,'[2]Tabla BG 2'!K:K,0)+R65</f>
        <v>-5229.9755100000002</v>
      </c>
      <c r="T65" s="57">
        <f>+_xlfn.XLOOKUP(TEXT($C65,"@"),'[2]Tabla BG 2'!$C:$C,'[2]Tabla BG 2'!L:L,0)+S65</f>
        <v>-5229.9755100000002</v>
      </c>
      <c r="U65" s="57">
        <f>+_xlfn.XLOOKUP(TEXT($C65,"@"),'[2]Tabla BG 2'!$C:$C,'[2]Tabla BG 2'!M:M,0)+T65</f>
        <v>-5229.9755100000002</v>
      </c>
      <c r="V65" s="57">
        <f>+_xlfn.XLOOKUP(TEXT($C65,"@"),'[2]Tabla BG 2'!$C:$C,'[2]Tabla BG 2'!N:N,0)+U65</f>
        <v>-5229.9755100000002</v>
      </c>
      <c r="W65" s="57">
        <f>+_xlfn.XLOOKUP(TEXT($C65,"@"),'[2]Tabla BG 2'!$C:$C,'[2]Tabla BG 2'!O:O,0)+V65</f>
        <v>-5229.9755100000002</v>
      </c>
      <c r="X65" s="57">
        <f>+_xlfn.XLOOKUP(TEXT($C65,"@"),'[2]Tabla BG 2'!$C:$C,'[2]Tabla BG 2'!P:P,0)+W65</f>
        <v>-5229.9755100000002</v>
      </c>
      <c r="Y65" s="30">
        <f>+_xlfn.XLOOKUP(TEXT($C65,"@"),'[2]Tabla BG 2'!$C:$C,'[2]Tabla BG 2'!R:R,0)+X65</f>
        <v>-5229.9755100000002</v>
      </c>
      <c r="Z65" s="31">
        <f>+_xlfn.XLOOKUP(TEXT($C65,"@"),'[2]Tabla BG 2'!$C:$C,'[2]Tabla BG 2'!S:S,0)+Y65</f>
        <v>-5229.9755100000002</v>
      </c>
      <c r="AA65" s="31">
        <f>+_xlfn.XLOOKUP(TEXT($C65,"@"),'[2]Tabla BG 2'!$C:$C,'[2]Tabla BG 2'!T:T,0)+Z65</f>
        <v>-5229.9755100000002</v>
      </c>
      <c r="AB65" s="31">
        <f>+_xlfn.XLOOKUP(TEXT($C65,"@"),'[2]Tabla BG 2'!$C:$C,'[2]Tabla BG 2'!U:U,0)+AA65</f>
        <v>-5229.9755100000002</v>
      </c>
      <c r="AC65" s="31">
        <f>+_xlfn.XLOOKUP(TEXT($C65,"@"),'[2]Tabla BG 2'!$C:$C,'[2]Tabla BG 2'!V:V,0)+AB65</f>
        <v>-5229.9755100000002</v>
      </c>
      <c r="AD65" s="31">
        <f>+_xlfn.XLOOKUP(TEXT($C65,"@"),'[2]Tabla BG 2'!$C:$C,'[2]Tabla BG 2'!W:W,0)+AC65</f>
        <v>-5229.9755100000002</v>
      </c>
      <c r="AE65" s="31">
        <f>+_xlfn.XLOOKUP(TEXT($C65,"@"),'[2]Tabla BG 2'!$C:$C,'[2]Tabla BG 2'!X:X,0)+AD65</f>
        <v>-5229.9755100000002</v>
      </c>
      <c r="AF65" s="31">
        <f>+_xlfn.XLOOKUP(TEXT($C65,"@"),'[2]Tabla BG 2'!$C:$C,'[2]Tabla BG 2'!Y:Y,0)+AE65</f>
        <v>-5229.9755100000002</v>
      </c>
      <c r="AG65" s="31">
        <f>+_xlfn.XLOOKUP(TEXT($C65,"@"),'[2]Tabla BG 2'!$C:$C,'[2]Tabla BG 2'!Z:Z,0)+AF65</f>
        <v>-5229.9755100000002</v>
      </c>
      <c r="AH65" s="31">
        <f>+_xlfn.XLOOKUP(TEXT($C65,"@"),'[2]Tabla BG 2'!$C:$C,'[2]Tabla BG 2'!AA:AA,0)+AG65</f>
        <v>-5229.9755100000002</v>
      </c>
      <c r="AI65" s="31">
        <f>+_xlfn.XLOOKUP(TEXT($C65,"@"),'[2]Tabla BG 2'!$C:$C,'[2]Tabla BG 2'!AB:AB,0)+AH65</f>
        <v>-5229.9755100000002</v>
      </c>
      <c r="AJ65" s="32">
        <f>+_xlfn.XLOOKUP(TEXT($C65,"@"),'[2]Tabla BG 2'!$C:$C,'[2]Tabla BG 2'!AC:AC,0)+AI65</f>
        <v>-5229.9755100000002</v>
      </c>
      <c r="AK65" s="56">
        <f>+_xlfn.XLOOKUP(TEXT($C65,"@"),'[2]Tabla BG 2'!$C:$C,'[2]Tabla BG 2'!AE:AE,0)+AJ65</f>
        <v>-5229.9755100000002</v>
      </c>
      <c r="AL65" s="57">
        <f>+_xlfn.XLOOKUP(TEXT($C65,"@"),'[2]Tabla BG 2'!$C:$C,'[2]Tabla BG 2'!AF:AF,0)+AK65</f>
        <v>-5229.9755100000002</v>
      </c>
      <c r="AM65" s="57">
        <f>+_xlfn.XLOOKUP(TEXT($C65,"@"),'[2]Tabla BG 2'!$C:$C,'[2]Tabla BG 2'!AG:AG,0)+AL65</f>
        <v>-5229.9755100000002</v>
      </c>
      <c r="AN65" s="57">
        <f>+_xlfn.XLOOKUP(TEXT($C65,"@"),'[2]Tabla BG 2'!$C:$C,'[2]Tabla BG 2'!AG:AG,0)+AM65</f>
        <v>-5229.9755100000002</v>
      </c>
      <c r="AO65" s="57">
        <f>+_xlfn.XLOOKUP(TEXT($C65,"@"),'[2]Tabla BG 2'!$C:$C,'[2]Tabla BG 2'!AH:AH,0)+AN65</f>
        <v>-5229.9755100000002</v>
      </c>
      <c r="AP65" s="57">
        <f>+_xlfn.XLOOKUP(TEXT($C65,"@"),'[2]Tabla BG 2'!$C:$C,'[2]Tabla BG 2'!AI:AI,0)+AO65</f>
        <v>-5229.9755100000002</v>
      </c>
      <c r="AQ65" s="57">
        <f>+_xlfn.XLOOKUP(TEXT($C65,"@"),'[2]Tabla BG 2'!$C:$C,'[2]Tabla BG 2'!AJ:AJ,0)+AP65</f>
        <v>-5229.9755100000002</v>
      </c>
      <c r="AR65" s="57">
        <f>+_xlfn.XLOOKUP(TEXT($C65,"@"),'[2]Tabla BG 2'!$C:$C,'[2]Tabla BG 2'!AK:AK,0)+AQ65</f>
        <v>-5229.9755100000002</v>
      </c>
      <c r="AS65" s="57">
        <f>+_xlfn.XLOOKUP(TEXT($C65,"@"),'[2]Tabla BG 2'!$C:$C,'[2]Tabla BG 2'!AL:AL,0)+AR65</f>
        <v>-5229.9755100000002</v>
      </c>
      <c r="AT65" s="57">
        <f>+_xlfn.XLOOKUP(TEXT($C65,"@"),'[2]Tabla BG 2'!$C:$C,'[2]Tabla BG 2'!AM:AM,0)+AS65</f>
        <v>-5229.9755100000002</v>
      </c>
      <c r="AU65" s="57">
        <f>+_xlfn.XLOOKUP(TEXT($C65,"@"),'[2]Tabla BG 2'!$C:$C,'[2]Tabla BG 2'!AN:AN,0)+AT65</f>
        <v>-5229.9755100000002</v>
      </c>
      <c r="AV65" s="58">
        <f>+_xlfn.XLOOKUP(TEXT($C65,"@"),'[2]Tabla BG 2'!$C:$C,'[2]Tabla BG 2'!AO:AO,0)+AU65</f>
        <v>-5229.9755100000002</v>
      </c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5"/>
      <c r="BJ65" s="55"/>
      <c r="BK65" s="55"/>
      <c r="BL65" s="55"/>
      <c r="BM65" s="55"/>
      <c r="BN65" s="55"/>
    </row>
    <row r="66" spans="1:66" x14ac:dyDescent="0.35">
      <c r="A66" s="1">
        <v>5125</v>
      </c>
      <c r="B66" s="2" t="str">
        <f t="shared" si="3"/>
        <v>COC3705</v>
      </c>
      <c r="C66">
        <v>3705</v>
      </c>
      <c r="D66" s="16" t="s">
        <v>53</v>
      </c>
      <c r="E66" s="49"/>
      <c r="F66" s="50"/>
      <c r="G66" s="50"/>
      <c r="H66" s="50"/>
      <c r="I66" s="50"/>
      <c r="J66" s="50"/>
      <c r="K66" s="50"/>
      <c r="L66" s="32">
        <f>+_xlfn.XLOOKUP(C66,'[1]4'!$C:$C,'[1]4'!$I:$I,0)</f>
        <v>-409935.51139999996</v>
      </c>
      <c r="M66" s="56">
        <f>+_xlfn.XLOOKUP(TEXT($C66,"@"),'[2]Tabla BG 2'!$C:$C,'[2]Tabla BG 2'!E:E,0)+L66+L69</f>
        <v>-882602.59146000049</v>
      </c>
      <c r="N66" s="57">
        <f>+_xlfn.XLOOKUP(TEXT($C66,"@"),'[2]Tabla BG 2'!$C:$C,'[2]Tabla BG 2'!F:F,0)+M66</f>
        <v>-882602.59146000049</v>
      </c>
      <c r="O66" s="57">
        <f>+_xlfn.XLOOKUP(TEXT($C66,"@"),'[2]Tabla BG 2'!$C:$C,'[2]Tabla BG 2'!G:G,0)+N66</f>
        <v>-882602.59146000049</v>
      </c>
      <c r="P66" s="57">
        <f>+_xlfn.XLOOKUP(TEXT($C66,"@"),'[2]Tabla BG 2'!$C:$C,'[2]Tabla BG 2'!H:H,0)+O66</f>
        <v>-832602.59146000049</v>
      </c>
      <c r="Q66" s="57">
        <f>+_xlfn.XLOOKUP(TEXT($C66,"@"),'[2]Tabla BG 2'!$C:$C,'[2]Tabla BG 2'!I:I,0)+P66</f>
        <v>-832602.59146000049</v>
      </c>
      <c r="R66" s="57">
        <f>+_xlfn.XLOOKUP(TEXT($C66,"@"),'[2]Tabla BG 2'!$C:$C,'[2]Tabla BG 2'!J:J,0)+Q66</f>
        <v>-832602.59146000049</v>
      </c>
      <c r="S66" s="57">
        <f>+_xlfn.XLOOKUP(TEXT($C66,"@"),'[2]Tabla BG 2'!$C:$C,'[2]Tabla BG 2'!K:K,0)+R66</f>
        <v>-832602.59146000049</v>
      </c>
      <c r="T66" s="57">
        <f>+_xlfn.XLOOKUP(TEXT($C66,"@"),'[2]Tabla BG 2'!$C:$C,'[2]Tabla BG 2'!L:L,0)+S66</f>
        <v>-832602.59146000049</v>
      </c>
      <c r="U66" s="57">
        <f>+_xlfn.XLOOKUP(TEXT($C66,"@"),'[2]Tabla BG 2'!$C:$C,'[2]Tabla BG 2'!M:M,0)+T66</f>
        <v>-832602.59146000049</v>
      </c>
      <c r="V66" s="57">
        <f>+_xlfn.XLOOKUP(TEXT($C66,"@"),'[2]Tabla BG 2'!$C:$C,'[2]Tabla BG 2'!N:N,0)+U66</f>
        <v>-752602.59146000049</v>
      </c>
      <c r="W66" s="57">
        <f>+_xlfn.XLOOKUP(TEXT($C66,"@"),'[2]Tabla BG 2'!$C:$C,'[2]Tabla BG 2'!O:O,0)+V66</f>
        <v>-752602.59146000049</v>
      </c>
      <c r="X66" s="57">
        <f>+_xlfn.XLOOKUP(TEXT($C66,"@"),'[2]Tabla BG 2'!$C:$C,'[2]Tabla BG 2'!P:P,0)+W66</f>
        <v>-752602.59146000049</v>
      </c>
      <c r="Y66" s="30">
        <f>+_xlfn.XLOOKUP(TEXT($C66,"@"),'[2]Tabla BG 2'!$C:$C,'[2]Tabla BG 2'!R:R,0)+X66+X69</f>
        <v>-1388117.4594700006</v>
      </c>
      <c r="Z66" s="31">
        <f>+_xlfn.XLOOKUP(TEXT($C66,"@"),'[2]Tabla BG 2'!$C:$C,'[2]Tabla BG 2'!S:S,0)+Y66</f>
        <v>-1388117.4594700006</v>
      </c>
      <c r="AA66" s="31">
        <f>+_xlfn.XLOOKUP(TEXT($C66,"@"),'[2]Tabla BG 2'!$C:$C,'[2]Tabla BG 2'!T:T,0)+Z66</f>
        <v>-1388117.4594700006</v>
      </c>
      <c r="AB66" s="31">
        <f>+_xlfn.XLOOKUP(TEXT($C66,"@"),'[2]Tabla BG 2'!$C:$C,'[2]Tabla BG 2'!U:U,0)+AA66</f>
        <v>-1388117.4594700006</v>
      </c>
      <c r="AC66" s="31">
        <f>+_xlfn.XLOOKUP(TEXT($C66,"@"),'[2]Tabla BG 2'!$C:$C,'[2]Tabla BG 2'!V:V,0)+AB66</f>
        <v>-1303517.4594700006</v>
      </c>
      <c r="AD66" s="31">
        <f>+_xlfn.XLOOKUP(TEXT($C66,"@"),'[2]Tabla BG 2'!$C:$C,'[2]Tabla BG 2'!W:W,0)+AC66</f>
        <v>-1303517.4594700006</v>
      </c>
      <c r="AE66" s="31">
        <f>+_xlfn.XLOOKUP(TEXT($C66,"@"),'[2]Tabla BG 2'!$C:$C,'[2]Tabla BG 2'!X:X,0)+AD66</f>
        <v>-1163517.4594700006</v>
      </c>
      <c r="AF66" s="31">
        <f>+_xlfn.XLOOKUP(TEXT($C66,"@"),'[2]Tabla BG 2'!$C:$C,'[2]Tabla BG 2'!Y:Y,0)+AE66</f>
        <v>-1163517.4594700006</v>
      </c>
      <c r="AG66" s="31">
        <f>+_xlfn.XLOOKUP(TEXT($C66,"@"),'[2]Tabla BG 2'!$C:$C,'[2]Tabla BG 2'!Z:Z,0)+AF66</f>
        <v>-1163517.4594700006</v>
      </c>
      <c r="AH66" s="31">
        <f>+_xlfn.XLOOKUP(TEXT($C66,"@"),'[2]Tabla BG 2'!$C:$C,'[2]Tabla BG 2'!AA:AA,0)+AG66</f>
        <v>-538935.74547000055</v>
      </c>
      <c r="AI66" s="31">
        <f>+_xlfn.XLOOKUP(TEXT($C66,"@"),'[2]Tabla BG 2'!$C:$C,'[2]Tabla BG 2'!AB:AB,0)+AH66</f>
        <v>-362465.00747000054</v>
      </c>
      <c r="AJ66" s="32">
        <f>+_xlfn.XLOOKUP(TEXT($C66,"@"),'[2]Tabla BG 2'!$C:$C,'[2]Tabla BG 2'!AC:AC,0)+AI66+1108182</f>
        <v>-362464.95554000046</v>
      </c>
      <c r="AK66" s="56">
        <f>+_xlfn.XLOOKUP(TEXT($C66,"@"),'[2]Tabla BG 2'!$C:$C,'[2]Tabla BG 2'!AE:AE,0)+AJ66+AJ69</f>
        <v>-1167101.1627500001</v>
      </c>
      <c r="AL66" s="57">
        <f>+_xlfn.XLOOKUP(TEXT($C66,"@"),'[2]Tabla BG 2'!$C:$C,'[2]Tabla BG 2'!AF:AF,0)+AK66</f>
        <v>-1167101.1627500001</v>
      </c>
      <c r="AM66" s="57">
        <f>+_xlfn.XLOOKUP(TEXT($C66,"@"),'[2]Tabla BG 2'!$C:$C,'[2]Tabla BG 2'!AG:AG,0)+AL66</f>
        <v>-1087101.1627500001</v>
      </c>
      <c r="AN66" s="57">
        <f>+_xlfn.XLOOKUP(TEXT($C66,"@"),'[2]Tabla BG 2'!$C:$C,'[2]Tabla BG 2'!AG:AG,0)+AM66</f>
        <v>-1007101.1627500001</v>
      </c>
      <c r="AO66" s="57">
        <f>+_xlfn.XLOOKUP(TEXT($C66,"@"),'[2]Tabla BG 2'!$C:$C,'[2]Tabla BG 2'!AH:AH,0)+AN66</f>
        <v>-927101.16275000013</v>
      </c>
      <c r="AP66" s="57">
        <f>+_xlfn.XLOOKUP(TEXT($C66,"@"),'[2]Tabla BG 2'!$C:$C,'[2]Tabla BG 2'!AI:AI,0)+AO66</f>
        <v>-799630.65882000001</v>
      </c>
      <c r="AQ66" s="57">
        <f>+_xlfn.XLOOKUP(TEXT($C66,"@"),'[2]Tabla BG 2'!$C:$C,'[2]Tabla BG 2'!AJ:AJ,0)+AP66</f>
        <v>-799630.65882000001</v>
      </c>
      <c r="AR66" s="57">
        <f>+_xlfn.XLOOKUP(TEXT($C66,"@"),'[2]Tabla BG 2'!$C:$C,'[2]Tabla BG 2'!AK:AK,0)+AQ66</f>
        <v>-799630.65882000001</v>
      </c>
      <c r="AS66" s="57">
        <f>+_xlfn.XLOOKUP(TEXT($C66,"@"),'[2]Tabla BG 2'!$C:$C,'[2]Tabla BG 2'!AL:AL,0)+AR66</f>
        <v>-799630.65882000001</v>
      </c>
      <c r="AT66" s="57">
        <f>+_xlfn.XLOOKUP(TEXT($C66,"@"),'[2]Tabla BG 2'!$C:$C,'[2]Tabla BG 2'!AM:AM,0)+AS66</f>
        <v>-799630.65882000001</v>
      </c>
      <c r="AU66" s="57">
        <f>+_xlfn.XLOOKUP(TEXT($C66,"@"),'[2]Tabla BG 2'!$C:$C,'[2]Tabla BG 2'!AN:AN,0)+AT66</f>
        <v>-799630.65882000001</v>
      </c>
      <c r="AV66" s="58">
        <f>+_xlfn.XLOOKUP(TEXT($C66,"@"),'[2]Tabla BG 2'!$C:$C,'[2]Tabla BG 2'!AO:AO,0)+AU66+1108182</f>
        <v>308551.34117999999</v>
      </c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5"/>
      <c r="BJ66" s="55"/>
      <c r="BK66" s="55"/>
      <c r="BL66" s="55"/>
      <c r="BM66" s="55"/>
      <c r="BN66" s="55"/>
    </row>
    <row r="67" spans="1:66" x14ac:dyDescent="0.35">
      <c r="A67" s="1">
        <v>5130</v>
      </c>
      <c r="B67" s="2" t="str">
        <f t="shared" si="3"/>
        <v>COC3715</v>
      </c>
      <c r="C67">
        <v>3715</v>
      </c>
      <c r="D67" s="16" t="s">
        <v>54</v>
      </c>
      <c r="E67" s="59"/>
      <c r="F67" s="60"/>
      <c r="G67" s="60"/>
      <c r="H67" s="60"/>
      <c r="I67" s="60"/>
      <c r="J67" s="60"/>
      <c r="K67" s="60"/>
      <c r="L67" s="32">
        <f>+_xlfn.XLOOKUP(C67,'[1]4'!$C:$C,'[1]4'!$I:$I,0)</f>
        <v>-42460.544399999999</v>
      </c>
      <c r="M67" s="56">
        <f>+_xlfn.XLOOKUP(TEXT($C67,"@"),'[2]Tabla BG 2'!$C:$C,'[2]Tabla BG 2'!E:E,0)+L67</f>
        <v>-42460.544399999999</v>
      </c>
      <c r="N67" s="57">
        <f>+_xlfn.XLOOKUP(TEXT($C67,"@"),'[2]Tabla BG 2'!$C:$C,'[2]Tabla BG 2'!F:F,0)+M67</f>
        <v>-42460.544399999999</v>
      </c>
      <c r="O67" s="57">
        <f>+_xlfn.XLOOKUP(TEXT($C67,"@"),'[2]Tabla BG 2'!$C:$C,'[2]Tabla BG 2'!G:G,0)+N67</f>
        <v>-42460.544399999999</v>
      </c>
      <c r="P67" s="57">
        <f>+_xlfn.XLOOKUP(TEXT($C67,"@"),'[2]Tabla BG 2'!$C:$C,'[2]Tabla BG 2'!H:H,0)+O67</f>
        <v>-42460.544399999999</v>
      </c>
      <c r="Q67" s="57">
        <f>+_xlfn.XLOOKUP(TEXT($C67,"@"),'[2]Tabla BG 2'!$C:$C,'[2]Tabla BG 2'!I:I,0)+P67</f>
        <v>-42460.544399999999</v>
      </c>
      <c r="R67" s="57">
        <f>+_xlfn.XLOOKUP(TEXT($C67,"@"),'[2]Tabla BG 2'!$C:$C,'[2]Tabla BG 2'!J:J,0)+Q67</f>
        <v>-42460.544399999999</v>
      </c>
      <c r="S67" s="57">
        <f>+_xlfn.XLOOKUP(TEXT($C67,"@"),'[2]Tabla BG 2'!$C:$C,'[2]Tabla BG 2'!K:K,0)+R67</f>
        <v>-42460.544399999999</v>
      </c>
      <c r="T67" s="57">
        <f>+_xlfn.XLOOKUP(TEXT($C67,"@"),'[2]Tabla BG 2'!$C:$C,'[2]Tabla BG 2'!L:L,0)+S67</f>
        <v>-42460.544399999999</v>
      </c>
      <c r="U67" s="57">
        <f>+_xlfn.XLOOKUP(TEXT($C67,"@"),'[2]Tabla BG 2'!$C:$C,'[2]Tabla BG 2'!M:M,0)+T67</f>
        <v>-42460.544399999999</v>
      </c>
      <c r="V67" s="57">
        <f>+_xlfn.XLOOKUP(TEXT($C67,"@"),'[2]Tabla BG 2'!$C:$C,'[2]Tabla BG 2'!N:N,0)+U67</f>
        <v>-42460.544399999999</v>
      </c>
      <c r="W67" s="57">
        <f>+_xlfn.XLOOKUP(TEXT($C67,"@"),'[2]Tabla BG 2'!$C:$C,'[2]Tabla BG 2'!O:O,0)+V67</f>
        <v>-42460.544399999999</v>
      </c>
      <c r="X67" s="57">
        <f>+_xlfn.XLOOKUP(TEXT($C67,"@"),'[2]Tabla BG 2'!$C:$C,'[2]Tabla BG 2'!P:P,0)+W67</f>
        <v>-42460.544399999999</v>
      </c>
      <c r="Y67" s="30">
        <f>+_xlfn.XLOOKUP(TEXT($C67,"@"),'[2]Tabla BG 2'!$C:$C,'[2]Tabla BG 2'!R:R,0)+X67</f>
        <v>-42460.544399999999</v>
      </c>
      <c r="Z67" s="31">
        <f>+_xlfn.XLOOKUP(TEXT($C67,"@"),'[2]Tabla BG 2'!$C:$C,'[2]Tabla BG 2'!S:S,0)+Y67</f>
        <v>-42460.544399999999</v>
      </c>
      <c r="AA67" s="31">
        <f>+_xlfn.XLOOKUP(TEXT($C67,"@"),'[2]Tabla BG 2'!$C:$C,'[2]Tabla BG 2'!T:T,0)+Z67</f>
        <v>-42460.544399999999</v>
      </c>
      <c r="AB67" s="31">
        <f>+_xlfn.XLOOKUP(TEXT($C67,"@"),'[2]Tabla BG 2'!$C:$C,'[2]Tabla BG 2'!U:U,0)+AA67</f>
        <v>-42460.544399999999</v>
      </c>
      <c r="AC67" s="31">
        <f>+_xlfn.XLOOKUP(TEXT($C67,"@"),'[2]Tabla BG 2'!$C:$C,'[2]Tabla BG 2'!V:V,0)+AB67</f>
        <v>-42460.544399999999</v>
      </c>
      <c r="AD67" s="31">
        <f>+_xlfn.XLOOKUP(TEXT($C67,"@"),'[2]Tabla BG 2'!$C:$C,'[2]Tabla BG 2'!W:W,0)+AC67</f>
        <v>-42460.544399999999</v>
      </c>
      <c r="AE67" s="31">
        <f>+_xlfn.XLOOKUP(TEXT($C67,"@"),'[2]Tabla BG 2'!$C:$C,'[2]Tabla BG 2'!X:X,0)+AD67</f>
        <v>-42460.544399999999</v>
      </c>
      <c r="AF67" s="31">
        <f>+_xlfn.XLOOKUP(TEXT($C67,"@"),'[2]Tabla BG 2'!$C:$C,'[2]Tabla BG 2'!Y:Y,0)+AE67</f>
        <v>-42460.544399999999</v>
      </c>
      <c r="AG67" s="31">
        <f>+_xlfn.XLOOKUP(TEXT($C67,"@"),'[2]Tabla BG 2'!$C:$C,'[2]Tabla BG 2'!Z:Z,0)+AF67</f>
        <v>-42460.544399999999</v>
      </c>
      <c r="AH67" s="31">
        <f>+_xlfn.XLOOKUP(TEXT($C67,"@"),'[2]Tabla BG 2'!$C:$C,'[2]Tabla BG 2'!AA:AA,0)+AG67</f>
        <v>-42460.544399999999</v>
      </c>
      <c r="AI67" s="31">
        <f>+_xlfn.XLOOKUP(TEXT($C67,"@"),'[2]Tabla BG 2'!$C:$C,'[2]Tabla BG 2'!AB:AB,0)+AH67</f>
        <v>-42460.544399999999</v>
      </c>
      <c r="AJ67" s="32">
        <f>+_xlfn.XLOOKUP(TEXT($C67,"@"),'[2]Tabla BG 2'!$C:$C,'[2]Tabla BG 2'!AC:AC,0)+AI67</f>
        <v>-42460.544399999999</v>
      </c>
      <c r="AK67" s="56">
        <f>+_xlfn.XLOOKUP(TEXT($C67,"@"),'[2]Tabla BG 2'!$C:$C,'[2]Tabla BG 2'!AE:AE,0)+AJ67</f>
        <v>-42460.544399999999</v>
      </c>
      <c r="AL67" s="57">
        <f>+_xlfn.XLOOKUP(TEXT($C67,"@"),'[2]Tabla BG 2'!$C:$C,'[2]Tabla BG 2'!AF:AF,0)+AK67</f>
        <v>-42460.544399999999</v>
      </c>
      <c r="AM67" s="57">
        <f>+_xlfn.XLOOKUP(TEXT($C67,"@"),'[2]Tabla BG 2'!$C:$C,'[2]Tabla BG 2'!AG:AG,0)+AL67</f>
        <v>-42460.544399999999</v>
      </c>
      <c r="AN67" s="57">
        <f>+_xlfn.XLOOKUP(TEXT($C67,"@"),'[2]Tabla BG 2'!$C:$C,'[2]Tabla BG 2'!AG:AG,0)+AM67</f>
        <v>-42460.544399999999</v>
      </c>
      <c r="AO67" s="57">
        <f>+_xlfn.XLOOKUP(TEXT($C67,"@"),'[2]Tabla BG 2'!$C:$C,'[2]Tabla BG 2'!AH:AH,0)+AN67</f>
        <v>-42460.544399999999</v>
      </c>
      <c r="AP67" s="57">
        <f>+_xlfn.XLOOKUP(TEXT($C67,"@"),'[2]Tabla BG 2'!$C:$C,'[2]Tabla BG 2'!AI:AI,0)+AO67</f>
        <v>-42460.544399999999</v>
      </c>
      <c r="AQ67" s="57">
        <f>+_xlfn.XLOOKUP(TEXT($C67,"@"),'[2]Tabla BG 2'!$C:$C,'[2]Tabla BG 2'!AJ:AJ,0)+AP67</f>
        <v>-42460.544399999999</v>
      </c>
      <c r="AR67" s="57">
        <f>+_xlfn.XLOOKUP(TEXT($C67,"@"),'[2]Tabla BG 2'!$C:$C,'[2]Tabla BG 2'!AK:AK,0)+AQ67</f>
        <v>-42460.544399999999</v>
      </c>
      <c r="AS67" s="57">
        <f>+_xlfn.XLOOKUP(TEXT($C67,"@"),'[2]Tabla BG 2'!$C:$C,'[2]Tabla BG 2'!AL:AL,0)+AR67</f>
        <v>-42460.544399999999</v>
      </c>
      <c r="AT67" s="57">
        <f>+_xlfn.XLOOKUP(TEXT($C67,"@"),'[2]Tabla BG 2'!$C:$C,'[2]Tabla BG 2'!AM:AM,0)+AS67</f>
        <v>-42460.544399999999</v>
      </c>
      <c r="AU67" s="57">
        <f>+_xlfn.XLOOKUP(TEXT($C67,"@"),'[2]Tabla BG 2'!$C:$C,'[2]Tabla BG 2'!AN:AN,0)+AT67</f>
        <v>-42460.544399999999</v>
      </c>
      <c r="AV67" s="58">
        <f>+_xlfn.XLOOKUP(TEXT($C67,"@"),'[2]Tabla BG 2'!$C:$C,'[2]Tabla BG 2'!AO:AO,0)+AU67</f>
        <v>-42460.544399999999</v>
      </c>
      <c r="AW67" s="61"/>
      <c r="AX67" s="61"/>
      <c r="AY67" s="61"/>
      <c r="AZ67" s="61"/>
      <c r="BA67" s="61"/>
      <c r="BB67" s="61"/>
      <c r="BC67" s="61"/>
      <c r="BD67" s="61"/>
      <c r="BE67" s="61"/>
      <c r="BF67" s="61"/>
      <c r="BG67" s="61"/>
      <c r="BH67" s="61"/>
      <c r="BI67" s="17"/>
      <c r="BJ67" s="17"/>
      <c r="BK67" s="17"/>
      <c r="BL67" s="17"/>
      <c r="BM67" s="17">
        <f>+U69-V69</f>
        <v>116294.52453000005</v>
      </c>
      <c r="BN67" s="17"/>
    </row>
    <row r="68" spans="1:66" x14ac:dyDescent="0.35">
      <c r="A68" s="1">
        <v>5135</v>
      </c>
      <c r="B68" s="2" t="str">
        <f t="shared" si="3"/>
        <v>COC3405</v>
      </c>
      <c r="C68" s="1">
        <v>3405</v>
      </c>
      <c r="D68" s="16" t="s">
        <v>55</v>
      </c>
      <c r="E68" s="59"/>
      <c r="F68" s="60"/>
      <c r="G68" s="60"/>
      <c r="H68" s="60"/>
      <c r="I68" s="60"/>
      <c r="J68" s="60"/>
      <c r="K68" s="60"/>
      <c r="L68" s="32">
        <f>+IFERROR(VLOOKUP(C68,[5]Sheet1!$C$9:$H$2600,6,FALSE),0)/1000</f>
        <v>0</v>
      </c>
      <c r="M68" s="56"/>
      <c r="N68" s="57">
        <f>+VLOOKUP($B68,'[4]TBG G Cuenta'!$A$6:$AA$1000,COLUMN('[4]TBG G Cuenta'!C209),FALSE)+M68</f>
        <v>0</v>
      </c>
      <c r="O68" s="57">
        <f>+VLOOKUP($B68,'[4]TBG G Cuenta'!$A$6:$AA$1000,COLUMN('[4]TBG G Cuenta'!D209),FALSE)+N68</f>
        <v>0</v>
      </c>
      <c r="P68" s="57">
        <f>+VLOOKUP($B68,'[4]TBG G Cuenta'!$A$6:$AA$1000,COLUMN('[4]TBG G Cuenta'!E209),FALSE)+O68</f>
        <v>0</v>
      </c>
      <c r="Q68" s="57">
        <f>+VLOOKUP($B68,'[4]TBG G Cuenta'!$A$6:$AA$1000,COLUMN('[4]TBG G Cuenta'!F209),FALSE)+P68</f>
        <v>0</v>
      </c>
      <c r="R68" s="57">
        <f>+VLOOKUP($B68,'[4]TBG G Cuenta'!$A$6:$AA$1000,COLUMN('[4]TBG G Cuenta'!G209),FALSE)+Q68</f>
        <v>0</v>
      </c>
      <c r="S68" s="57">
        <f>+VLOOKUP($B68,'[4]TBG G Cuenta'!$A$6:$AA$1000,COLUMN('[4]TBG G Cuenta'!H209),FALSE)+R68</f>
        <v>0</v>
      </c>
      <c r="T68" s="57">
        <f>+VLOOKUP($B68,'[4]TBG G Cuenta'!$A$6:$AA$1000,COLUMN('[4]TBG G Cuenta'!I209),FALSE)+S68</f>
        <v>0</v>
      </c>
      <c r="U68" s="57">
        <f>+VLOOKUP($B68,'[4]TBG G Cuenta'!$A$6:$AA$1000,COLUMN('[4]TBG G Cuenta'!J209),FALSE)+T68</f>
        <v>0</v>
      </c>
      <c r="V68" s="57">
        <f>+VLOOKUP($B68,'[4]TBG G Cuenta'!$A$6:$AA$1000,COLUMN('[4]TBG G Cuenta'!K209),FALSE)+U68</f>
        <v>0</v>
      </c>
      <c r="W68" s="57">
        <f>+VLOOKUP($B68,'[4]TBG G Cuenta'!$A$6:$AA$1000,COLUMN('[4]TBG G Cuenta'!L209),FALSE)+V68</f>
        <v>0</v>
      </c>
      <c r="X68" s="57">
        <f>+VLOOKUP($B68,'[4]TBG G Cuenta'!$A$6:$AA$1000,COLUMN('[4]TBG G Cuenta'!M209),FALSE)+W68</f>
        <v>0</v>
      </c>
      <c r="Y68" s="30">
        <f>+VLOOKUP($B68,'[4]TBG G Cuenta'!$A$6:$AA$1000,COLUMN('[4]TBG G Cuenta'!O209),FALSE)+X68</f>
        <v>0</v>
      </c>
      <c r="Z68" s="31">
        <f>+VLOOKUP($B68,'[4]TBG G Cuenta'!$A$6:$AA$1000,COLUMN('[4]TBG G Cuenta'!P209),FALSE)+Y68</f>
        <v>0</v>
      </c>
      <c r="AA68" s="31">
        <f>+VLOOKUP($B68,'[4]TBG G Cuenta'!$A$6:$AA$1000,COLUMN('[4]TBG G Cuenta'!Q209),FALSE)+Z68</f>
        <v>0</v>
      </c>
      <c r="AB68" s="31">
        <f>+VLOOKUP($B68,'[4]TBG G Cuenta'!$A$6:$AA$1000,COLUMN('[4]TBG G Cuenta'!R209),FALSE)+AA68</f>
        <v>0</v>
      </c>
      <c r="AC68" s="31">
        <f>+VLOOKUP($B68,'[4]TBG G Cuenta'!$A$6:$AA$1000,COLUMN('[4]TBG G Cuenta'!S209),FALSE)+AB68</f>
        <v>0</v>
      </c>
      <c r="AD68" s="31">
        <f>+VLOOKUP($B68,'[4]TBG G Cuenta'!$A$6:$AA$1000,COLUMN('[4]TBG G Cuenta'!T209),FALSE)+AC68</f>
        <v>0</v>
      </c>
      <c r="AE68" s="31">
        <f>+VLOOKUP($B68,'[4]TBG G Cuenta'!$A$6:$AA$1000,COLUMN('[4]TBG G Cuenta'!U209),FALSE)+AD68</f>
        <v>0</v>
      </c>
      <c r="AF68" s="31">
        <f>+VLOOKUP($B68,'[4]TBG G Cuenta'!$A$6:$AA$1000,COLUMN('[4]TBG G Cuenta'!V209),FALSE)+AE68</f>
        <v>0</v>
      </c>
      <c r="AG68" s="31">
        <f>+VLOOKUP($B68,'[4]TBG G Cuenta'!$A$6:$AA$1000,COLUMN('[4]TBG G Cuenta'!W209),FALSE)+AF68</f>
        <v>0</v>
      </c>
      <c r="AH68" s="31">
        <f>+VLOOKUP($B68,'[4]TBG G Cuenta'!$A$6:$AA$1000,COLUMN('[4]TBG G Cuenta'!X209),FALSE)+AG68</f>
        <v>0</v>
      </c>
      <c r="AI68" s="31">
        <f>+VLOOKUP($B68,'[4]TBG G Cuenta'!$A$6:$AA$1000,COLUMN('[4]TBG G Cuenta'!Y209),FALSE)+AH68</f>
        <v>0</v>
      </c>
      <c r="AJ68" s="32">
        <f>+VLOOKUP($B68,'[4]TBG G Cuenta'!$A$6:$AA$1000,COLUMN('[4]TBG G Cuenta'!Z209),FALSE)+AI68</f>
        <v>0</v>
      </c>
      <c r="AK68" s="56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8"/>
      <c r="AW68" s="61"/>
      <c r="AX68" s="61"/>
      <c r="AY68" s="61"/>
      <c r="AZ68" s="61"/>
      <c r="BA68" s="61"/>
      <c r="BB68" s="61"/>
      <c r="BC68" s="61"/>
      <c r="BD68" s="61"/>
      <c r="BE68" s="61"/>
      <c r="BF68" s="61"/>
      <c r="BG68" s="61"/>
      <c r="BH68" s="61"/>
      <c r="BI68" s="17"/>
      <c r="BJ68" s="17"/>
      <c r="BK68" s="17"/>
      <c r="BL68" s="17"/>
      <c r="BM68" s="17"/>
      <c r="BN68" s="17"/>
    </row>
    <row r="69" spans="1:66" ht="15" thickBot="1" x14ac:dyDescent="0.4">
      <c r="A69" s="1">
        <v>5140</v>
      </c>
      <c r="B69" s="2" t="str">
        <f t="shared" si="3"/>
        <v>COC3605</v>
      </c>
      <c r="C69">
        <v>3605</v>
      </c>
      <c r="D69" s="3" t="s">
        <v>56</v>
      </c>
      <c r="E69" s="37"/>
      <c r="F69" s="38"/>
      <c r="G69" s="38"/>
      <c r="H69" s="38"/>
      <c r="I69" s="38"/>
      <c r="J69" s="38"/>
      <c r="K69" s="38"/>
      <c r="L69" s="39">
        <f>+'[1]4'!$J$46</f>
        <v>-472667.08006000053</v>
      </c>
      <c r="M69" s="40">
        <f>-'P Y G'!E79</f>
        <v>-117906.16451999993</v>
      </c>
      <c r="N69" s="41">
        <f>-'P Y G'!F79+M69</f>
        <v>-146337.30853000001</v>
      </c>
      <c r="O69" s="41">
        <f>-'P Y G'!G79+N69</f>
        <v>-231986.90297000005</v>
      </c>
      <c r="P69" s="41">
        <f>-'P Y G'!H79+O69</f>
        <v>-232247.2215900002</v>
      </c>
      <c r="Q69" s="41">
        <f>-'P Y G'!I79+P69</f>
        <v>-318794.60678000021</v>
      </c>
      <c r="R69" s="41">
        <f>-'P Y G'!J79+Q69</f>
        <v>-328225.8223700003</v>
      </c>
      <c r="S69" s="41">
        <f>-'P Y G'!K79+R69</f>
        <v>-457890.10378000024</v>
      </c>
      <c r="T69" s="41">
        <f>-'P Y G'!L79+S69</f>
        <v>-605724.77761000022</v>
      </c>
      <c r="U69" s="41">
        <f>-'P Y G'!M79+T69</f>
        <v>-757501.59556000028</v>
      </c>
      <c r="V69" s="41">
        <f>-'P Y G'!N79+U69</f>
        <v>-873796.12009000033</v>
      </c>
      <c r="W69" s="41">
        <f>-'P Y G'!O79+V69</f>
        <v>-1009475.2309300002</v>
      </c>
      <c r="X69" s="41">
        <f>-'P Y G'!P79+W69</f>
        <v>-635514.86801000009</v>
      </c>
      <c r="Y69" s="42">
        <f>-'P Y G'!R79</f>
        <v>-199288.42272000009</v>
      </c>
      <c r="Z69" s="43">
        <f>-'P Y G'!S79+Y69</f>
        <v>-356987.64152000012</v>
      </c>
      <c r="AA69" s="43">
        <f>-'P Y G'!T79+Z69</f>
        <v>-474072.82222000015</v>
      </c>
      <c r="AB69" s="43">
        <f>-'P Y G'!U79+AA69</f>
        <v>-554459.18438000011</v>
      </c>
      <c r="AC69" s="43">
        <f>-'P Y G'!V79+AB69</f>
        <v>-744486.02557000006</v>
      </c>
      <c r="AD69" s="43">
        <f>-'P Y G'!W79+AC69</f>
        <v>-765794.63556000008</v>
      </c>
      <c r="AE69" s="43">
        <f>-'P Y G'!X79+AD69</f>
        <v>-903161.55343999993</v>
      </c>
      <c r="AF69" s="43">
        <f>-'P Y G'!Y79+AE69</f>
        <v>-989869.33746999991</v>
      </c>
      <c r="AG69" s="43">
        <f>-'P Y G'!Z79+AF69</f>
        <v>-1068409.1952</v>
      </c>
      <c r="AH69" s="43">
        <f>-'P Y G'!AA79+AG69</f>
        <v>-1100417.1982499999</v>
      </c>
      <c r="AI69" s="43">
        <f>-'P Y G'!AB79+AH69</f>
        <v>-1165415.1170599998</v>
      </c>
      <c r="AJ69" s="39">
        <f>-'P Y G'!AC79+AI69+'P Y G'!AD77</f>
        <v>-804636.20720999979</v>
      </c>
      <c r="AK69" s="40">
        <f>-'P Y G'!AE79</f>
        <v>-201059.25755999994</v>
      </c>
      <c r="AL69" s="41">
        <f>-'P Y G'!AF79+AK69</f>
        <v>-190428.11117999995</v>
      </c>
      <c r="AM69" s="41">
        <f>-'P Y G'!AG79+AL69</f>
        <v>-433838.52101000008</v>
      </c>
      <c r="AN69" s="41">
        <f>-'P Y G'!AH79+AM69</f>
        <v>-433838.52101000008</v>
      </c>
      <c r="AO69" s="41">
        <f>-'P Y G'!AI79+AN69</f>
        <v>-433838.52101000008</v>
      </c>
      <c r="AP69" s="41">
        <f>-'P Y G'!AJ79+AO69</f>
        <v>-433838.52101000008</v>
      </c>
      <c r="AQ69" s="41">
        <f>-'P Y G'!AK79+AP69</f>
        <v>-433838.52101000008</v>
      </c>
      <c r="AR69" s="41">
        <f>-'P Y G'!AL79+AQ69</f>
        <v>-433838.52101000008</v>
      </c>
      <c r="AS69" s="41">
        <f>-'P Y G'!AM79+AR69</f>
        <v>-433838.52101000008</v>
      </c>
      <c r="AT69" s="41">
        <f>-'P Y G'!AN79+AS69</f>
        <v>-433838.52101000008</v>
      </c>
      <c r="AU69" s="41">
        <f>-'P Y G'!AO79+AT69</f>
        <v>-433838.52101000008</v>
      </c>
      <c r="AV69" s="44">
        <f>-'P Y G'!AP79+AU69</f>
        <v>-433838.52101000008</v>
      </c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6" t="e">
        <f>-#REF!+X69</f>
        <v>#REF!</v>
      </c>
      <c r="BJ69" s="46" t="e">
        <f>+#REF!</f>
        <v>#REF!</v>
      </c>
      <c r="BK69" s="46" t="e">
        <f>+#REF!</f>
        <v>#REF!</v>
      </c>
      <c r="BL69" s="47"/>
      <c r="BM69" s="47"/>
      <c r="BN69" s="47"/>
    </row>
    <row r="70" spans="1:66" ht="15" thickTop="1" x14ac:dyDescent="0.35">
      <c r="A70" s="1">
        <v>5145</v>
      </c>
      <c r="B70" s="2" t="str">
        <f t="shared" si="3"/>
        <v>COC</v>
      </c>
      <c r="C70"/>
      <c r="D70" s="3"/>
      <c r="E70" s="26"/>
      <c r="F70" s="27"/>
      <c r="G70" s="27"/>
      <c r="H70" s="27"/>
      <c r="I70" s="27"/>
      <c r="J70" s="27"/>
      <c r="K70" s="27"/>
      <c r="L70" s="28"/>
      <c r="M70" s="65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76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28"/>
      <c r="AK70" s="65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33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5"/>
      <c r="BJ70" s="35"/>
      <c r="BK70" s="35"/>
      <c r="BL70" s="35"/>
      <c r="BM70" s="35"/>
      <c r="BN70" s="35"/>
    </row>
    <row r="71" spans="1:66" x14ac:dyDescent="0.35">
      <c r="A71" s="1">
        <v>5150</v>
      </c>
      <c r="B71" s="2" t="str">
        <f t="shared" si="3"/>
        <v>COC</v>
      </c>
      <c r="C71"/>
      <c r="D71" s="18" t="s">
        <v>57</v>
      </c>
      <c r="E71" s="72"/>
      <c r="F71" s="24"/>
      <c r="G71" s="24"/>
      <c r="H71" s="24"/>
      <c r="I71" s="24"/>
      <c r="J71" s="24"/>
      <c r="K71" s="24"/>
      <c r="L71" s="73">
        <f t="shared" ref="L71:BK71" si="29">-L73</f>
        <v>0</v>
      </c>
      <c r="M71" s="74">
        <f t="shared" si="29"/>
        <v>0</v>
      </c>
      <c r="N71" s="75">
        <f t="shared" si="29"/>
        <v>0</v>
      </c>
      <c r="O71" s="75">
        <f t="shared" si="29"/>
        <v>0</v>
      </c>
      <c r="P71" s="75">
        <f t="shared" si="29"/>
        <v>0</v>
      </c>
      <c r="Q71" s="75">
        <f t="shared" si="29"/>
        <v>0</v>
      </c>
      <c r="R71" s="75">
        <f t="shared" si="29"/>
        <v>0</v>
      </c>
      <c r="S71" s="75">
        <f t="shared" si="29"/>
        <v>0</v>
      </c>
      <c r="T71" s="75">
        <f t="shared" si="29"/>
        <v>0</v>
      </c>
      <c r="U71" s="75">
        <f t="shared" si="29"/>
        <v>0</v>
      </c>
      <c r="V71" s="75">
        <f t="shared" si="29"/>
        <v>0</v>
      </c>
      <c r="W71" s="75">
        <f t="shared" si="29"/>
        <v>0</v>
      </c>
      <c r="X71" s="75">
        <f t="shared" si="29"/>
        <v>0</v>
      </c>
      <c r="Y71" s="74">
        <f t="shared" si="29"/>
        <v>0</v>
      </c>
      <c r="Z71" s="75">
        <f t="shared" si="29"/>
        <v>0</v>
      </c>
      <c r="AA71" s="75">
        <f t="shared" si="29"/>
        <v>0</v>
      </c>
      <c r="AB71" s="75">
        <f t="shared" si="29"/>
        <v>0</v>
      </c>
      <c r="AC71" s="75">
        <f t="shared" si="29"/>
        <v>0</v>
      </c>
      <c r="AD71" s="75">
        <f t="shared" si="29"/>
        <v>0</v>
      </c>
      <c r="AE71" s="75">
        <f t="shared" si="29"/>
        <v>0</v>
      </c>
      <c r="AF71" s="75">
        <f t="shared" si="29"/>
        <v>0</v>
      </c>
      <c r="AG71" s="75">
        <f t="shared" si="29"/>
        <v>0</v>
      </c>
      <c r="AH71" s="75">
        <f t="shared" si="29"/>
        <v>0</v>
      </c>
      <c r="AI71" s="75">
        <f t="shared" si="29"/>
        <v>0</v>
      </c>
      <c r="AJ71" s="73">
        <f t="shared" si="29"/>
        <v>0</v>
      </c>
      <c r="AK71" s="74">
        <f t="shared" si="29"/>
        <v>0</v>
      </c>
      <c r="AL71" s="75">
        <f t="shared" si="29"/>
        <v>0</v>
      </c>
      <c r="AM71" s="75">
        <f t="shared" si="29"/>
        <v>0</v>
      </c>
      <c r="AN71" s="75">
        <f t="shared" si="29"/>
        <v>0</v>
      </c>
      <c r="AO71" s="75">
        <f t="shared" si="29"/>
        <v>0</v>
      </c>
      <c r="AP71" s="75">
        <f t="shared" si="29"/>
        <v>0</v>
      </c>
      <c r="AQ71" s="75">
        <f t="shared" si="29"/>
        <v>0</v>
      </c>
      <c r="AR71" s="75">
        <f t="shared" si="29"/>
        <v>0</v>
      </c>
      <c r="AS71" s="75">
        <f t="shared" si="29"/>
        <v>0</v>
      </c>
      <c r="AT71" s="75">
        <f t="shared" si="29"/>
        <v>0</v>
      </c>
      <c r="AU71" s="75">
        <f t="shared" si="29"/>
        <v>0</v>
      </c>
      <c r="AV71" s="73">
        <f t="shared" si="29"/>
        <v>0</v>
      </c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5">
        <f t="shared" si="29"/>
        <v>0</v>
      </c>
      <c r="BJ71" s="25">
        <f t="shared" si="29"/>
        <v>0</v>
      </c>
      <c r="BK71" s="25">
        <f t="shared" si="29"/>
        <v>0</v>
      </c>
      <c r="BL71" s="25"/>
      <c r="BM71" s="25"/>
      <c r="BN71" s="25"/>
    </row>
    <row r="72" spans="1:66" x14ac:dyDescent="0.35">
      <c r="A72" s="1">
        <v>5155</v>
      </c>
      <c r="B72" s="2" t="str">
        <f t="shared" si="3"/>
        <v>COC</v>
      </c>
      <c r="C72"/>
      <c r="E72" s="59"/>
      <c r="F72" s="60"/>
      <c r="G72" s="60"/>
      <c r="H72" s="60"/>
      <c r="I72" s="60"/>
      <c r="J72" s="60"/>
      <c r="K72" s="60"/>
      <c r="L72" s="64"/>
      <c r="M72" s="67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30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2"/>
      <c r="AK72" s="67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85"/>
      <c r="AW72" s="61"/>
      <c r="AX72" s="61"/>
      <c r="AY72" s="61"/>
      <c r="AZ72" s="61"/>
      <c r="BA72" s="61"/>
      <c r="BB72" s="61"/>
      <c r="BC72" s="61"/>
      <c r="BD72" s="61"/>
      <c r="BE72" s="61"/>
      <c r="BF72" s="61"/>
      <c r="BG72" s="61"/>
      <c r="BH72" s="61"/>
      <c r="BI72" s="17"/>
      <c r="BJ72" s="17"/>
      <c r="BK72" s="17"/>
      <c r="BL72" s="17"/>
      <c r="BM72" s="17"/>
      <c r="BN72" s="17"/>
    </row>
    <row r="73" spans="1:66" ht="15" thickBot="1" x14ac:dyDescent="0.4">
      <c r="A73" s="1">
        <v>5160</v>
      </c>
      <c r="B73" s="2" t="str">
        <f t="shared" si="3"/>
        <v>COC</v>
      </c>
      <c r="C73"/>
      <c r="D73" s="3" t="s">
        <v>58</v>
      </c>
      <c r="E73" s="37"/>
      <c r="F73" s="38"/>
      <c r="G73" s="38"/>
      <c r="H73" s="38"/>
      <c r="I73" s="38"/>
      <c r="J73" s="38"/>
      <c r="K73" s="38"/>
      <c r="L73" s="39">
        <f>SUM(L74:L76)</f>
        <v>0</v>
      </c>
      <c r="M73" s="40">
        <f>SUM(M74:M76)</f>
        <v>0</v>
      </c>
      <c r="N73" s="41">
        <f>SUM(N74:N76)</f>
        <v>0</v>
      </c>
      <c r="O73" s="41">
        <f t="shared" ref="O73:AV73" si="30">SUM(O74:O76)</f>
        <v>0</v>
      </c>
      <c r="P73" s="41">
        <f t="shared" si="30"/>
        <v>0</v>
      </c>
      <c r="Q73" s="41">
        <f t="shared" si="30"/>
        <v>0</v>
      </c>
      <c r="R73" s="41">
        <f t="shared" si="30"/>
        <v>0</v>
      </c>
      <c r="S73" s="41">
        <f t="shared" si="30"/>
        <v>0</v>
      </c>
      <c r="T73" s="41">
        <f t="shared" si="30"/>
        <v>0</v>
      </c>
      <c r="U73" s="41">
        <f t="shared" si="30"/>
        <v>0</v>
      </c>
      <c r="V73" s="41">
        <f t="shared" si="30"/>
        <v>0</v>
      </c>
      <c r="W73" s="41">
        <f t="shared" si="30"/>
        <v>0</v>
      </c>
      <c r="X73" s="41">
        <f t="shared" si="30"/>
        <v>0</v>
      </c>
      <c r="Y73" s="42">
        <f t="shared" si="30"/>
        <v>0</v>
      </c>
      <c r="Z73" s="43">
        <f t="shared" si="30"/>
        <v>0</v>
      </c>
      <c r="AA73" s="43">
        <f t="shared" si="30"/>
        <v>0</v>
      </c>
      <c r="AB73" s="43">
        <f t="shared" si="30"/>
        <v>0</v>
      </c>
      <c r="AC73" s="43">
        <f t="shared" si="30"/>
        <v>0</v>
      </c>
      <c r="AD73" s="43">
        <f t="shared" si="30"/>
        <v>0</v>
      </c>
      <c r="AE73" s="43">
        <f t="shared" si="30"/>
        <v>0</v>
      </c>
      <c r="AF73" s="43">
        <f t="shared" si="30"/>
        <v>0</v>
      </c>
      <c r="AG73" s="43">
        <f t="shared" si="30"/>
        <v>0</v>
      </c>
      <c r="AH73" s="43">
        <f t="shared" si="30"/>
        <v>0</v>
      </c>
      <c r="AI73" s="43">
        <f t="shared" si="30"/>
        <v>0</v>
      </c>
      <c r="AJ73" s="39">
        <f t="shared" si="30"/>
        <v>0</v>
      </c>
      <c r="AK73" s="40">
        <f t="shared" si="30"/>
        <v>0</v>
      </c>
      <c r="AL73" s="41">
        <f t="shared" si="30"/>
        <v>0</v>
      </c>
      <c r="AM73" s="41">
        <f t="shared" si="30"/>
        <v>0</v>
      </c>
      <c r="AN73" s="41">
        <f t="shared" si="30"/>
        <v>0</v>
      </c>
      <c r="AO73" s="41">
        <f t="shared" si="30"/>
        <v>0</v>
      </c>
      <c r="AP73" s="41">
        <f t="shared" si="30"/>
        <v>0</v>
      </c>
      <c r="AQ73" s="41">
        <f t="shared" si="30"/>
        <v>0</v>
      </c>
      <c r="AR73" s="41">
        <f t="shared" si="30"/>
        <v>0</v>
      </c>
      <c r="AS73" s="41">
        <f t="shared" si="30"/>
        <v>0</v>
      </c>
      <c r="AT73" s="41">
        <f t="shared" si="30"/>
        <v>0</v>
      </c>
      <c r="AU73" s="41">
        <f t="shared" si="30"/>
        <v>0</v>
      </c>
      <c r="AV73" s="44">
        <f t="shared" si="30"/>
        <v>0</v>
      </c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6">
        <f t="shared" ref="BI73:BK73" si="31">+BI74</f>
        <v>0</v>
      </c>
      <c r="BJ73" s="46">
        <f t="shared" si="31"/>
        <v>0</v>
      </c>
      <c r="BK73" s="46">
        <f t="shared" si="31"/>
        <v>0</v>
      </c>
      <c r="BL73" s="47"/>
      <c r="BM73" s="47"/>
      <c r="BN73" s="47"/>
    </row>
    <row r="74" spans="1:66" ht="15" thickTop="1" x14ac:dyDescent="0.35">
      <c r="A74" s="1">
        <v>5195</v>
      </c>
      <c r="B74" s="2" t="str">
        <f t="shared" ref="B74:B116" si="32">+"COC"&amp;C74</f>
        <v>COC</v>
      </c>
      <c r="C74"/>
      <c r="D74" s="16" t="s">
        <v>59</v>
      </c>
      <c r="E74" s="49"/>
      <c r="F74" s="50"/>
      <c r="G74" s="50"/>
      <c r="H74" s="50"/>
      <c r="I74" s="50"/>
      <c r="J74" s="50"/>
      <c r="K74" s="50"/>
      <c r="L74" s="32">
        <f>+_xlfn.XLOOKUP(C74,'[1]4'!$C:$C,'[1]4'!$I:$I,0)</f>
        <v>0</v>
      </c>
      <c r="M74" s="56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30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2"/>
      <c r="AK74" s="56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3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5">
        <f>+X74</f>
        <v>0</v>
      </c>
      <c r="BJ74" s="55">
        <f t="shared" ref="BJ74:BK74" si="33">+BI74</f>
        <v>0</v>
      </c>
      <c r="BK74" s="55">
        <f t="shared" si="33"/>
        <v>0</v>
      </c>
      <c r="BL74" s="55"/>
      <c r="BM74" s="55"/>
      <c r="BN74" s="55"/>
    </row>
    <row r="75" spans="1:66" x14ac:dyDescent="0.35">
      <c r="A75" s="1">
        <v>5205</v>
      </c>
      <c r="B75" s="2" t="str">
        <f t="shared" si="32"/>
        <v>COC2115</v>
      </c>
      <c r="C75">
        <v>2115</v>
      </c>
      <c r="D75" s="16" t="s">
        <v>60</v>
      </c>
      <c r="E75" s="49"/>
      <c r="F75" s="50"/>
      <c r="G75" s="50"/>
      <c r="H75" s="50"/>
      <c r="I75" s="50"/>
      <c r="J75" s="50"/>
      <c r="K75" s="50"/>
      <c r="L75" s="32">
        <f>+_xlfn.XLOOKUP(C75,'[1]4'!$C:$C,'[1]4'!$I:$I,0)</f>
        <v>0</v>
      </c>
      <c r="M75" s="56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30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2"/>
      <c r="AK75" s="56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8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5"/>
      <c r="BJ75" s="55"/>
      <c r="BK75" s="55"/>
      <c r="BL75" s="55"/>
      <c r="BM75" s="55"/>
      <c r="BN75" s="55"/>
    </row>
    <row r="76" spans="1:66" x14ac:dyDescent="0.35">
      <c r="A76" s="1">
        <v>5210</v>
      </c>
      <c r="B76" s="2" t="str">
        <f t="shared" si="32"/>
        <v>COC2195</v>
      </c>
      <c r="C76">
        <v>2195</v>
      </c>
      <c r="D76" s="16" t="s">
        <v>61</v>
      </c>
      <c r="E76" s="49"/>
      <c r="F76" s="50"/>
      <c r="G76" s="50"/>
      <c r="H76" s="50"/>
      <c r="I76" s="50"/>
      <c r="J76" s="50"/>
      <c r="K76" s="50"/>
      <c r="L76" s="32">
        <f>+_xlfn.XLOOKUP(C76,'[1]4'!$C:$C,'[1]4'!$I:$I,0)</f>
        <v>0</v>
      </c>
      <c r="M76" s="56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30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2"/>
      <c r="AK76" s="56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8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5"/>
      <c r="BJ76" s="55"/>
      <c r="BK76" s="55"/>
      <c r="BL76" s="55"/>
      <c r="BM76" s="55"/>
      <c r="BN76" s="55"/>
    </row>
    <row r="77" spans="1:66" x14ac:dyDescent="0.35">
      <c r="A77" s="1">
        <v>5215</v>
      </c>
      <c r="B77" s="2" t="str">
        <f t="shared" si="32"/>
        <v>COC</v>
      </c>
      <c r="C77"/>
      <c r="D77" s="16"/>
      <c r="E77" s="59"/>
      <c r="F77" s="60"/>
      <c r="G77" s="60"/>
      <c r="H77" s="60"/>
      <c r="I77" s="60"/>
      <c r="J77" s="60"/>
      <c r="K77" s="60"/>
      <c r="L77" s="64"/>
      <c r="M77" s="67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9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64"/>
      <c r="AK77" s="67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85"/>
      <c r="AW77" s="61"/>
      <c r="AX77" s="61"/>
      <c r="AY77" s="61"/>
      <c r="AZ77" s="61"/>
      <c r="BA77" s="61"/>
      <c r="BB77" s="61"/>
      <c r="BC77" s="61"/>
      <c r="BD77" s="61"/>
      <c r="BE77" s="61"/>
      <c r="BF77" s="61"/>
      <c r="BG77" s="61"/>
      <c r="BH77" s="61"/>
      <c r="BI77" s="17"/>
      <c r="BJ77" s="17"/>
      <c r="BK77" s="17"/>
      <c r="BL77" s="17"/>
      <c r="BM77" s="17"/>
      <c r="BN77" s="17"/>
    </row>
    <row r="78" spans="1:66" x14ac:dyDescent="0.35">
      <c r="A78" s="1">
        <v>5220</v>
      </c>
      <c r="B78" s="2" t="str">
        <f t="shared" si="32"/>
        <v>COC</v>
      </c>
      <c r="C78"/>
      <c r="D78" s="18" t="s">
        <v>62</v>
      </c>
      <c r="E78" s="72"/>
      <c r="F78" s="24"/>
      <c r="G78" s="24"/>
      <c r="H78" s="24"/>
      <c r="I78" s="24"/>
      <c r="J78" s="24"/>
      <c r="K78" s="24"/>
      <c r="L78" s="73">
        <f t="shared" ref="L78:AV78" si="34">-L80-L83-L88</f>
        <v>898176.05958</v>
      </c>
      <c r="M78" s="74">
        <f t="shared" si="34"/>
        <v>749937.49894000008</v>
      </c>
      <c r="N78" s="75">
        <f t="shared" si="34"/>
        <v>777538.55796000012</v>
      </c>
      <c r="O78" s="75">
        <f t="shared" si="34"/>
        <v>719751.40914999996</v>
      </c>
      <c r="P78" s="75">
        <f t="shared" si="34"/>
        <v>891070.64810000011</v>
      </c>
      <c r="Q78" s="75">
        <f t="shared" si="34"/>
        <v>632749.81545000011</v>
      </c>
      <c r="R78" s="75">
        <f t="shared" si="34"/>
        <v>580815.06592000008</v>
      </c>
      <c r="S78" s="75">
        <f t="shared" si="34"/>
        <v>776007.65333000012</v>
      </c>
      <c r="T78" s="75">
        <f t="shared" si="34"/>
        <v>835392.18849000009</v>
      </c>
      <c r="U78" s="75">
        <f t="shared" si="34"/>
        <v>829430.99930000002</v>
      </c>
      <c r="V78" s="75">
        <f t="shared" si="34"/>
        <v>908957.84755000006</v>
      </c>
      <c r="W78" s="75">
        <f t="shared" si="34"/>
        <v>835268.26160000009</v>
      </c>
      <c r="X78" s="75">
        <f t="shared" si="34"/>
        <v>1210192.15799</v>
      </c>
      <c r="Y78" s="74">
        <f t="shared" si="34"/>
        <v>872789.71307000006</v>
      </c>
      <c r="Z78" s="75">
        <f t="shared" si="34"/>
        <v>885518.46717000031</v>
      </c>
      <c r="AA78" s="75">
        <f t="shared" si="34"/>
        <v>880089.51914000011</v>
      </c>
      <c r="AB78" s="75">
        <f t="shared" si="34"/>
        <v>1053669.8763900001</v>
      </c>
      <c r="AC78" s="75">
        <f t="shared" si="34"/>
        <v>644373.38673000014</v>
      </c>
      <c r="AD78" s="75">
        <f t="shared" si="34"/>
        <v>672124.98227000015</v>
      </c>
      <c r="AE78" s="75">
        <f t="shared" si="34"/>
        <v>630641.26268000004</v>
      </c>
      <c r="AF78" s="75">
        <f t="shared" si="34"/>
        <v>733401.12320000003</v>
      </c>
      <c r="AG78" s="75">
        <f t="shared" si="34"/>
        <v>569425.45859000017</v>
      </c>
      <c r="AH78" s="75">
        <f t="shared" si="34"/>
        <v>1309506.2291600001</v>
      </c>
      <c r="AI78" s="75">
        <f t="shared" si="34"/>
        <v>1317663.8385300003</v>
      </c>
      <c r="AJ78" s="73">
        <f t="shared" si="34"/>
        <v>1373958.6318100002</v>
      </c>
      <c r="AK78" s="74">
        <f t="shared" si="34"/>
        <v>1079574.4089200001</v>
      </c>
      <c r="AL78" s="75">
        <f t="shared" si="34"/>
        <v>1049501.9013999999</v>
      </c>
      <c r="AM78" s="75">
        <f t="shared" si="34"/>
        <v>807301.78276999982</v>
      </c>
      <c r="AN78" s="75">
        <f t="shared" si="34"/>
        <v>565101.66413999989</v>
      </c>
      <c r="AO78" s="75">
        <f t="shared" si="34"/>
        <v>-1555.1849000003131</v>
      </c>
      <c r="AP78" s="75">
        <f t="shared" si="34"/>
        <v>-92429.461710000294</v>
      </c>
      <c r="AQ78" s="75">
        <f t="shared" si="34"/>
        <v>-92429.461710000294</v>
      </c>
      <c r="AR78" s="75">
        <f t="shared" si="34"/>
        <v>-92429.461710000294</v>
      </c>
      <c r="AS78" s="75">
        <f t="shared" si="34"/>
        <v>-92451.461710000294</v>
      </c>
      <c r="AT78" s="75">
        <f t="shared" si="34"/>
        <v>-92451.461710000294</v>
      </c>
      <c r="AU78" s="75">
        <f t="shared" si="34"/>
        <v>-92451.461710000294</v>
      </c>
      <c r="AV78" s="73">
        <f t="shared" si="34"/>
        <v>-92429.461710000294</v>
      </c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5" t="e">
        <f>-BI80-BI83-BI88</f>
        <v>#REF!</v>
      </c>
      <c r="BJ78" s="25" t="e">
        <f>-BJ80-BJ83-BJ88</f>
        <v>#REF!</v>
      </c>
      <c r="BK78" s="25" t="e">
        <f>-BK80-BK83-BK88</f>
        <v>#REF!</v>
      </c>
      <c r="BL78" s="25"/>
      <c r="BM78" s="25"/>
      <c r="BN78" s="25"/>
    </row>
    <row r="79" spans="1:66" x14ac:dyDescent="0.35">
      <c r="A79" s="1">
        <v>5235</v>
      </c>
      <c r="B79" s="2" t="str">
        <f t="shared" si="32"/>
        <v>COC</v>
      </c>
      <c r="C79"/>
      <c r="D79" s="3"/>
      <c r="E79" s="26"/>
      <c r="F79" s="27"/>
      <c r="G79" s="27"/>
      <c r="H79" s="27"/>
      <c r="I79" s="27"/>
      <c r="J79" s="27"/>
      <c r="K79" s="27"/>
      <c r="L79" s="28"/>
      <c r="M79" s="65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33"/>
      <c r="Y79" s="76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28"/>
      <c r="AK79" s="65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33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5"/>
      <c r="BJ79" s="35"/>
      <c r="BK79" s="35"/>
      <c r="BL79" s="35"/>
      <c r="BM79" s="35"/>
      <c r="BN79" s="35"/>
    </row>
    <row r="80" spans="1:66" ht="15" thickBot="1" x14ac:dyDescent="0.4">
      <c r="A80" s="1">
        <v>5245</v>
      </c>
      <c r="B80" s="2" t="str">
        <f t="shared" si="32"/>
        <v>COC</v>
      </c>
      <c r="C80"/>
      <c r="D80" s="3" t="s">
        <v>63</v>
      </c>
      <c r="E80" s="37"/>
      <c r="F80" s="38"/>
      <c r="G80" s="38"/>
      <c r="H80" s="38"/>
      <c r="I80" s="38"/>
      <c r="J80" s="38"/>
      <c r="K80" s="38"/>
      <c r="L80" s="39">
        <f t="shared" ref="L80:BK80" si="35">+L81</f>
        <v>-4479.1156300000002</v>
      </c>
      <c r="M80" s="40">
        <f t="shared" si="35"/>
        <v>-4697.7939999999999</v>
      </c>
      <c r="N80" s="41">
        <f t="shared" si="35"/>
        <v>-8058.0009999999993</v>
      </c>
      <c r="O80" s="41">
        <f t="shared" si="35"/>
        <v>-1749.030999999999</v>
      </c>
      <c r="P80" s="41">
        <f t="shared" si="35"/>
        <v>-1414.3839999999991</v>
      </c>
      <c r="Q80" s="41">
        <f t="shared" si="35"/>
        <v>-1071.2009999999991</v>
      </c>
      <c r="R80" s="41">
        <f t="shared" si="35"/>
        <v>-2559.7379999999989</v>
      </c>
      <c r="S80" s="41">
        <f t="shared" si="35"/>
        <v>-5626.3579999999984</v>
      </c>
      <c r="T80" s="41">
        <f t="shared" si="35"/>
        <v>-3948.8779999999988</v>
      </c>
      <c r="U80" s="41">
        <f t="shared" si="35"/>
        <v>-5442.1679999999978</v>
      </c>
      <c r="V80" s="41">
        <f t="shared" si="35"/>
        <v>-7867.1849999999977</v>
      </c>
      <c r="W80" s="41">
        <f t="shared" si="35"/>
        <v>-4147.3189999999977</v>
      </c>
      <c r="X80" s="41">
        <f t="shared" si="35"/>
        <v>-4298.989999999998</v>
      </c>
      <c r="Y80" s="42">
        <f t="shared" si="35"/>
        <v>-6416.2119999999977</v>
      </c>
      <c r="Z80" s="43">
        <f t="shared" si="35"/>
        <v>-4059.9569999999976</v>
      </c>
      <c r="AA80" s="43">
        <f t="shared" si="35"/>
        <v>-3873.9109999999973</v>
      </c>
      <c r="AB80" s="43">
        <f t="shared" si="35"/>
        <v>-3804.4979999999973</v>
      </c>
      <c r="AC80" s="43">
        <f t="shared" si="35"/>
        <v>-4743.6139999999978</v>
      </c>
      <c r="AD80" s="43">
        <f t="shared" si="35"/>
        <v>-6400.784999999998</v>
      </c>
      <c r="AE80" s="43">
        <f t="shared" si="35"/>
        <v>-1990.4269999999979</v>
      </c>
      <c r="AF80" s="43">
        <f t="shared" si="35"/>
        <v>-4125.172999999998</v>
      </c>
      <c r="AG80" s="43">
        <f t="shared" si="35"/>
        <v>-5949.0931699999974</v>
      </c>
      <c r="AH80" s="43">
        <f t="shared" si="35"/>
        <v>-2968.1931699999973</v>
      </c>
      <c r="AI80" s="43">
        <f t="shared" si="35"/>
        <v>-4170.9060499999978</v>
      </c>
      <c r="AJ80" s="39">
        <f t="shared" si="35"/>
        <v>-4928.916049999998</v>
      </c>
      <c r="AK80" s="40">
        <f t="shared" si="35"/>
        <v>-7245.7330499999989</v>
      </c>
      <c r="AL80" s="41">
        <f t="shared" si="35"/>
        <v>-6457.3574499999995</v>
      </c>
      <c r="AM80" s="41">
        <f t="shared" si="35"/>
        <v>-6958.5894499999995</v>
      </c>
      <c r="AN80" s="41">
        <f t="shared" si="35"/>
        <v>-7459.8214499999995</v>
      </c>
      <c r="AO80" s="41">
        <f t="shared" si="35"/>
        <v>-9489.494850000001</v>
      </c>
      <c r="AP80" s="41">
        <f t="shared" si="35"/>
        <v>-11968.968670000002</v>
      </c>
      <c r="AQ80" s="41">
        <f t="shared" si="35"/>
        <v>-11968.968670000002</v>
      </c>
      <c r="AR80" s="41">
        <f t="shared" si="35"/>
        <v>-11968.968670000002</v>
      </c>
      <c r="AS80" s="41">
        <f t="shared" si="35"/>
        <v>-11968.968670000002</v>
      </c>
      <c r="AT80" s="41">
        <f t="shared" si="35"/>
        <v>-11968.968670000002</v>
      </c>
      <c r="AU80" s="41">
        <f t="shared" si="35"/>
        <v>-11968.968670000002</v>
      </c>
      <c r="AV80" s="44">
        <f t="shared" si="35"/>
        <v>-11968.968670000002</v>
      </c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6">
        <f t="shared" si="35"/>
        <v>-4298.989999999998</v>
      </c>
      <c r="BJ80" s="46">
        <f t="shared" si="35"/>
        <v>-4298.989999999998</v>
      </c>
      <c r="BK80" s="46">
        <f t="shared" si="35"/>
        <v>-4298.989999999998</v>
      </c>
      <c r="BL80" s="47"/>
      <c r="BM80" s="47"/>
      <c r="BN80" s="47"/>
    </row>
    <row r="81" spans="1:66" ht="15" thickTop="1" x14ac:dyDescent="0.35">
      <c r="A81" s="1">
        <v>5250</v>
      </c>
      <c r="B81" s="2" t="str">
        <f t="shared" si="32"/>
        <v>COC2105</v>
      </c>
      <c r="C81" s="36">
        <v>2105</v>
      </c>
      <c r="D81" s="16" t="s">
        <v>64</v>
      </c>
      <c r="E81" s="49"/>
      <c r="F81" s="50"/>
      <c r="G81" s="50"/>
      <c r="H81" s="50"/>
      <c r="I81" s="50"/>
      <c r="J81" s="50"/>
      <c r="K81" s="50"/>
      <c r="L81" s="32">
        <f>+_xlfn.XLOOKUP(C81,'[1]4'!$C:$C,'[1]4'!$I:$I,0)</f>
        <v>-4479.1156300000002</v>
      </c>
      <c r="M81" s="56">
        <f>+_xlfn.XLOOKUP(TEXT($C81,"@"),'[2]Tabla BG 2'!$C:$C,'[2]Tabla BG 2'!E:E,0)+L81</f>
        <v>-4697.7939999999999</v>
      </c>
      <c r="N81" s="52">
        <f>+_xlfn.XLOOKUP(TEXT($C81,"@"),'[2]Tabla BG 2'!$C:$C,'[2]Tabla BG 2'!F:F,0)+M81</f>
        <v>-8058.0009999999993</v>
      </c>
      <c r="O81" s="52">
        <f>+_xlfn.XLOOKUP(TEXT($C81,"@"),'[2]Tabla BG 2'!$C:$C,'[2]Tabla BG 2'!G:G,0)+N81</f>
        <v>-1749.030999999999</v>
      </c>
      <c r="P81" s="52">
        <f>+_xlfn.XLOOKUP(TEXT($C81,"@"),'[2]Tabla BG 2'!$C:$C,'[2]Tabla BG 2'!H:H,0)+O81</f>
        <v>-1414.3839999999991</v>
      </c>
      <c r="Q81" s="52">
        <f>+_xlfn.XLOOKUP(TEXT($C81,"@"),'[2]Tabla BG 2'!$C:$C,'[2]Tabla BG 2'!I:I,0)+P81</f>
        <v>-1071.2009999999991</v>
      </c>
      <c r="R81" s="52">
        <f>+_xlfn.XLOOKUP(TEXT($C81,"@"),'[2]Tabla BG 2'!$C:$C,'[2]Tabla BG 2'!J:J,0)+Q81</f>
        <v>-2559.7379999999989</v>
      </c>
      <c r="S81" s="52">
        <f>+_xlfn.XLOOKUP(TEXT($C81,"@"),'[2]Tabla BG 2'!$C:$C,'[2]Tabla BG 2'!K:K,0)+R81</f>
        <v>-5626.3579999999984</v>
      </c>
      <c r="T81" s="52">
        <f>+_xlfn.XLOOKUP(TEXT($C81,"@"),'[2]Tabla BG 2'!$C:$C,'[2]Tabla BG 2'!L:L,0)+S81</f>
        <v>-3948.8779999999988</v>
      </c>
      <c r="U81" s="52">
        <f>+_xlfn.XLOOKUP(TEXT($C81,"@"),'[2]Tabla BG 2'!$C:$C,'[2]Tabla BG 2'!M:M,0)+T81</f>
        <v>-5442.1679999999978</v>
      </c>
      <c r="V81" s="52">
        <f>+_xlfn.XLOOKUP(TEXT($C81,"@"),'[2]Tabla BG 2'!$C:$C,'[2]Tabla BG 2'!N:N,0)+U81</f>
        <v>-7867.1849999999977</v>
      </c>
      <c r="W81" s="52">
        <f>+_xlfn.XLOOKUP(TEXT($C81,"@"),'[2]Tabla BG 2'!$C:$C,'[2]Tabla BG 2'!O:O,0)+V81</f>
        <v>-4147.3189999999977</v>
      </c>
      <c r="X81" s="52">
        <f>+_xlfn.XLOOKUP(TEXT($C81,"@"),'[2]Tabla BG 2'!$C:$C,'[2]Tabla BG 2'!P:P,0)+W81</f>
        <v>-4298.989999999998</v>
      </c>
      <c r="Y81" s="30">
        <f>+_xlfn.XLOOKUP(TEXT($C81,"@"),'[2]Tabla BG 2'!$C:$C,'[2]Tabla BG 2'!R:R,0)+X81</f>
        <v>-6416.2119999999977</v>
      </c>
      <c r="Z81" s="31">
        <f>+_xlfn.XLOOKUP(TEXT($C81,"@"),'[2]Tabla BG 2'!$C:$C,'[2]Tabla BG 2'!S:S,0)+Y81</f>
        <v>-4059.9569999999976</v>
      </c>
      <c r="AA81" s="31">
        <f>+_xlfn.XLOOKUP(TEXT($C81,"@"),'[2]Tabla BG 2'!$C:$C,'[2]Tabla BG 2'!T:T,0)+Z81</f>
        <v>-3873.9109999999973</v>
      </c>
      <c r="AB81" s="31">
        <f>+_xlfn.XLOOKUP(TEXT($C81,"@"),'[2]Tabla BG 2'!$C:$C,'[2]Tabla BG 2'!U:U,0)+AA81</f>
        <v>-3804.4979999999973</v>
      </c>
      <c r="AC81" s="31">
        <f>+_xlfn.XLOOKUP(TEXT($C81,"@"),'[2]Tabla BG 2'!$C:$C,'[2]Tabla BG 2'!V:V,0)+AB81</f>
        <v>-4743.6139999999978</v>
      </c>
      <c r="AD81" s="31">
        <f>+_xlfn.XLOOKUP(TEXT($C81,"@"),'[2]Tabla BG 2'!$C:$C,'[2]Tabla BG 2'!W:W,0)+AC81</f>
        <v>-6400.784999999998</v>
      </c>
      <c r="AE81" s="31">
        <f>+_xlfn.XLOOKUP(TEXT($C81,"@"),'[2]Tabla BG 2'!$C:$C,'[2]Tabla BG 2'!X:X,0)+AD81</f>
        <v>-1990.4269999999979</v>
      </c>
      <c r="AF81" s="31">
        <f>+_xlfn.XLOOKUP(TEXT($C81,"@"),'[2]Tabla BG 2'!$C:$C,'[2]Tabla BG 2'!Y:Y,0)+AE81</f>
        <v>-4125.172999999998</v>
      </c>
      <c r="AG81" s="31">
        <f>+_xlfn.XLOOKUP(TEXT($C81,"@"),'[2]Tabla BG 2'!$C:$C,'[2]Tabla BG 2'!Z:Z,0)+AF81</f>
        <v>-5949.0931699999974</v>
      </c>
      <c r="AH81" s="31">
        <f>+_xlfn.XLOOKUP(TEXT($C81,"@"),'[2]Tabla BG 2'!$C:$C,'[2]Tabla BG 2'!AA:AA,0)+AG81</f>
        <v>-2968.1931699999973</v>
      </c>
      <c r="AI81" s="31">
        <f>+_xlfn.XLOOKUP(TEXT($C81,"@"),'[2]Tabla BG 2'!$C:$C,'[2]Tabla BG 2'!AB:AB,0)+AH81</f>
        <v>-4170.9060499999978</v>
      </c>
      <c r="AJ81" s="32">
        <f>+_xlfn.XLOOKUP(TEXT($C81,"@"),'[2]Tabla BG 2'!$C:$C,'[2]Tabla BG 2'!AC:AC,0)+AI81</f>
        <v>-4928.916049999998</v>
      </c>
      <c r="AK81" s="56">
        <f>+_xlfn.XLOOKUP(TEXT($C81,"@"),'[2]Tabla BG 2'!$C:$C,'[2]Tabla BG 2'!AE:AE,0)+AJ81</f>
        <v>-7245.7330499999989</v>
      </c>
      <c r="AL81" s="52">
        <f>+_xlfn.XLOOKUP(TEXT($C81,"@"),'[2]Tabla BG 2'!$C:$C,'[2]Tabla BG 2'!AF:AF,0)+AK81</f>
        <v>-6457.3574499999995</v>
      </c>
      <c r="AM81" s="52">
        <f>+_xlfn.XLOOKUP(TEXT($C81,"@"),'[2]Tabla BG 2'!$C:$C,'[2]Tabla BG 2'!AG:AG,0)+AL81</f>
        <v>-6958.5894499999995</v>
      </c>
      <c r="AN81" s="52">
        <f>+_xlfn.XLOOKUP(TEXT($C81,"@"),'[2]Tabla BG 2'!$C:$C,'[2]Tabla BG 2'!AG:AG,0)+AM81</f>
        <v>-7459.8214499999995</v>
      </c>
      <c r="AO81" s="52">
        <f>+_xlfn.XLOOKUP(TEXT($C81,"@"),'[2]Tabla BG 2'!$C:$C,'[2]Tabla BG 2'!AH:AH,0)+AN81</f>
        <v>-9489.494850000001</v>
      </c>
      <c r="AP81" s="52">
        <f>+_xlfn.XLOOKUP(TEXT($C81,"@"),'[2]Tabla BG 2'!$C:$C,'[2]Tabla BG 2'!AI:AI,0)+AO81</f>
        <v>-11968.968670000002</v>
      </c>
      <c r="AQ81" s="52">
        <f>+_xlfn.XLOOKUP(TEXT($C81,"@"),'[2]Tabla BG 2'!$C:$C,'[2]Tabla BG 2'!AJ:AJ,0)+AP81</f>
        <v>-11968.968670000002</v>
      </c>
      <c r="AR81" s="52">
        <f>+_xlfn.XLOOKUP(TEXT($C81,"@"),'[2]Tabla BG 2'!$C:$C,'[2]Tabla BG 2'!AK:AK,0)+AQ81</f>
        <v>-11968.968670000002</v>
      </c>
      <c r="AS81" s="52">
        <f>+_xlfn.XLOOKUP(TEXT($C81,"@"),'[2]Tabla BG 2'!$C:$C,'[2]Tabla BG 2'!AL:AL,0)+AR81</f>
        <v>-11968.968670000002</v>
      </c>
      <c r="AT81" s="52">
        <f>+_xlfn.XLOOKUP(TEXT($C81,"@"),'[2]Tabla BG 2'!$C:$C,'[2]Tabla BG 2'!AM:AM,0)+AS81</f>
        <v>-11968.968670000002</v>
      </c>
      <c r="AU81" s="52">
        <f>+_xlfn.XLOOKUP(TEXT($C81,"@"),'[2]Tabla BG 2'!$C:$C,'[2]Tabla BG 2'!AN:AN,0)+AT81</f>
        <v>-11968.968670000002</v>
      </c>
      <c r="AV81" s="53">
        <f>+_xlfn.XLOOKUP(TEXT($C81,"@"),'[2]Tabla BG 2'!$C:$C,'[2]Tabla BG 2'!AO:AO,0)+AU81</f>
        <v>-11968.968670000002</v>
      </c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5">
        <f t="shared" ref="BI81" si="36">+X81</f>
        <v>-4298.989999999998</v>
      </c>
      <c r="BJ81" s="55">
        <f t="shared" ref="BJ81:BK81" si="37">+BI81</f>
        <v>-4298.989999999998</v>
      </c>
      <c r="BK81" s="55">
        <f t="shared" si="37"/>
        <v>-4298.989999999998</v>
      </c>
      <c r="BL81" s="55"/>
      <c r="BM81" s="55"/>
      <c r="BN81" s="55"/>
    </row>
    <row r="82" spans="1:66" x14ac:dyDescent="0.35">
      <c r="A82" s="1">
        <v>5255</v>
      </c>
      <c r="B82" s="2" t="str">
        <f t="shared" si="32"/>
        <v>COC</v>
      </c>
      <c r="C82"/>
      <c r="D82" s="16"/>
      <c r="E82" s="59"/>
      <c r="F82" s="60"/>
      <c r="G82" s="60"/>
      <c r="H82" s="60"/>
      <c r="I82" s="60"/>
      <c r="J82" s="60"/>
      <c r="K82" s="60"/>
      <c r="L82" s="64"/>
      <c r="M82" s="56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30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2"/>
      <c r="AK82" s="56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8"/>
      <c r="AW82" s="61"/>
      <c r="AX82" s="61"/>
      <c r="AY82" s="61"/>
      <c r="AZ82" s="61"/>
      <c r="BA82" s="61"/>
      <c r="BB82" s="61"/>
      <c r="BC82" s="61"/>
      <c r="BD82" s="61"/>
      <c r="BE82" s="61"/>
      <c r="BF82" s="61"/>
      <c r="BG82" s="61"/>
      <c r="BH82" s="61"/>
      <c r="BI82" s="17"/>
      <c r="BJ82" s="17"/>
      <c r="BK82" s="17"/>
      <c r="BL82" s="17"/>
      <c r="BM82" s="17"/>
      <c r="BN82" s="17"/>
    </row>
    <row r="83" spans="1:66" ht="15" thickBot="1" x14ac:dyDescent="0.4">
      <c r="A83" s="1">
        <v>5295</v>
      </c>
      <c r="B83" s="2" t="str">
        <f t="shared" si="32"/>
        <v>COC</v>
      </c>
      <c r="C83"/>
      <c r="D83" s="3" t="s">
        <v>65</v>
      </c>
      <c r="E83" s="37"/>
      <c r="F83" s="38"/>
      <c r="G83" s="38"/>
      <c r="H83" s="38"/>
      <c r="I83" s="38"/>
      <c r="J83" s="38"/>
      <c r="K83" s="38"/>
      <c r="L83" s="39">
        <f>SUM(L84:L86)</f>
        <v>-350125.15500000003</v>
      </c>
      <c r="M83" s="40">
        <f>SUM(M84:M86)</f>
        <v>-220011.43400000007</v>
      </c>
      <c r="N83" s="41">
        <f>SUM(N84:N86)</f>
        <v>-197689.46000000008</v>
      </c>
      <c r="O83" s="41">
        <f t="shared" ref="O83:AV83" si="38">SUM(O84:O86)</f>
        <v>-131545.7220000001</v>
      </c>
      <c r="P83" s="41">
        <f t="shared" si="38"/>
        <v>-269556.61300000007</v>
      </c>
      <c r="Q83" s="41">
        <f t="shared" si="38"/>
        <v>-154722.60800000007</v>
      </c>
      <c r="R83" s="41">
        <f t="shared" si="38"/>
        <v>-115694.97600000002</v>
      </c>
      <c r="S83" s="41">
        <f t="shared" si="38"/>
        <v>-392407.95799999998</v>
      </c>
      <c r="T83" s="41">
        <f t="shared" si="38"/>
        <v>-409053.45750999998</v>
      </c>
      <c r="U83" s="41">
        <f t="shared" si="38"/>
        <v>-442327.21250999998</v>
      </c>
      <c r="V83" s="41">
        <f t="shared" si="38"/>
        <v>-438342.98051000002</v>
      </c>
      <c r="W83" s="41">
        <f t="shared" si="38"/>
        <v>-422057.71439000004</v>
      </c>
      <c r="X83" s="41">
        <f t="shared" si="38"/>
        <v>-388815.72939000005</v>
      </c>
      <c r="Y83" s="42">
        <f t="shared" si="38"/>
        <v>-162629.95239000005</v>
      </c>
      <c r="Z83" s="43">
        <f t="shared" si="38"/>
        <v>-148375.77439000004</v>
      </c>
      <c r="AA83" s="43">
        <f t="shared" si="38"/>
        <v>-345581.59338999999</v>
      </c>
      <c r="AB83" s="43">
        <f t="shared" si="38"/>
        <v>-435246.83539000002</v>
      </c>
      <c r="AC83" s="43">
        <f t="shared" si="38"/>
        <v>-180088.19439000002</v>
      </c>
      <c r="AD83" s="43">
        <f t="shared" si="38"/>
        <v>-129566.054</v>
      </c>
      <c r="AE83" s="43">
        <f t="shared" si="38"/>
        <v>-191140.103</v>
      </c>
      <c r="AF83" s="43">
        <f t="shared" si="38"/>
        <v>-238549.48800000001</v>
      </c>
      <c r="AG83" s="43">
        <f t="shared" si="38"/>
        <v>-280780.55300000001</v>
      </c>
      <c r="AH83" s="43">
        <f t="shared" si="38"/>
        <v>-420453.60300000006</v>
      </c>
      <c r="AI83" s="43">
        <f t="shared" si="38"/>
        <v>-562096.29200000013</v>
      </c>
      <c r="AJ83" s="39">
        <f t="shared" si="38"/>
        <v>-419977.24400000006</v>
      </c>
      <c r="AK83" s="40">
        <f t="shared" si="38"/>
        <v>-270498.88000000006</v>
      </c>
      <c r="AL83" s="41">
        <f t="shared" si="38"/>
        <v>-143782.11500000005</v>
      </c>
      <c r="AM83" s="41">
        <f t="shared" si="38"/>
        <v>-117568.446</v>
      </c>
      <c r="AN83" s="41">
        <f t="shared" si="38"/>
        <v>-91354.776999999944</v>
      </c>
      <c r="AO83" s="41">
        <f t="shared" si="38"/>
        <v>211054.02100000012</v>
      </c>
      <c r="AP83" s="41">
        <f t="shared" si="38"/>
        <v>443610.73000000021</v>
      </c>
      <c r="AQ83" s="41">
        <f t="shared" si="38"/>
        <v>443610.73000000021</v>
      </c>
      <c r="AR83" s="41">
        <f t="shared" si="38"/>
        <v>443610.73000000021</v>
      </c>
      <c r="AS83" s="41">
        <f t="shared" si="38"/>
        <v>443610.73000000021</v>
      </c>
      <c r="AT83" s="41">
        <f t="shared" si="38"/>
        <v>443610.73000000021</v>
      </c>
      <c r="AU83" s="41">
        <f t="shared" si="38"/>
        <v>443610.73000000021</v>
      </c>
      <c r="AV83" s="44">
        <f t="shared" si="38"/>
        <v>443610.73000000021</v>
      </c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6" t="e">
        <f t="shared" ref="BI83:BK83" si="39">+BI84</f>
        <v>#REF!</v>
      </c>
      <c r="BJ83" s="46" t="e">
        <f t="shared" si="39"/>
        <v>#REF!</v>
      </c>
      <c r="BK83" s="46" t="e">
        <f t="shared" si="39"/>
        <v>#REF!</v>
      </c>
      <c r="BL83" s="47"/>
      <c r="BM83" s="47"/>
      <c r="BN83" s="47"/>
    </row>
    <row r="84" spans="1:66" ht="15" thickTop="1" x14ac:dyDescent="0.35">
      <c r="A84" s="1">
        <v>5305</v>
      </c>
      <c r="B84" s="2" t="str">
        <f t="shared" si="32"/>
        <v>COC2205</v>
      </c>
      <c r="C84" s="36">
        <v>2205</v>
      </c>
      <c r="D84" s="16" t="s">
        <v>66</v>
      </c>
      <c r="E84" s="49"/>
      <c r="F84" s="50"/>
      <c r="G84" s="50"/>
      <c r="H84" s="50"/>
      <c r="I84" s="50"/>
      <c r="J84" s="50"/>
      <c r="K84" s="50"/>
      <c r="L84" s="32">
        <f>+_xlfn.XLOOKUP(C84,'[1]4'!$C:$C,'[1]4'!$I:$I,0)</f>
        <v>-350125.15500000003</v>
      </c>
      <c r="M84" s="56">
        <f>+_xlfn.XLOOKUP(TEXT($C84,"@"),'[2]Tabla BG 2'!$C:$C,'[2]Tabla BG 2'!E:E,0)+L84</f>
        <v>-220011.43400000007</v>
      </c>
      <c r="N84" s="52">
        <f>+_xlfn.XLOOKUP(TEXT($C84,"@"),'[2]Tabla BG 2'!$C:$C,'[2]Tabla BG 2'!F:F,0)+M84</f>
        <v>-197689.46000000008</v>
      </c>
      <c r="O84" s="52">
        <f>+_xlfn.XLOOKUP(TEXT($C84,"@"),'[2]Tabla BG 2'!$C:$C,'[2]Tabla BG 2'!G:G,0)+N84</f>
        <v>-131545.7220000001</v>
      </c>
      <c r="P84" s="52">
        <f>+_xlfn.XLOOKUP(TEXT($C84,"@"),'[2]Tabla BG 2'!$C:$C,'[2]Tabla BG 2'!H:H,0)+O84</f>
        <v>-269556.61300000007</v>
      </c>
      <c r="Q84" s="52">
        <f>+_xlfn.XLOOKUP(TEXT($C84,"@"),'[2]Tabla BG 2'!$C:$C,'[2]Tabla BG 2'!I:I,0)+P84</f>
        <v>-154722.60800000007</v>
      </c>
      <c r="R84" s="52">
        <f>+_xlfn.XLOOKUP(TEXT($C84,"@"),'[2]Tabla BG 2'!$C:$C,'[2]Tabla BG 2'!J:J,0)+Q84</f>
        <v>-115694.97600000002</v>
      </c>
      <c r="S84" s="52">
        <f>+_xlfn.XLOOKUP(TEXT($C84,"@"),'[2]Tabla BG 2'!$C:$C,'[2]Tabla BG 2'!K:K,0)+R84</f>
        <v>-392407.95799999998</v>
      </c>
      <c r="T84" s="52">
        <f>+_xlfn.XLOOKUP(TEXT($C84,"@"),'[2]Tabla BG 2'!$C:$C,'[2]Tabla BG 2'!L:L,0)+S84</f>
        <v>-409053.45750999998</v>
      </c>
      <c r="U84" s="52">
        <f>+_xlfn.XLOOKUP(TEXT($C84,"@"),'[2]Tabla BG 2'!$C:$C,'[2]Tabla BG 2'!M:M,0)+T84</f>
        <v>-442327.21250999998</v>
      </c>
      <c r="V84" s="52">
        <f>+_xlfn.XLOOKUP(TEXT($C84,"@"),'[2]Tabla BG 2'!$C:$C,'[2]Tabla BG 2'!N:N,0)+U84</f>
        <v>-438342.98051000002</v>
      </c>
      <c r="W84" s="52">
        <f>+_xlfn.XLOOKUP(TEXT($C84,"@"),'[2]Tabla BG 2'!$C:$C,'[2]Tabla BG 2'!O:O,0)+V84</f>
        <v>-422057.71439000004</v>
      </c>
      <c r="X84" s="52">
        <f>+_xlfn.XLOOKUP(TEXT($C84,"@"),'[2]Tabla BG 2'!$C:$C,'[2]Tabla BG 2'!P:P,0)+W84</f>
        <v>-388815.72939000005</v>
      </c>
      <c r="Y84" s="30">
        <f>+_xlfn.XLOOKUP(TEXT($C84,"@"),'[2]Tabla BG 2'!$C:$C,'[2]Tabla BG 2'!R:R,0)+X84</f>
        <v>-162629.95239000005</v>
      </c>
      <c r="Z84" s="31">
        <f>+_xlfn.XLOOKUP(TEXT($C84,"@"),'[2]Tabla BG 2'!$C:$C,'[2]Tabla BG 2'!S:S,0)+Y84</f>
        <v>-148375.77439000004</v>
      </c>
      <c r="AA84" s="31">
        <f>+_xlfn.XLOOKUP(TEXT($C84,"@"),'[2]Tabla BG 2'!$C:$C,'[2]Tabla BG 2'!T:T,0)+Z84</f>
        <v>-345581.59338999999</v>
      </c>
      <c r="AB84" s="31">
        <f>+_xlfn.XLOOKUP(TEXT($C84,"@"),'[2]Tabla BG 2'!$C:$C,'[2]Tabla BG 2'!U:U,0)+AA84</f>
        <v>-435246.83539000002</v>
      </c>
      <c r="AC84" s="31">
        <f>+_xlfn.XLOOKUP(TEXT($C84,"@"),'[2]Tabla BG 2'!$C:$C,'[2]Tabla BG 2'!V:V,0)+AB84</f>
        <v>-180088.19439000002</v>
      </c>
      <c r="AD84" s="31">
        <f>+_xlfn.XLOOKUP(TEXT($C84,"@"),'[2]Tabla BG 2'!$C:$C,'[2]Tabla BG 2'!W:W,0)+AC84</f>
        <v>-129566.054</v>
      </c>
      <c r="AE84" s="31">
        <f>+_xlfn.XLOOKUP(TEXT($C84,"@"),'[2]Tabla BG 2'!$C:$C,'[2]Tabla BG 2'!X:X,0)+AD84</f>
        <v>-191140.103</v>
      </c>
      <c r="AF84" s="31">
        <f>+_xlfn.XLOOKUP(TEXT($C84,"@"),'[2]Tabla BG 2'!$C:$C,'[2]Tabla BG 2'!Y:Y,0)+AE84</f>
        <v>-238549.48800000001</v>
      </c>
      <c r="AG84" s="31">
        <f>+_xlfn.XLOOKUP(TEXT($C84,"@"),'[2]Tabla BG 2'!$C:$C,'[2]Tabla BG 2'!Z:Z,0)+AF84</f>
        <v>-280780.55300000001</v>
      </c>
      <c r="AH84" s="31">
        <f>+_xlfn.XLOOKUP(TEXT($C84,"@"),'[2]Tabla BG 2'!$C:$C,'[2]Tabla BG 2'!AA:AA,0)+AG84</f>
        <v>-420453.60300000006</v>
      </c>
      <c r="AI84" s="31">
        <f>+_xlfn.XLOOKUP(TEXT($C84,"@"),'[2]Tabla BG 2'!$C:$C,'[2]Tabla BG 2'!AB:AB,0)+AH84</f>
        <v>-562096.29200000013</v>
      </c>
      <c r="AJ84" s="32">
        <f>+_xlfn.XLOOKUP(TEXT($C84,"@"),'[2]Tabla BG 2'!$C:$C,'[2]Tabla BG 2'!AC:AC,0)+AI84</f>
        <v>-419977.24400000006</v>
      </c>
      <c r="AK84" s="56">
        <f>+_xlfn.XLOOKUP(TEXT($C84,"@"),'[2]Tabla BG 2'!$C:$C,'[2]Tabla BG 2'!AE:AE,0)+AJ84</f>
        <v>-270498.88000000006</v>
      </c>
      <c r="AL84" s="52">
        <f>+_xlfn.XLOOKUP(TEXT($C84,"@"),'[2]Tabla BG 2'!$C:$C,'[2]Tabla BG 2'!AF:AF,0)+AK84</f>
        <v>-143782.11500000005</v>
      </c>
      <c r="AM84" s="52">
        <f>+_xlfn.XLOOKUP(TEXT($C84,"@"),'[2]Tabla BG 2'!$C:$C,'[2]Tabla BG 2'!AG:AG,0)+AL84</f>
        <v>-117568.446</v>
      </c>
      <c r="AN84" s="52">
        <f>+_xlfn.XLOOKUP(TEXT($C84,"@"),'[2]Tabla BG 2'!$C:$C,'[2]Tabla BG 2'!AG:AG,0)+AM84</f>
        <v>-91354.776999999944</v>
      </c>
      <c r="AO84" s="52">
        <f>+_xlfn.XLOOKUP(TEXT($C84,"@"),'[2]Tabla BG 2'!$C:$C,'[2]Tabla BG 2'!AH:AH,0)+AN84</f>
        <v>211054.02100000012</v>
      </c>
      <c r="AP84" s="52">
        <f>+_xlfn.XLOOKUP(TEXT($C84,"@"),'[2]Tabla BG 2'!$C:$C,'[2]Tabla BG 2'!AI:AI,0)+AO84</f>
        <v>443610.73000000021</v>
      </c>
      <c r="AQ84" s="52">
        <f>+_xlfn.XLOOKUP(TEXT($C84,"@"),'[2]Tabla BG 2'!$C:$C,'[2]Tabla BG 2'!AJ:AJ,0)+AP84</f>
        <v>443610.73000000021</v>
      </c>
      <c r="AR84" s="52">
        <f>+_xlfn.XLOOKUP(TEXT($C84,"@"),'[2]Tabla BG 2'!$C:$C,'[2]Tabla BG 2'!AK:AK,0)+AQ84</f>
        <v>443610.73000000021</v>
      </c>
      <c r="AS84" s="52">
        <f>+_xlfn.XLOOKUP(TEXT($C84,"@"),'[2]Tabla BG 2'!$C:$C,'[2]Tabla BG 2'!AL:AL,0)+AR84</f>
        <v>443610.73000000021</v>
      </c>
      <c r="AT84" s="52">
        <f>+_xlfn.XLOOKUP(TEXT($C84,"@"),'[2]Tabla BG 2'!$C:$C,'[2]Tabla BG 2'!AM:AM,0)+AS84</f>
        <v>443610.73000000021</v>
      </c>
      <c r="AU84" s="52">
        <f>+_xlfn.XLOOKUP(TEXT($C84,"@"),'[2]Tabla BG 2'!$C:$C,'[2]Tabla BG 2'!AN:AN,0)+AT84</f>
        <v>443610.73000000021</v>
      </c>
      <c r="AV84" s="53">
        <f>+_xlfn.XLOOKUP(TEXT($C84,"@"),'[2]Tabla BG 2'!$C:$C,'[2]Tabla BG 2'!AO:AO,0)+AU84</f>
        <v>443610.73000000021</v>
      </c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5" t="e">
        <f>+[3]Valoracion!U18*(-#REF!/360)</f>
        <v>#REF!</v>
      </c>
      <c r="BJ84" s="55" t="e">
        <f>+[3]Valoracion!V18*(-#REF!/360)</f>
        <v>#REF!</v>
      </c>
      <c r="BK84" s="55" t="e">
        <f>+[3]Valoracion!W18*(-#REF!/360)</f>
        <v>#REF!</v>
      </c>
      <c r="BL84" s="55"/>
      <c r="BM84" s="55"/>
      <c r="BN84" s="55"/>
    </row>
    <row r="85" spans="1:66" x14ac:dyDescent="0.35">
      <c r="A85" s="1">
        <v>5310</v>
      </c>
      <c r="B85" s="2" t="str">
        <f t="shared" si="32"/>
        <v>COC2210</v>
      </c>
      <c r="C85" s="36">
        <v>2210</v>
      </c>
      <c r="D85" s="16" t="s">
        <v>67</v>
      </c>
      <c r="E85" s="49"/>
      <c r="F85" s="50"/>
      <c r="G85" s="50"/>
      <c r="H85" s="50"/>
      <c r="I85" s="50"/>
      <c r="J85" s="50"/>
      <c r="K85" s="50"/>
      <c r="L85" s="32">
        <f>+_xlfn.XLOOKUP(C85,'[1]4'!$C:$C,'[1]4'!$I:$I,0)</f>
        <v>0</v>
      </c>
      <c r="M85" s="56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30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2"/>
      <c r="AK85" s="56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8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5"/>
      <c r="BJ85" s="55"/>
      <c r="BK85" s="55"/>
      <c r="BL85" s="55"/>
      <c r="BM85" s="55"/>
      <c r="BN85" s="55"/>
    </row>
    <row r="86" spans="1:66" x14ac:dyDescent="0.35">
      <c r="A86" s="1">
        <v>5315</v>
      </c>
      <c r="B86" s="2" t="str">
        <f t="shared" si="32"/>
        <v>COC2305</v>
      </c>
      <c r="C86" s="36">
        <v>2305</v>
      </c>
      <c r="D86" s="16" t="s">
        <v>68</v>
      </c>
      <c r="E86" s="49"/>
      <c r="F86" s="50"/>
      <c r="G86" s="50"/>
      <c r="H86" s="50"/>
      <c r="I86" s="50"/>
      <c r="J86" s="50"/>
      <c r="K86" s="50"/>
      <c r="L86" s="32">
        <f>+_xlfn.XLOOKUP(C86,'[1]4'!$C:$C,'[1]4'!$I:$I,0)</f>
        <v>0</v>
      </c>
      <c r="M86" s="56">
        <f>+VLOOKUP($B86,'[4]TBG G Cuenta'!$A$6:$AA$1000,COLUMN('[4]TBG G Cuenta'!B227),FALSE)+L86</f>
        <v>0</v>
      </c>
      <c r="N86" s="57">
        <f>+VLOOKUP($B86,'[4]TBG G Cuenta'!$A$6:$AA$1000,COLUMN('[4]TBG G Cuenta'!C227),FALSE)+M86</f>
        <v>0</v>
      </c>
      <c r="O86" s="57">
        <f>+VLOOKUP($B86,'[4]TBG G Cuenta'!$A$6:$AA$1000,COLUMN('[4]TBG G Cuenta'!D227),FALSE)+N86</f>
        <v>0</v>
      </c>
      <c r="P86" s="57">
        <f>+VLOOKUP($B86,'[4]TBG G Cuenta'!$A$6:$AA$1000,COLUMN('[4]TBG G Cuenta'!E227),FALSE)+O86</f>
        <v>0</v>
      </c>
      <c r="Q86" s="57">
        <f>+VLOOKUP($B86,'[4]TBG G Cuenta'!$A$6:$AA$1000,COLUMN('[4]TBG G Cuenta'!F227),FALSE)+P86</f>
        <v>0</v>
      </c>
      <c r="R86" s="57">
        <f>+VLOOKUP($B86,'[4]TBG G Cuenta'!$A$6:$AA$1000,COLUMN('[4]TBG G Cuenta'!G227),FALSE)+Q86</f>
        <v>0</v>
      </c>
      <c r="S86" s="57">
        <f>+VLOOKUP($B86,'[4]TBG G Cuenta'!$A$6:$AA$1000,COLUMN('[4]TBG G Cuenta'!H227),FALSE)+R86</f>
        <v>0</v>
      </c>
      <c r="T86" s="57">
        <f>+VLOOKUP($B86,'[4]TBG G Cuenta'!$A$6:$AA$1000,COLUMN('[4]TBG G Cuenta'!I227),FALSE)+S86</f>
        <v>0</v>
      </c>
      <c r="U86" s="57">
        <f>+VLOOKUP($B86,'[4]TBG G Cuenta'!$A$6:$AA$1000,COLUMN('[4]TBG G Cuenta'!J227),FALSE)+T86</f>
        <v>0</v>
      </c>
      <c r="V86" s="57">
        <f>+VLOOKUP($B86,'[4]TBG G Cuenta'!$A$6:$AA$1000,COLUMN('[4]TBG G Cuenta'!K227),FALSE)+U86</f>
        <v>0</v>
      </c>
      <c r="W86" s="57">
        <f>+VLOOKUP($B86,'[4]TBG G Cuenta'!$A$6:$AA$1000,COLUMN('[4]TBG G Cuenta'!L227),FALSE)+V86</f>
        <v>0</v>
      </c>
      <c r="X86" s="57">
        <f>+VLOOKUP($B86,'[4]TBG G Cuenta'!$A$6:$AA$1000,COLUMN('[4]TBG G Cuenta'!M227),FALSE)+W86</f>
        <v>0</v>
      </c>
      <c r="Y86" s="30">
        <f>+VLOOKUP($B86,'[4]TBG G Cuenta'!$A$6:$AA$1000,COLUMN('[4]TBG G Cuenta'!O227),FALSE)+X86</f>
        <v>0</v>
      </c>
      <c r="Z86" s="31">
        <f>+VLOOKUP($B86,'[4]TBG G Cuenta'!$A$6:$AA$1000,COLUMN('[4]TBG G Cuenta'!P227),FALSE)+Y86</f>
        <v>0</v>
      </c>
      <c r="AA86" s="31">
        <f>+VLOOKUP($B86,'[4]TBG G Cuenta'!$A$6:$AA$1000,COLUMN('[4]TBG G Cuenta'!Q227),FALSE)+Z86</f>
        <v>0</v>
      </c>
      <c r="AB86" s="31">
        <f>+VLOOKUP($B86,'[4]TBG G Cuenta'!$A$6:$AA$1000,COLUMN('[4]TBG G Cuenta'!R227),FALSE)+AA86</f>
        <v>0</v>
      </c>
      <c r="AC86" s="31">
        <f>+VLOOKUP($B86,'[4]TBG G Cuenta'!$A$6:$AA$1000,COLUMN('[4]TBG G Cuenta'!S227),FALSE)+AB86</f>
        <v>0</v>
      </c>
      <c r="AD86" s="31">
        <f>+VLOOKUP($B86,'[4]TBG G Cuenta'!$A$6:$AA$1000,COLUMN('[4]TBG G Cuenta'!T227),FALSE)+AC86</f>
        <v>0</v>
      </c>
      <c r="AE86" s="31">
        <f>+VLOOKUP($B86,'[4]TBG G Cuenta'!$A$6:$AA$1000,COLUMN('[4]TBG G Cuenta'!U227),FALSE)+AD86</f>
        <v>0</v>
      </c>
      <c r="AF86" s="31">
        <f>+VLOOKUP($B86,'[4]TBG G Cuenta'!$A$6:$AA$1000,COLUMN('[4]TBG G Cuenta'!V227),FALSE)+AE86</f>
        <v>0</v>
      </c>
      <c r="AG86" s="31">
        <f>+VLOOKUP($B86,'[4]TBG G Cuenta'!$A$6:$AA$1000,COLUMN('[4]TBG G Cuenta'!W227),FALSE)+AF86</f>
        <v>0</v>
      </c>
      <c r="AH86" s="31">
        <f>+VLOOKUP($B86,'[4]TBG G Cuenta'!$A$6:$AA$1000,COLUMN('[4]TBG G Cuenta'!X227),FALSE)+AG86</f>
        <v>0</v>
      </c>
      <c r="AI86" s="31">
        <f>+VLOOKUP($B86,'[4]TBG G Cuenta'!$A$6:$AA$1000,COLUMN('[4]TBG G Cuenta'!Y227),FALSE)+AH86</f>
        <v>0</v>
      </c>
      <c r="AJ86" s="32">
        <f>+VLOOKUP($B86,'[4]TBG G Cuenta'!$A$6:$AA$1000,COLUMN('[4]TBG G Cuenta'!Z227),FALSE)+AI86</f>
        <v>0</v>
      </c>
      <c r="AK86" s="56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8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5"/>
      <c r="BJ86" s="55"/>
      <c r="BK86" s="55"/>
      <c r="BL86" s="55"/>
      <c r="BM86" s="55"/>
      <c r="BN86" s="55"/>
    </row>
    <row r="87" spans="1:66" x14ac:dyDescent="0.35">
      <c r="A87" s="1">
        <v>5405</v>
      </c>
      <c r="B87" s="2" t="str">
        <f t="shared" si="32"/>
        <v>COC</v>
      </c>
      <c r="C87"/>
      <c r="E87" s="49"/>
      <c r="F87" s="50"/>
      <c r="G87" s="50"/>
      <c r="H87" s="50"/>
      <c r="I87" s="50"/>
      <c r="J87" s="50"/>
      <c r="K87" s="50"/>
      <c r="L87" s="32">
        <f>+_xlfn.XLOOKUP(C87,'[1]4'!$C:$C,'[1]4'!$I:$I,0)</f>
        <v>0</v>
      </c>
      <c r="M87" s="67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30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2"/>
      <c r="AK87" s="67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85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5"/>
      <c r="BJ87" s="55"/>
      <c r="BK87" s="55"/>
      <c r="BL87" s="55"/>
      <c r="BM87" s="55"/>
      <c r="BN87" s="55"/>
    </row>
    <row r="88" spans="1:66" ht="15" thickBot="1" x14ac:dyDescent="0.4">
      <c r="A88" s="1">
        <v>6135</v>
      </c>
      <c r="B88" s="2" t="str">
        <f t="shared" si="32"/>
        <v>COC</v>
      </c>
      <c r="C88"/>
      <c r="D88" s="3" t="s">
        <v>69</v>
      </c>
      <c r="E88" s="37"/>
      <c r="F88" s="38"/>
      <c r="G88" s="38"/>
      <c r="H88" s="38"/>
      <c r="I88" s="38"/>
      <c r="J88" s="38"/>
      <c r="K88" s="38"/>
      <c r="L88" s="39">
        <f>SUM(L89:L112)</f>
        <v>-543571.78894999996</v>
      </c>
      <c r="M88" s="40">
        <f>SUM(M89:M112)</f>
        <v>-525228.27094000007</v>
      </c>
      <c r="N88" s="41">
        <f>SUM(N89:N112)</f>
        <v>-571791.09696</v>
      </c>
      <c r="O88" s="41">
        <f t="shared" ref="O88:W88" si="40">SUM(O89:O112)</f>
        <v>-586456.65614999994</v>
      </c>
      <c r="P88" s="41">
        <f t="shared" si="40"/>
        <v>-620099.65110000002</v>
      </c>
      <c r="Q88" s="41">
        <f t="shared" si="40"/>
        <v>-476956.00644999999</v>
      </c>
      <c r="R88" s="41">
        <f t="shared" si="40"/>
        <v>-462560.35192000004</v>
      </c>
      <c r="S88" s="41">
        <f t="shared" si="40"/>
        <v>-377973.33733000007</v>
      </c>
      <c r="T88" s="41">
        <f t="shared" si="40"/>
        <v>-422389.85298000003</v>
      </c>
      <c r="U88" s="41">
        <f t="shared" si="40"/>
        <v>-381661.61879000004</v>
      </c>
      <c r="V88" s="41">
        <f t="shared" si="40"/>
        <v>-462747.68203999999</v>
      </c>
      <c r="W88" s="41">
        <f t="shared" si="40"/>
        <v>-409063.22820999997</v>
      </c>
      <c r="X88" s="41">
        <f>SUM(X89:X112)</f>
        <v>-817077.43859999988</v>
      </c>
      <c r="Y88" s="42">
        <f>SUM(Y89:Y112)</f>
        <v>-703743.54868000001</v>
      </c>
      <c r="Z88" s="43">
        <f>SUM(Z89:Z112)</f>
        <v>-733082.73578000022</v>
      </c>
      <c r="AA88" s="43">
        <f t="shared" ref="AA88:AJ88" si="41">SUM(AA89:AA112)</f>
        <v>-530634.01475000009</v>
      </c>
      <c r="AB88" s="43">
        <f t="shared" si="41"/>
        <v>-614618.54300000006</v>
      </c>
      <c r="AC88" s="43">
        <f t="shared" si="41"/>
        <v>-459541.57834000007</v>
      </c>
      <c r="AD88" s="43">
        <f t="shared" si="41"/>
        <v>-536158.14327000012</v>
      </c>
      <c r="AE88" s="43">
        <f t="shared" si="41"/>
        <v>-437510.73268000007</v>
      </c>
      <c r="AF88" s="43">
        <f t="shared" si="41"/>
        <v>-490726.46220000007</v>
      </c>
      <c r="AG88" s="43">
        <f t="shared" si="41"/>
        <v>-282695.81242000021</v>
      </c>
      <c r="AH88" s="43">
        <f t="shared" si="41"/>
        <v>-886084.43299000012</v>
      </c>
      <c r="AI88" s="43">
        <f t="shared" si="41"/>
        <v>-751396.64048000006</v>
      </c>
      <c r="AJ88" s="39">
        <f t="shared" si="41"/>
        <v>-949052.4717600001</v>
      </c>
      <c r="AK88" s="40">
        <f>SUM(AK89:AK112)</f>
        <v>-801829.79587000003</v>
      </c>
      <c r="AL88" s="41">
        <f>SUM(AL89:AL112)</f>
        <v>-899262.42894999986</v>
      </c>
      <c r="AM88" s="41">
        <f t="shared" ref="AM88:AV88" si="42">SUM(AM89:AM112)</f>
        <v>-682774.74731999985</v>
      </c>
      <c r="AN88" s="41">
        <f t="shared" si="42"/>
        <v>-466287.0656899999</v>
      </c>
      <c r="AO88" s="41">
        <f t="shared" si="42"/>
        <v>-200009.34124999982</v>
      </c>
      <c r="AP88" s="41">
        <f t="shared" si="42"/>
        <v>-339212.29961999995</v>
      </c>
      <c r="AQ88" s="41">
        <f t="shared" si="42"/>
        <v>-339212.29961999995</v>
      </c>
      <c r="AR88" s="41">
        <f t="shared" si="42"/>
        <v>-339212.29961999995</v>
      </c>
      <c r="AS88" s="41">
        <f t="shared" si="42"/>
        <v>-339190.29961999995</v>
      </c>
      <c r="AT88" s="41">
        <f t="shared" si="42"/>
        <v>-339190.29961999995</v>
      </c>
      <c r="AU88" s="41">
        <f t="shared" si="42"/>
        <v>-339190.29961999995</v>
      </c>
      <c r="AV88" s="44">
        <f t="shared" si="42"/>
        <v>-339212.29961999995</v>
      </c>
      <c r="AW88" s="45"/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6">
        <f t="shared" ref="BI88:BK88" si="43">+BI89</f>
        <v>-159647.14928000004</v>
      </c>
      <c r="BJ88" s="46">
        <f t="shared" si="43"/>
        <v>-159647.14928000004</v>
      </c>
      <c r="BK88" s="46">
        <f t="shared" si="43"/>
        <v>-159647.14928000004</v>
      </c>
      <c r="BL88" s="47"/>
      <c r="BM88" s="47"/>
      <c r="BN88" s="47"/>
    </row>
    <row r="89" spans="1:66" ht="15" thickTop="1" x14ac:dyDescent="0.35">
      <c r="A89" s="48">
        <v>2335</v>
      </c>
      <c r="B89" s="2" t="str">
        <f t="shared" si="32"/>
        <v>COC2335</v>
      </c>
      <c r="C89" s="36">
        <v>2335</v>
      </c>
      <c r="D89" s="16" t="s">
        <v>70</v>
      </c>
      <c r="E89" s="49"/>
      <c r="F89" s="50"/>
      <c r="G89" s="50"/>
      <c r="H89" s="50"/>
      <c r="I89" s="50"/>
      <c r="J89" s="50"/>
      <c r="K89" s="50"/>
      <c r="L89" s="32">
        <f>+_xlfn.XLOOKUP(C89,'[1]4'!$C:$C,'[1]4'!$I:$I,0)</f>
        <v>-25382.745640000001</v>
      </c>
      <c r="M89" s="56">
        <f>+_xlfn.XLOOKUP(TEXT($C89,"@"),'[2]Tabla BG 2'!$C:$C,'[2]Tabla BG 2'!E:E,0)+L89</f>
        <v>-13388.345639999978</v>
      </c>
      <c r="N89" s="52">
        <f>+_xlfn.XLOOKUP(TEXT($C89,"@"),'[2]Tabla BG 2'!$C:$C,'[2]Tabla BG 2'!F:F,0)+M89</f>
        <v>-10491.21863999997</v>
      </c>
      <c r="O89" s="52">
        <f>+_xlfn.XLOOKUP(TEXT($C89,"@"),'[2]Tabla BG 2'!$C:$C,'[2]Tabla BG 2'!G:G,0)+N89</f>
        <v>-94933.926639999991</v>
      </c>
      <c r="P89" s="52">
        <f>+_xlfn.XLOOKUP(TEXT($C89,"@"),'[2]Tabla BG 2'!$C:$C,'[2]Tabla BG 2'!H:H,0)+O89</f>
        <v>-88199.864639999985</v>
      </c>
      <c r="Q89" s="52">
        <f>+_xlfn.XLOOKUP(TEXT($C89,"@"),'[2]Tabla BG 2'!$C:$C,'[2]Tabla BG 2'!I:I,0)+P89</f>
        <v>-53562.847639999993</v>
      </c>
      <c r="R89" s="52">
        <f>+_xlfn.XLOOKUP(TEXT($C89,"@"),'[2]Tabla BG 2'!$C:$C,'[2]Tabla BG 2'!J:J,0)+Q89</f>
        <v>-12979.702640000003</v>
      </c>
      <c r="S89" s="52">
        <f>+_xlfn.XLOOKUP(TEXT($C89,"@"),'[2]Tabla BG 2'!$C:$C,'[2]Tabla BG 2'!K:K,0)+R89</f>
        <v>-11638.29164000001</v>
      </c>
      <c r="T89" s="52">
        <f>+_xlfn.XLOOKUP(TEXT($C89,"@"),'[2]Tabla BG 2'!$C:$C,'[2]Tabla BG 2'!L:L,0)+S89</f>
        <v>-2038.1522800000093</v>
      </c>
      <c r="U89" s="52">
        <f>+_xlfn.XLOOKUP(TEXT($C89,"@"),'[2]Tabla BG 2'!$C:$C,'[2]Tabla BG 2'!M:M,0)+T89</f>
        <v>-13278.638279999985</v>
      </c>
      <c r="V89" s="52">
        <f>+_xlfn.XLOOKUP(TEXT($C89,"@"),'[2]Tabla BG 2'!$C:$C,'[2]Tabla BG 2'!N:N,0)+U89</f>
        <v>-34821.390279999992</v>
      </c>
      <c r="W89" s="52">
        <f>+_xlfn.XLOOKUP(TEXT($C89,"@"),'[2]Tabla BG 2'!$C:$C,'[2]Tabla BG 2'!O:O,0)+V89</f>
        <v>-27139.999280000018</v>
      </c>
      <c r="X89" s="52">
        <f>+_xlfn.XLOOKUP(TEXT($C89,"@"),'[2]Tabla BG 2'!$C:$C,'[2]Tabla BG 2'!P:P,0)+W89</f>
        <v>-159647.14928000004</v>
      </c>
      <c r="Y89" s="30">
        <f>+_xlfn.XLOOKUP(TEXT($C89,"@"),'[2]Tabla BG 2'!$C:$C,'[2]Tabla BG 2'!R:R,0)+X89</f>
        <v>-47769.038280000066</v>
      </c>
      <c r="Z89" s="31">
        <f>+_xlfn.XLOOKUP(TEXT($C89,"@"),'[2]Tabla BG 2'!$C:$C,'[2]Tabla BG 2'!S:S,0)+Y89</f>
        <v>-33148.29428000006</v>
      </c>
      <c r="AA89" s="31">
        <f>+_xlfn.XLOOKUP(TEXT($C89,"@"),'[2]Tabla BG 2'!$C:$C,'[2]Tabla BG 2'!T:T,0)+Z89</f>
        <v>-21073.618280000053</v>
      </c>
      <c r="AB89" s="31">
        <f>+_xlfn.XLOOKUP(TEXT($C89,"@"),'[2]Tabla BG 2'!$C:$C,'[2]Tabla BG 2'!U:U,0)+AA89</f>
        <v>-55615.187280000042</v>
      </c>
      <c r="AC89" s="31">
        <f>+_xlfn.XLOOKUP(TEXT($C89,"@"),'[2]Tabla BG 2'!$C:$C,'[2]Tabla BG 2'!V:V,0)+AB89</f>
        <v>-30100.68028000003</v>
      </c>
      <c r="AD89" s="31">
        <f>+_xlfn.XLOOKUP(TEXT($C89,"@"),'[2]Tabla BG 2'!$C:$C,'[2]Tabla BG 2'!W:W,0)+AC89</f>
        <v>-42667.579280000005</v>
      </c>
      <c r="AE89" s="31">
        <f>+_xlfn.XLOOKUP(TEXT($C89,"@"),'[2]Tabla BG 2'!$C:$C,'[2]Tabla BG 2'!X:X,0)+AD89</f>
        <v>-63656.747280000011</v>
      </c>
      <c r="AF89" s="31">
        <f>+_xlfn.XLOOKUP(TEXT($C89,"@"),'[2]Tabla BG 2'!$C:$C,'[2]Tabla BG 2'!Y:Y,0)+AE89</f>
        <v>-49933.553280000051</v>
      </c>
      <c r="AG89" s="31">
        <f>+_xlfn.XLOOKUP(TEXT($C89,"@"),'[2]Tabla BG 2'!$C:$C,'[2]Tabla BG 2'!Z:Z,0)+AF89</f>
        <v>-129124.31310000003</v>
      </c>
      <c r="AH89" s="31">
        <f>+_xlfn.XLOOKUP(TEXT($C89,"@"),'[2]Tabla BG 2'!$C:$C,'[2]Tabla BG 2'!AA:AA,0)+AG89</f>
        <v>-51793.241220000025</v>
      </c>
      <c r="AI89" s="31">
        <f>+_xlfn.XLOOKUP(TEXT($C89,"@"),'[2]Tabla BG 2'!$C:$C,'[2]Tabla BG 2'!AB:AB,0)+AH89</f>
        <v>-49745.282390000008</v>
      </c>
      <c r="AJ89" s="32">
        <f>+_xlfn.XLOOKUP(TEXT($C89,"@"),'[2]Tabla BG 2'!$C:$C,'[2]Tabla BG 2'!AC:AC,0)+AI89</f>
        <v>-294549.31727999996</v>
      </c>
      <c r="AK89" s="56">
        <f>+_xlfn.XLOOKUP(TEXT($C89,"@"),'[2]Tabla BG 2'!$C:$C,'[2]Tabla BG 2'!AE:AE,0)+AJ89</f>
        <v>-175296.89527999994</v>
      </c>
      <c r="AL89" s="52">
        <f>+_xlfn.XLOOKUP(TEXT($C89,"@"),'[2]Tabla BG 2'!$C:$C,'[2]Tabla BG 2'!AF:AF,0)+AK89</f>
        <v>-178090.8172799999</v>
      </c>
      <c r="AM89" s="52">
        <f>+_xlfn.XLOOKUP(TEXT($C89,"@"),'[2]Tabla BG 2'!$C:$C,'[2]Tabla BG 2'!AG:AG,0)+AL89</f>
        <v>-21361.329279999889</v>
      </c>
      <c r="AN89" s="52">
        <f>+_xlfn.XLOOKUP(TEXT($C89,"@"),'[2]Tabla BG 2'!$C:$C,'[2]Tabla BG 2'!AG:AG,0)+AM89</f>
        <v>135368.15872000012</v>
      </c>
      <c r="AO89" s="52">
        <f>+_xlfn.XLOOKUP(TEXT($C89,"@"),'[2]Tabla BG 2'!$C:$C,'[2]Tabla BG 2'!AH:AH,0)+AN89</f>
        <v>408556.14672000019</v>
      </c>
      <c r="AP89" s="52">
        <f>+_xlfn.XLOOKUP(TEXT($C89,"@"),'[2]Tabla BG 2'!$C:$C,'[2]Tabla BG 2'!AI:AI,0)+AO89</f>
        <v>412577.56308000028</v>
      </c>
      <c r="AQ89" s="52">
        <f>+_xlfn.XLOOKUP(TEXT($C89,"@"),'[2]Tabla BG 2'!$C:$C,'[2]Tabla BG 2'!AJ:AJ,0)+AP89</f>
        <v>412577.56308000028</v>
      </c>
      <c r="AR89" s="52">
        <f>+_xlfn.XLOOKUP(TEXT($C89,"@"),'[2]Tabla BG 2'!$C:$C,'[2]Tabla BG 2'!AK:AK,0)+AQ89</f>
        <v>412577.56308000028</v>
      </c>
      <c r="AS89" s="52">
        <f>+_xlfn.XLOOKUP(TEXT($C89,"@"),'[2]Tabla BG 2'!$C:$C,'[2]Tabla BG 2'!AL:AL,0)+AR89</f>
        <v>412577.56308000028</v>
      </c>
      <c r="AT89" s="52">
        <f>+_xlfn.XLOOKUP(TEXT($C89,"@"),'[2]Tabla BG 2'!$C:$C,'[2]Tabla BG 2'!AM:AM,0)+AS89</f>
        <v>412577.56308000028</v>
      </c>
      <c r="AU89" s="52">
        <f>+_xlfn.XLOOKUP(TEXT($C89,"@"),'[2]Tabla BG 2'!$C:$C,'[2]Tabla BG 2'!AN:AN,0)+AT89</f>
        <v>412577.56308000028</v>
      </c>
      <c r="AV89" s="53">
        <f>+_xlfn.XLOOKUP(TEXT($C89,"@"),'[2]Tabla BG 2'!$C:$C,'[2]Tabla BG 2'!AO:AO,0)+AU89</f>
        <v>412577.56308000028</v>
      </c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5">
        <f>+X89</f>
        <v>-159647.14928000004</v>
      </c>
      <c r="BJ89" s="55">
        <f t="shared" ref="BJ89:BK89" si="44">+BI89</f>
        <v>-159647.14928000004</v>
      </c>
      <c r="BK89" s="55">
        <f t="shared" si="44"/>
        <v>-159647.14928000004</v>
      </c>
      <c r="BL89" s="55"/>
      <c r="BM89" s="55"/>
      <c r="BN89" s="55"/>
    </row>
    <row r="90" spans="1:66" x14ac:dyDescent="0.35">
      <c r="A90" s="48">
        <v>2345</v>
      </c>
      <c r="B90" s="2" t="str">
        <f t="shared" si="32"/>
        <v>COC2345</v>
      </c>
      <c r="C90" s="36">
        <v>2345</v>
      </c>
      <c r="D90" s="16" t="s">
        <v>71</v>
      </c>
      <c r="E90" s="49"/>
      <c r="F90" s="50"/>
      <c r="G90" s="50"/>
      <c r="H90" s="50"/>
      <c r="I90" s="50"/>
      <c r="J90" s="50"/>
      <c r="K90" s="50"/>
      <c r="L90" s="32">
        <f>+_xlfn.XLOOKUP(C90,'[1]4'!$C:$C,'[1]4'!$I:$I,0)</f>
        <v>-35052</v>
      </c>
      <c r="M90" s="56">
        <f>+_xlfn.XLOOKUP(TEXT($C90,"@"),'[2]Tabla BG 2'!$C:$C,'[2]Tabla BG 2'!E:E,0)+L90</f>
        <v>-20037</v>
      </c>
      <c r="N90" s="57">
        <f>+_xlfn.XLOOKUP(TEXT($C90,"@"),'[2]Tabla BG 2'!$C:$C,'[2]Tabla BG 2'!F:F,0)+M90</f>
        <v>-68857</v>
      </c>
      <c r="O90" s="57">
        <f>+_xlfn.XLOOKUP(TEXT($C90,"@"),'[2]Tabla BG 2'!$C:$C,'[2]Tabla BG 2'!G:G,0)+N90</f>
        <v>-19894</v>
      </c>
      <c r="P90" s="57">
        <f>+_xlfn.XLOOKUP(TEXT($C90,"@"),'[2]Tabla BG 2'!$C:$C,'[2]Tabla BG 2'!H:H,0)+O90</f>
        <v>-47483</v>
      </c>
      <c r="Q90" s="57">
        <f>+_xlfn.XLOOKUP(TEXT($C90,"@"),'[2]Tabla BG 2'!$C:$C,'[2]Tabla BG 2'!I:I,0)+P90</f>
        <v>-22199</v>
      </c>
      <c r="R90" s="57">
        <f>+_xlfn.XLOOKUP(TEXT($C90,"@"),'[2]Tabla BG 2'!$C:$C,'[2]Tabla BG 2'!J:J,0)+Q90</f>
        <v>-42936</v>
      </c>
      <c r="S90" s="57">
        <f>+_xlfn.XLOOKUP(TEXT($C90,"@"),'[2]Tabla BG 2'!$C:$C,'[2]Tabla BG 2'!K:K,0)+R90</f>
        <v>-25843</v>
      </c>
      <c r="T90" s="57">
        <f>+_xlfn.XLOOKUP(TEXT($C90,"@"),'[2]Tabla BG 2'!$C:$C,'[2]Tabla BG 2'!L:L,0)+S90</f>
        <v>-45442</v>
      </c>
      <c r="U90" s="57">
        <f>+_xlfn.XLOOKUP(TEXT($C90,"@"),'[2]Tabla BG 2'!$C:$C,'[2]Tabla BG 2'!M:M,0)+T90</f>
        <v>-27943</v>
      </c>
      <c r="V90" s="57">
        <f>+_xlfn.XLOOKUP(TEXT($C90,"@"),'[2]Tabla BG 2'!$C:$C,'[2]Tabla BG 2'!N:N,0)+U90</f>
        <v>-43849</v>
      </c>
      <c r="W90" s="57">
        <f>+_xlfn.XLOOKUP(TEXT($C90,"@"),'[2]Tabla BG 2'!$C:$C,'[2]Tabla BG 2'!O:O,0)+V90</f>
        <v>-26876</v>
      </c>
      <c r="X90" s="57">
        <f>+_xlfn.XLOOKUP(TEXT($C90,"@"),'[2]Tabla BG 2'!$C:$C,'[2]Tabla BG 2'!P:P,0)+W90</f>
        <v>-54213.65094</v>
      </c>
      <c r="Y90" s="30">
        <f>+_xlfn.XLOOKUP(TEXT($C90,"@"),'[2]Tabla BG 2'!$C:$C,'[2]Tabla BG 2'!R:R,0)+X90</f>
        <v>-23427.65094</v>
      </c>
      <c r="Z90" s="31">
        <f>+_xlfn.XLOOKUP(TEXT($C90,"@"),'[2]Tabla BG 2'!$C:$C,'[2]Tabla BG 2'!S:S,0)+Y90</f>
        <v>-85534.650939999992</v>
      </c>
      <c r="AA90" s="31">
        <f>+_xlfn.XLOOKUP(TEXT($C90,"@"),'[2]Tabla BG 2'!$C:$C,'[2]Tabla BG 2'!T:T,0)+Z90</f>
        <v>-26852.650939999992</v>
      </c>
      <c r="AB90" s="31">
        <f>+_xlfn.XLOOKUP(TEXT($C90,"@"),'[2]Tabla BG 2'!$C:$C,'[2]Tabla BG 2'!U:U,0)+AA90</f>
        <v>-35240.650939999992</v>
      </c>
      <c r="AC90" s="31">
        <f>+_xlfn.XLOOKUP(TEXT($C90,"@"),'[2]Tabla BG 2'!$C:$C,'[2]Tabla BG 2'!V:V,0)+AB90</f>
        <v>-23945.650939999992</v>
      </c>
      <c r="AD90" s="31">
        <f>+_xlfn.XLOOKUP(TEXT($C90,"@"),'[2]Tabla BG 2'!$C:$C,'[2]Tabla BG 2'!W:W,0)+AC90</f>
        <v>-86611.650939999992</v>
      </c>
      <c r="AE90" s="31">
        <f>+_xlfn.XLOOKUP(TEXT($C90,"@"),'[2]Tabla BG 2'!$C:$C,'[2]Tabla BG 2'!X:X,0)+AD90</f>
        <v>-45189.650939999992</v>
      </c>
      <c r="AF90" s="31">
        <f>+_xlfn.XLOOKUP(TEXT($C90,"@"),'[2]Tabla BG 2'!$C:$C,'[2]Tabla BG 2'!Y:Y,0)+AE90</f>
        <v>-70504.650939999992</v>
      </c>
      <c r="AG90" s="31">
        <f>+_xlfn.XLOOKUP(TEXT($C90,"@"),'[2]Tabla BG 2'!$C:$C,'[2]Tabla BG 2'!Z:Z,0)+AF90</f>
        <v>-36517.650939999992</v>
      </c>
      <c r="AH90" s="31">
        <f>+_xlfn.XLOOKUP(TEXT($C90,"@"),'[2]Tabla BG 2'!$C:$C,'[2]Tabla BG 2'!AA:AA,0)+AG90</f>
        <v>-127284.65093999999</v>
      </c>
      <c r="AI90" s="31">
        <f>+_xlfn.XLOOKUP(TEXT($C90,"@"),'[2]Tabla BG 2'!$C:$C,'[2]Tabla BG 2'!AB:AB,0)+AH90</f>
        <v>-61957.650939999992</v>
      </c>
      <c r="AJ90" s="32">
        <f>+_xlfn.XLOOKUP(TEXT($C90,"@"),'[2]Tabla BG 2'!$C:$C,'[2]Tabla BG 2'!AC:AC,0)+AI90</f>
        <v>-102001</v>
      </c>
      <c r="AK90" s="56">
        <f>+_xlfn.XLOOKUP(TEXT($C90,"@"),'[2]Tabla BG 2'!$C:$C,'[2]Tabla BG 2'!AE:AE,0)+AJ90</f>
        <v>-34698</v>
      </c>
      <c r="AL90" s="57">
        <f>+_xlfn.XLOOKUP(TEXT($C90,"@"),'[2]Tabla BG 2'!$C:$C,'[2]Tabla BG 2'!AF:AF,0)+AK90</f>
        <v>-120956</v>
      </c>
      <c r="AM90" s="57">
        <f>+_xlfn.XLOOKUP(TEXT($C90,"@"),'[2]Tabla BG 2'!$C:$C,'[2]Tabla BG 2'!AG:AG,0)+AL90</f>
        <v>-3975</v>
      </c>
      <c r="AN90" s="57">
        <f>+_xlfn.XLOOKUP(TEXT($C90,"@"),'[2]Tabla BG 2'!$C:$C,'[2]Tabla BG 2'!AG:AG,0)+AM90</f>
        <v>113006</v>
      </c>
      <c r="AO90" s="57">
        <f>+_xlfn.XLOOKUP(TEXT($C90,"@"),'[2]Tabla BG 2'!$C:$C,'[2]Tabla BG 2'!AH:AH,0)+AN90</f>
        <v>211032</v>
      </c>
      <c r="AP90" s="57">
        <f>+_xlfn.XLOOKUP(TEXT($C90,"@"),'[2]Tabla BG 2'!$C:$C,'[2]Tabla BG 2'!AI:AI,0)+AO90</f>
        <v>242109</v>
      </c>
      <c r="AQ90" s="57">
        <f>+_xlfn.XLOOKUP(TEXT($C90,"@"),'[2]Tabla BG 2'!$C:$C,'[2]Tabla BG 2'!AJ:AJ,0)+AP90</f>
        <v>242109</v>
      </c>
      <c r="AR90" s="57">
        <f>+_xlfn.XLOOKUP(TEXT($C90,"@"),'[2]Tabla BG 2'!$C:$C,'[2]Tabla BG 2'!AK:AK,0)+AQ90</f>
        <v>242109</v>
      </c>
      <c r="AS90" s="57">
        <f>+_xlfn.XLOOKUP(TEXT($C90,"@"),'[2]Tabla BG 2'!$C:$C,'[2]Tabla BG 2'!AL:AL,0)+AR90</f>
        <v>242109</v>
      </c>
      <c r="AT90" s="57">
        <f>+_xlfn.XLOOKUP(TEXT($C90,"@"),'[2]Tabla BG 2'!$C:$C,'[2]Tabla BG 2'!AM:AM,0)+AS90</f>
        <v>242109</v>
      </c>
      <c r="AU90" s="57">
        <f>+_xlfn.XLOOKUP(TEXT($C90,"@"),'[2]Tabla BG 2'!$C:$C,'[2]Tabla BG 2'!AN:AN,0)+AT90</f>
        <v>242109</v>
      </c>
      <c r="AV90" s="58">
        <f>+_xlfn.XLOOKUP(TEXT($C90,"@"),'[2]Tabla BG 2'!$C:$C,'[2]Tabla BG 2'!AO:AO,0)+AU90</f>
        <v>242109</v>
      </c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5"/>
      <c r="BJ90" s="55"/>
      <c r="BK90" s="55"/>
      <c r="BL90" s="55"/>
      <c r="BM90" s="55"/>
      <c r="BN90" s="55"/>
    </row>
    <row r="91" spans="1:66" x14ac:dyDescent="0.35">
      <c r="A91" s="48">
        <v>2360</v>
      </c>
      <c r="B91" s="2" t="str">
        <f t="shared" si="32"/>
        <v>COC2355</v>
      </c>
      <c r="C91" s="36">
        <v>2355</v>
      </c>
      <c r="D91" s="16" t="s">
        <v>72</v>
      </c>
      <c r="E91" s="49"/>
      <c r="F91" s="50"/>
      <c r="G91" s="50"/>
      <c r="H91" s="50"/>
      <c r="I91" s="50"/>
      <c r="J91" s="50"/>
      <c r="K91" s="50"/>
      <c r="L91" s="32">
        <f>+_xlfn.XLOOKUP(C91,'[1]4'!$C:$C,'[1]4'!$I:$I,0)</f>
        <v>0</v>
      </c>
      <c r="M91" s="56">
        <f>+_xlfn.XLOOKUP(TEXT($C91,"@"),'[2]Tabla BG 2'!$C:$C,'[2]Tabla BG 2'!E:E,0)+L91</f>
        <v>0</v>
      </c>
      <c r="N91" s="57">
        <f>+_xlfn.XLOOKUP(TEXT($C91,"@"),'[2]Tabla BG 2'!$C:$C,'[2]Tabla BG 2'!F:F,0)+M91</f>
        <v>0</v>
      </c>
      <c r="O91" s="57">
        <f>+_xlfn.XLOOKUP(TEXT($C91,"@"),'[2]Tabla BG 2'!$C:$C,'[2]Tabla BG 2'!G:G,0)+N91</f>
        <v>0</v>
      </c>
      <c r="P91" s="57">
        <f>+_xlfn.XLOOKUP(TEXT($C91,"@"),'[2]Tabla BG 2'!$C:$C,'[2]Tabla BG 2'!H:H,0)+O91</f>
        <v>0</v>
      </c>
      <c r="Q91" s="57">
        <f>+_xlfn.XLOOKUP(TEXT($C91,"@"),'[2]Tabla BG 2'!$C:$C,'[2]Tabla BG 2'!I:I,0)+P91</f>
        <v>0</v>
      </c>
      <c r="R91" s="57">
        <f>+_xlfn.XLOOKUP(TEXT($C91,"@"),'[2]Tabla BG 2'!$C:$C,'[2]Tabla BG 2'!J:J,0)+Q91</f>
        <v>0</v>
      </c>
      <c r="S91" s="57">
        <f>+_xlfn.XLOOKUP(TEXT($C91,"@"),'[2]Tabla BG 2'!$C:$C,'[2]Tabla BG 2'!K:K,0)+R91</f>
        <v>0</v>
      </c>
      <c r="T91" s="57">
        <f>+_xlfn.XLOOKUP(TEXT($C91,"@"),'[2]Tabla BG 2'!$C:$C,'[2]Tabla BG 2'!L:L,0)+S91</f>
        <v>0</v>
      </c>
      <c r="U91" s="57">
        <f>+_xlfn.XLOOKUP(TEXT($C91,"@"),'[2]Tabla BG 2'!$C:$C,'[2]Tabla BG 2'!M:M,0)+T91</f>
        <v>0</v>
      </c>
      <c r="V91" s="57">
        <f>+_xlfn.XLOOKUP(TEXT($C91,"@"),'[2]Tabla BG 2'!$C:$C,'[2]Tabla BG 2'!N:N,0)+U91</f>
        <v>0</v>
      </c>
      <c r="W91" s="57">
        <f>+_xlfn.XLOOKUP(TEXT($C91,"@"),'[2]Tabla BG 2'!$C:$C,'[2]Tabla BG 2'!O:O,0)+V91</f>
        <v>0</v>
      </c>
      <c r="X91" s="57">
        <f>+_xlfn.XLOOKUP(TEXT($C91,"@"),'[2]Tabla BG 2'!$C:$C,'[2]Tabla BG 2'!P:P,0)+W91</f>
        <v>0</v>
      </c>
      <c r="Y91" s="30">
        <f>+_xlfn.XLOOKUP(TEXT($C91,"@"),'[2]Tabla BG 2'!$C:$C,'[2]Tabla BG 2'!R:R,0)+X91</f>
        <v>0</v>
      </c>
      <c r="Z91" s="31">
        <f>+_xlfn.XLOOKUP(TEXT($C91,"@"),'[2]Tabla BG 2'!$C:$C,'[2]Tabla BG 2'!S:S,0)+Y91</f>
        <v>0</v>
      </c>
      <c r="AA91" s="31">
        <f>+_xlfn.XLOOKUP(TEXT($C91,"@"),'[2]Tabla BG 2'!$C:$C,'[2]Tabla BG 2'!T:T,0)+Z91</f>
        <v>0</v>
      </c>
      <c r="AB91" s="31">
        <f>+_xlfn.XLOOKUP(TEXT($C91,"@"),'[2]Tabla BG 2'!$C:$C,'[2]Tabla BG 2'!U:U,0)+AA91</f>
        <v>0</v>
      </c>
      <c r="AC91" s="31">
        <f>+_xlfn.XLOOKUP(TEXT($C91,"@"),'[2]Tabla BG 2'!$C:$C,'[2]Tabla BG 2'!V:V,0)+AB91</f>
        <v>0</v>
      </c>
      <c r="AD91" s="31">
        <f>+_xlfn.XLOOKUP(TEXT($C91,"@"),'[2]Tabla BG 2'!$C:$C,'[2]Tabla BG 2'!W:W,0)+AC91</f>
        <v>0</v>
      </c>
      <c r="AE91" s="31">
        <f>+_xlfn.XLOOKUP(TEXT($C91,"@"),'[2]Tabla BG 2'!$C:$C,'[2]Tabla BG 2'!X:X,0)+AD91</f>
        <v>0</v>
      </c>
      <c r="AF91" s="31">
        <f>+_xlfn.XLOOKUP(TEXT($C91,"@"),'[2]Tabla BG 2'!$C:$C,'[2]Tabla BG 2'!Y:Y,0)+AE91</f>
        <v>0</v>
      </c>
      <c r="AG91" s="31">
        <f>+_xlfn.XLOOKUP(TEXT($C91,"@"),'[2]Tabla BG 2'!$C:$C,'[2]Tabla BG 2'!Z:Z,0)+AF91</f>
        <v>0</v>
      </c>
      <c r="AH91" s="31">
        <f>+_xlfn.XLOOKUP(TEXT($C91,"@"),'[2]Tabla BG 2'!$C:$C,'[2]Tabla BG 2'!AA:AA,0)+AG91</f>
        <v>0</v>
      </c>
      <c r="AI91" s="31">
        <f>+_xlfn.XLOOKUP(TEXT($C91,"@"),'[2]Tabla BG 2'!$C:$C,'[2]Tabla BG 2'!AB:AB,0)+AH91</f>
        <v>0</v>
      </c>
      <c r="AJ91" s="32">
        <f>+_xlfn.XLOOKUP(TEXT($C91,"@"),'[2]Tabla BG 2'!$C:$C,'[2]Tabla BG 2'!AC:AC,0)+AI91</f>
        <v>0</v>
      </c>
      <c r="AK91" s="56">
        <f>+_xlfn.XLOOKUP(TEXT($C91,"@"),'[2]Tabla BG 2'!$C:$C,'[2]Tabla BG 2'!AE:AE,0)+AJ91</f>
        <v>0</v>
      </c>
      <c r="AL91" s="57">
        <f>+_xlfn.XLOOKUP(TEXT($C91,"@"),'[2]Tabla BG 2'!$C:$C,'[2]Tabla BG 2'!AF:AF,0)+AK91</f>
        <v>0</v>
      </c>
      <c r="AM91" s="57">
        <f>+_xlfn.XLOOKUP(TEXT($C91,"@"),'[2]Tabla BG 2'!$C:$C,'[2]Tabla BG 2'!AG:AG,0)+AL91</f>
        <v>0</v>
      </c>
      <c r="AN91" s="57">
        <f>+_xlfn.XLOOKUP(TEXT($C91,"@"),'[2]Tabla BG 2'!$C:$C,'[2]Tabla BG 2'!AG:AG,0)+AM91</f>
        <v>0</v>
      </c>
      <c r="AO91" s="57">
        <f>+_xlfn.XLOOKUP(TEXT($C91,"@"),'[2]Tabla BG 2'!$C:$C,'[2]Tabla BG 2'!AH:AH,0)+AN91</f>
        <v>0</v>
      </c>
      <c r="AP91" s="57">
        <f>+_xlfn.XLOOKUP(TEXT($C91,"@"),'[2]Tabla BG 2'!$C:$C,'[2]Tabla BG 2'!AI:AI,0)+AO91</f>
        <v>0</v>
      </c>
      <c r="AQ91" s="57">
        <f>+_xlfn.XLOOKUP(TEXT($C91,"@"),'[2]Tabla BG 2'!$C:$C,'[2]Tabla BG 2'!AJ:AJ,0)+AP91</f>
        <v>0</v>
      </c>
      <c r="AR91" s="57">
        <f>+_xlfn.XLOOKUP(TEXT($C91,"@"),'[2]Tabla BG 2'!$C:$C,'[2]Tabla BG 2'!AK:AK,0)+AQ91</f>
        <v>0</v>
      </c>
      <c r="AS91" s="57">
        <f>+_xlfn.XLOOKUP(TEXT($C91,"@"),'[2]Tabla BG 2'!$C:$C,'[2]Tabla BG 2'!AL:AL,0)+AR91</f>
        <v>0</v>
      </c>
      <c r="AT91" s="57">
        <f>+_xlfn.XLOOKUP(TEXT($C91,"@"),'[2]Tabla BG 2'!$C:$C,'[2]Tabla BG 2'!AM:AM,0)+AS91</f>
        <v>0</v>
      </c>
      <c r="AU91" s="57">
        <f>+_xlfn.XLOOKUP(TEXT($C91,"@"),'[2]Tabla BG 2'!$C:$C,'[2]Tabla BG 2'!AN:AN,0)+AT91</f>
        <v>0</v>
      </c>
      <c r="AV91" s="58">
        <f>+_xlfn.XLOOKUP(TEXT($C91,"@"),'[2]Tabla BG 2'!$C:$C,'[2]Tabla BG 2'!AO:AO,0)+AU91</f>
        <v>0</v>
      </c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5"/>
      <c r="BJ91" s="55"/>
      <c r="BK91" s="55"/>
      <c r="BL91" s="55"/>
      <c r="BM91" s="55"/>
      <c r="BN91" s="55"/>
    </row>
    <row r="92" spans="1:66" x14ac:dyDescent="0.25">
      <c r="A92" s="48">
        <v>2365</v>
      </c>
      <c r="B92" s="2" t="str">
        <f t="shared" si="32"/>
        <v>COC2365</v>
      </c>
      <c r="C92" s="86">
        <v>2365</v>
      </c>
      <c r="D92" s="16" t="s">
        <v>73</v>
      </c>
      <c r="E92" s="49"/>
      <c r="F92" s="50"/>
      <c r="G92" s="50"/>
      <c r="H92" s="50"/>
      <c r="I92" s="50"/>
      <c r="J92" s="50"/>
      <c r="K92" s="50"/>
      <c r="L92" s="32">
        <f>+_xlfn.XLOOKUP(C92,'[1]4'!$C:$C,'[1]4'!$I:$I,0)</f>
        <v>-0.88400000000000001</v>
      </c>
      <c r="M92" s="56">
        <f>+_xlfn.XLOOKUP(TEXT($C92,"@"),'[2]Tabla BG 2'!$C:$C,'[2]Tabla BG 2'!E:E,0)+L92</f>
        <v>-0.55444999999779976</v>
      </c>
      <c r="N92" s="57">
        <f>+_xlfn.XLOOKUP(TEXT($C92,"@"),'[2]Tabla BG 2'!$C:$C,'[2]Tabla BG 2'!F:F,0)+M92</f>
        <v>-0.95444999999561697</v>
      </c>
      <c r="O92" s="57">
        <f>+_xlfn.XLOOKUP(TEXT($C92,"@"),'[2]Tabla BG 2'!$C:$C,'[2]Tabla BG 2'!G:G,0)+N92</f>
        <v>-0.71544999999785797</v>
      </c>
      <c r="P92" s="57">
        <f>+_xlfn.XLOOKUP(TEXT($C92,"@"),'[2]Tabla BG 2'!$C:$C,'[2]Tabla BG 2'!H:H,0)+O92</f>
        <v>-0.75844999999934226</v>
      </c>
      <c r="Q92" s="57">
        <f>+_xlfn.XLOOKUP(TEXT($C92,"@"),'[2]Tabla BG 2'!$C:$C,'[2]Tabla BG 2'!I:I,0)+P92</f>
        <v>-0.73644999999849825</v>
      </c>
      <c r="R92" s="57">
        <f>+_xlfn.XLOOKUP(TEXT($C92,"@"),'[2]Tabla BG 2'!$C:$C,'[2]Tabla BG 2'!J:J,0)+Q92</f>
        <v>-0.78244999999695575</v>
      </c>
      <c r="S92" s="57">
        <f>+_xlfn.XLOOKUP(TEXT($C92,"@"),'[2]Tabla BG 2'!$C:$C,'[2]Tabla BG 2'!K:K,0)+R92</f>
        <v>-1.255449999995093</v>
      </c>
      <c r="T92" s="57">
        <f>+_xlfn.XLOOKUP(TEXT($C92,"@"),'[2]Tabla BG 2'!$C:$C,'[2]Tabla BG 2'!L:L,0)+S92</f>
        <v>-0.80244999999375421</v>
      </c>
      <c r="U92" s="57">
        <f>+_xlfn.XLOOKUP(TEXT($C92,"@"),'[2]Tabla BG 2'!$C:$C,'[2]Tabla BG 2'!M:M,0)+T92</f>
        <v>-0.49244999999244454</v>
      </c>
      <c r="V92" s="57">
        <f>+_xlfn.XLOOKUP(TEXT($C92,"@"),'[2]Tabla BG 2'!$C:$C,'[2]Tabla BG 2'!N:N,0)+U92</f>
        <v>-0.85744999999404525</v>
      </c>
      <c r="W92" s="57">
        <f>+_xlfn.XLOOKUP(TEXT($C92,"@"),'[2]Tabla BG 2'!$C:$C,'[2]Tabla BG 2'!O:O,0)+V92</f>
        <v>-1.0744499999945982</v>
      </c>
      <c r="X92" s="57">
        <f>+_xlfn.XLOOKUP(TEXT($C92,"@"),'[2]Tabla BG 2'!$C:$C,'[2]Tabla BG 2'!P:P,0)+W92</f>
        <v>5.4716231545626215E-12</v>
      </c>
      <c r="Y92" s="30">
        <f>+_xlfn.XLOOKUP(TEXT($C92,"@"),'[2]Tabla BG 2'!$C:$C,'[2]Tabla BG 2'!R:R,0)+X92</f>
        <v>9.0000000036671857E-3</v>
      </c>
      <c r="Z92" s="31">
        <f>+_xlfn.XLOOKUP(TEXT($C92,"@"),'[2]Tabla BG 2'!$C:$C,'[2]Tabla BG 2'!S:S,0)+Y92</f>
        <v>3.0000000024448248E-3</v>
      </c>
      <c r="AA92" s="31">
        <f>+_xlfn.XLOOKUP(TEXT($C92,"@"),'[2]Tabla BG 2'!$C:$C,'[2]Tabla BG 2'!T:T,0)+Z92</f>
        <v>3.0000000024448248E-3</v>
      </c>
      <c r="AB92" s="31">
        <f>+_xlfn.XLOOKUP(TEXT($C92,"@"),'[2]Tabla BG 2'!$C:$C,'[2]Tabla BG 2'!U:U,0)+AA92</f>
        <v>3.0000000024448248E-3</v>
      </c>
      <c r="AC92" s="31">
        <f>+_xlfn.XLOOKUP(TEXT($C92,"@"),'[2]Tabla BG 2'!$C:$C,'[2]Tabla BG 2'!V:V,0)+AB92</f>
        <v>3.0000000024448248E-3</v>
      </c>
      <c r="AD92" s="31">
        <f>+_xlfn.XLOOKUP(TEXT($C92,"@"),'[2]Tabla BG 2'!$C:$C,'[2]Tabla BG 2'!W:W,0)+AC92</f>
        <v>3.0000000024448248E-3</v>
      </c>
      <c r="AE92" s="31">
        <f>+_xlfn.XLOOKUP(TEXT($C92,"@"),'[2]Tabla BG 2'!$C:$C,'[2]Tabla BG 2'!X:X,0)+AD92</f>
        <v>3.0000000024448248E-3</v>
      </c>
      <c r="AF92" s="31">
        <f>+_xlfn.XLOOKUP(TEXT($C92,"@"),'[2]Tabla BG 2'!$C:$C,'[2]Tabla BG 2'!Y:Y,0)+AE92</f>
        <v>3.0000000024448248E-3</v>
      </c>
      <c r="AG92" s="31">
        <f>+_xlfn.XLOOKUP(TEXT($C92,"@"),'[2]Tabla BG 2'!$C:$C,'[2]Tabla BG 2'!Z:Z,0)+AF92</f>
        <v>3.0000000024448248E-3</v>
      </c>
      <c r="AH92" s="31">
        <f>+_xlfn.XLOOKUP(TEXT($C92,"@"),'[2]Tabla BG 2'!$C:$C,'[2]Tabla BG 2'!AA:AA,0)+AG92</f>
        <v>3.0000000024448248E-3</v>
      </c>
      <c r="AI92" s="31">
        <f>+_xlfn.XLOOKUP(TEXT($C92,"@"),'[2]Tabla BG 2'!$C:$C,'[2]Tabla BG 2'!AB:AB,0)+AH92</f>
        <v>1.0670000001497204E-2</v>
      </c>
      <c r="AJ92" s="32">
        <f>+_xlfn.XLOOKUP(TEXT($C92,"@"),'[2]Tabla BG 2'!$C:$C,'[2]Tabla BG 2'!AC:AC,0)+AI92</f>
        <v>-1.8043344596208044E-12</v>
      </c>
      <c r="AK92" s="56">
        <f>+_xlfn.XLOOKUP(TEXT($C92,"@"),'[2]Tabla BG 2'!$C:$C,'[2]Tabla BG 2'!AE:AE,0)+AJ92</f>
        <v>-1.8043344596208044E-12</v>
      </c>
      <c r="AL92" s="57">
        <f>+_xlfn.XLOOKUP(TEXT($C92,"@"),'[2]Tabla BG 2'!$C:$C,'[2]Tabla BG 2'!AF:AF,0)+AK92</f>
        <v>-1.8043344596208044E-12</v>
      </c>
      <c r="AM92" s="57">
        <f>+_xlfn.XLOOKUP(TEXT($C92,"@"),'[2]Tabla BG 2'!$C:$C,'[2]Tabla BG 2'!AG:AG,0)+AL92</f>
        <v>-39401.877999999997</v>
      </c>
      <c r="AN92" s="57">
        <f>+_xlfn.XLOOKUP(TEXT($C92,"@"),'[2]Tabla BG 2'!$C:$C,'[2]Tabla BG 2'!AG:AG,0)+AM92</f>
        <v>-78803.755999999994</v>
      </c>
      <c r="AO92" s="57">
        <f>+_xlfn.XLOOKUP(TEXT($C92,"@"),'[2]Tabla BG 2'!$C:$C,'[2]Tabla BG 2'!AH:AH,0)+AN92</f>
        <v>-118205.63399999999</v>
      </c>
      <c r="AP92" s="57">
        <f>+_xlfn.XLOOKUP(TEXT($C92,"@"),'[2]Tabla BG 2'!$C:$C,'[2]Tabla BG 2'!AI:AI,0)+AO92</f>
        <v>-157606.628</v>
      </c>
      <c r="AQ92" s="57">
        <f>+_xlfn.XLOOKUP(TEXT($C92,"@"),'[2]Tabla BG 2'!$C:$C,'[2]Tabla BG 2'!AJ:AJ,0)+AP92</f>
        <v>-157606.628</v>
      </c>
      <c r="AR92" s="57">
        <f>+_xlfn.XLOOKUP(TEXT($C92,"@"),'[2]Tabla BG 2'!$C:$C,'[2]Tabla BG 2'!AK:AK,0)+AQ92</f>
        <v>-157606.628</v>
      </c>
      <c r="AS92" s="57">
        <f>+_xlfn.XLOOKUP(TEXT($C92,"@"),'[2]Tabla BG 2'!$C:$C,'[2]Tabla BG 2'!AL:AL,0)+AR92</f>
        <v>-157606.628</v>
      </c>
      <c r="AT92" s="57">
        <f>+_xlfn.XLOOKUP(TEXT($C92,"@"),'[2]Tabla BG 2'!$C:$C,'[2]Tabla BG 2'!AM:AM,0)+AS92</f>
        <v>-157606.628</v>
      </c>
      <c r="AU92" s="57">
        <f>+_xlfn.XLOOKUP(TEXT($C92,"@"),'[2]Tabla BG 2'!$C:$C,'[2]Tabla BG 2'!AN:AN,0)+AT92</f>
        <v>-157606.628</v>
      </c>
      <c r="AV92" s="58">
        <f>+_xlfn.XLOOKUP(TEXT($C92,"@"),'[2]Tabla BG 2'!$C:$C,'[2]Tabla BG 2'!AO:AO,0)+AU92</f>
        <v>-157606.628</v>
      </c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5"/>
      <c r="BJ92" s="55"/>
      <c r="BK92" s="55"/>
      <c r="BL92" s="55"/>
      <c r="BM92" s="55"/>
      <c r="BN92" s="55"/>
    </row>
    <row r="93" spans="1:66" x14ac:dyDescent="0.35">
      <c r="A93" s="87">
        <v>2367</v>
      </c>
      <c r="B93" s="2" t="str">
        <f t="shared" si="32"/>
        <v>COC2367</v>
      </c>
      <c r="C93" s="88">
        <v>2367</v>
      </c>
      <c r="D93" s="16" t="s">
        <v>74</v>
      </c>
      <c r="E93" s="49"/>
      <c r="F93" s="50"/>
      <c r="G93" s="50"/>
      <c r="H93" s="50"/>
      <c r="I93" s="50"/>
      <c r="J93" s="50"/>
      <c r="K93" s="50"/>
      <c r="L93" s="32">
        <f>+_xlfn.XLOOKUP(C93,'[1]4'!$C:$C,'[1]4'!$I:$I,0)</f>
        <v>0</v>
      </c>
      <c r="M93" s="56">
        <f>+_xlfn.XLOOKUP(TEXT($C93,"@"),'[2]Tabla BG 2'!$C:$C,'[2]Tabla BG 2'!E:E,0)+L93</f>
        <v>0</v>
      </c>
      <c r="N93" s="57">
        <f>+_xlfn.XLOOKUP(TEXT($C93,"@"),'[2]Tabla BG 2'!$C:$C,'[2]Tabla BG 2'!F:F,0)+M93</f>
        <v>0</v>
      </c>
      <c r="O93" s="57">
        <f>+_xlfn.XLOOKUP(TEXT($C93,"@"),'[2]Tabla BG 2'!$C:$C,'[2]Tabla BG 2'!G:G,0)+N93</f>
        <v>0</v>
      </c>
      <c r="P93" s="57">
        <f>+_xlfn.XLOOKUP(TEXT($C93,"@"),'[2]Tabla BG 2'!$C:$C,'[2]Tabla BG 2'!H:H,0)+O93</f>
        <v>0</v>
      </c>
      <c r="Q93" s="57">
        <f>+_xlfn.XLOOKUP(TEXT($C93,"@"),'[2]Tabla BG 2'!$C:$C,'[2]Tabla BG 2'!I:I,0)+P93</f>
        <v>0</v>
      </c>
      <c r="R93" s="57">
        <f>+_xlfn.XLOOKUP(TEXT($C93,"@"),'[2]Tabla BG 2'!$C:$C,'[2]Tabla BG 2'!J:J,0)+Q93</f>
        <v>0</v>
      </c>
      <c r="S93" s="57">
        <f>+_xlfn.XLOOKUP(TEXT($C93,"@"),'[2]Tabla BG 2'!$C:$C,'[2]Tabla BG 2'!K:K,0)+R93</f>
        <v>0</v>
      </c>
      <c r="T93" s="57">
        <f>+_xlfn.XLOOKUP(TEXT($C93,"@"),'[2]Tabla BG 2'!$C:$C,'[2]Tabla BG 2'!L:L,0)+S93</f>
        <v>0</v>
      </c>
      <c r="U93" s="57">
        <f>+_xlfn.XLOOKUP(TEXT($C93,"@"),'[2]Tabla BG 2'!$C:$C,'[2]Tabla BG 2'!M:M,0)+T93</f>
        <v>0</v>
      </c>
      <c r="V93" s="57">
        <f>+_xlfn.XLOOKUP(TEXT($C93,"@"),'[2]Tabla BG 2'!$C:$C,'[2]Tabla BG 2'!N:N,0)+U93</f>
        <v>-64.644999999999996</v>
      </c>
      <c r="W93" s="57">
        <f>+_xlfn.XLOOKUP(TEXT($C93,"@"),'[2]Tabla BG 2'!$C:$C,'[2]Tabla BG 2'!O:O,0)+V93</f>
        <v>3.8000000000693035E-4</v>
      </c>
      <c r="X93" s="57">
        <f>+_xlfn.XLOOKUP(TEXT($C93,"@"),'[2]Tabla BG 2'!$C:$C,'[2]Tabla BG 2'!P:P,0)+W93</f>
        <v>3.8000000000693035E-4</v>
      </c>
      <c r="Y93" s="30">
        <f>+_xlfn.XLOOKUP(TEXT($C93,"@"),'[2]Tabla BG 2'!$C:$C,'[2]Tabla BG 2'!R:R,0)+X93</f>
        <v>3.8000000000693035E-4</v>
      </c>
      <c r="Z93" s="31">
        <f>+_xlfn.XLOOKUP(TEXT($C93,"@"),'[2]Tabla BG 2'!$C:$C,'[2]Tabla BG 2'!S:S,0)+Y93</f>
        <v>3.8000000000693035E-4</v>
      </c>
      <c r="AA93" s="31">
        <f>+_xlfn.XLOOKUP(TEXT($C93,"@"),'[2]Tabla BG 2'!$C:$C,'[2]Tabla BG 2'!T:T,0)+Z93</f>
        <v>3.8000000000693035E-4</v>
      </c>
      <c r="AB93" s="31">
        <f>+_xlfn.XLOOKUP(TEXT($C93,"@"),'[2]Tabla BG 2'!$C:$C,'[2]Tabla BG 2'!U:U,0)+AA93</f>
        <v>3.8000000000693035E-4</v>
      </c>
      <c r="AC93" s="31">
        <f>+_xlfn.XLOOKUP(TEXT($C93,"@"),'[2]Tabla BG 2'!$C:$C,'[2]Tabla BG 2'!V:V,0)+AB93</f>
        <v>3.8000000000693035E-4</v>
      </c>
      <c r="AD93" s="31">
        <f>+_xlfn.XLOOKUP(TEXT($C93,"@"),'[2]Tabla BG 2'!$C:$C,'[2]Tabla BG 2'!W:W,0)+AC93</f>
        <v>3.8000000000693035E-4</v>
      </c>
      <c r="AE93" s="31">
        <f>+_xlfn.XLOOKUP(TEXT($C93,"@"),'[2]Tabla BG 2'!$C:$C,'[2]Tabla BG 2'!X:X,0)+AD93</f>
        <v>3.8000000000693035E-4</v>
      </c>
      <c r="AF93" s="31">
        <f>+_xlfn.XLOOKUP(TEXT($C93,"@"),'[2]Tabla BG 2'!$C:$C,'[2]Tabla BG 2'!Y:Y,0)+AE93</f>
        <v>3.8000000000693035E-4</v>
      </c>
      <c r="AG93" s="31">
        <f>+_xlfn.XLOOKUP(TEXT($C93,"@"),'[2]Tabla BG 2'!$C:$C,'[2]Tabla BG 2'!Z:Z,0)+AF93</f>
        <v>-0.18862000000007129</v>
      </c>
      <c r="AH93" s="31">
        <f>+_xlfn.XLOOKUP(TEXT($C93,"@"),'[2]Tabla BG 2'!$C:$C,'[2]Tabla BG 2'!AA:AA,0)+AG93</f>
        <v>-0.18862000000007129</v>
      </c>
      <c r="AI93" s="31">
        <f>+_xlfn.XLOOKUP(TEXT($C93,"@"),'[2]Tabla BG 2'!$C:$C,'[2]Tabla BG 2'!AB:AB,0)+AH93</f>
        <v>-0.18862000000007129</v>
      </c>
      <c r="AJ93" s="32">
        <f>+_xlfn.XLOOKUP(TEXT($C93,"@"),'[2]Tabla BG 2'!$C:$C,'[2]Tabla BG 2'!AC:AC,0)+AI93</f>
        <v>-5.6843418860808015E-14</v>
      </c>
      <c r="AK93" s="56">
        <f>+_xlfn.XLOOKUP(TEXT($C93,"@"),'[2]Tabla BG 2'!$C:$C,'[2]Tabla BG 2'!AE:AE,0)+AJ93</f>
        <v>-5.6843418860808015E-14</v>
      </c>
      <c r="AL93" s="57">
        <f>+_xlfn.XLOOKUP(TEXT($C93,"@"),'[2]Tabla BG 2'!$C:$C,'[2]Tabla BG 2'!AF:AF,0)+AK93</f>
        <v>-5.0000000044292392E-5</v>
      </c>
      <c r="AM93" s="57">
        <f>+_xlfn.XLOOKUP(TEXT($C93,"@"),'[2]Tabla BG 2'!$C:$C,'[2]Tabla BG 2'!AG:AG,0)+AL93</f>
        <v>-39.067050000000044</v>
      </c>
      <c r="AN93" s="57">
        <f>+_xlfn.XLOOKUP(TEXT($C93,"@"),'[2]Tabla BG 2'!$C:$C,'[2]Tabla BG 2'!AG:AG,0)+AM93</f>
        <v>-78.134050000000045</v>
      </c>
      <c r="AO93" s="57">
        <f>+_xlfn.XLOOKUP(TEXT($C93,"@"),'[2]Tabla BG 2'!$C:$C,'[2]Tabla BG 2'!AH:AH,0)+AN93</f>
        <v>-117.20110000000003</v>
      </c>
      <c r="AP93" s="57">
        <f>+_xlfn.XLOOKUP(TEXT($C93,"@"),'[2]Tabla BG 2'!$C:$C,'[2]Tabla BG 2'!AI:AI,0)+AO93</f>
        <v>-156.26815000000008</v>
      </c>
      <c r="AQ93" s="57">
        <f>+_xlfn.XLOOKUP(TEXT($C93,"@"),'[2]Tabla BG 2'!$C:$C,'[2]Tabla BG 2'!AJ:AJ,0)+AP93</f>
        <v>-156.26815000000008</v>
      </c>
      <c r="AR93" s="57">
        <f>+_xlfn.XLOOKUP(TEXT($C93,"@"),'[2]Tabla BG 2'!$C:$C,'[2]Tabla BG 2'!AK:AK,0)+AQ93</f>
        <v>-156.26815000000008</v>
      </c>
      <c r="AS93" s="57">
        <f>+_xlfn.XLOOKUP(TEXT($C93,"@"),'[2]Tabla BG 2'!$C:$C,'[2]Tabla BG 2'!AL:AL,0)+AR93</f>
        <v>-156.26815000000008</v>
      </c>
      <c r="AT93" s="57">
        <f>+_xlfn.XLOOKUP(TEXT($C93,"@"),'[2]Tabla BG 2'!$C:$C,'[2]Tabla BG 2'!AM:AM,0)+AS93</f>
        <v>-156.26815000000008</v>
      </c>
      <c r="AU93" s="57">
        <f>+_xlfn.XLOOKUP(TEXT($C93,"@"),'[2]Tabla BG 2'!$C:$C,'[2]Tabla BG 2'!AN:AN,0)+AT93</f>
        <v>-156.26815000000008</v>
      </c>
      <c r="AV93" s="58">
        <f>+_xlfn.XLOOKUP(TEXT($C93,"@"),'[2]Tabla BG 2'!$C:$C,'[2]Tabla BG 2'!AO:AO,0)+AU93</f>
        <v>-156.26815000000008</v>
      </c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5"/>
      <c r="BJ93" s="55"/>
      <c r="BK93" s="55"/>
      <c r="BL93" s="55"/>
      <c r="BM93" s="55"/>
      <c r="BN93" s="55"/>
    </row>
    <row r="94" spans="1:66" x14ac:dyDescent="0.35">
      <c r="A94" s="87">
        <v>2368</v>
      </c>
      <c r="B94" s="2" t="str">
        <f t="shared" si="32"/>
        <v>COC2368</v>
      </c>
      <c r="C94" s="36">
        <v>2368</v>
      </c>
      <c r="D94" s="16" t="s">
        <v>75</v>
      </c>
      <c r="E94" s="49"/>
      <c r="F94" s="50"/>
      <c r="G94" s="50"/>
      <c r="H94" s="50"/>
      <c r="I94" s="50"/>
      <c r="J94" s="50"/>
      <c r="K94" s="50"/>
      <c r="L94" s="32">
        <f>+_xlfn.XLOOKUP(C94,'[1]4'!$C:$C,'[1]4'!$I:$I,0)</f>
        <v>-49.417000000000002</v>
      </c>
      <c r="M94" s="56">
        <f>+_xlfn.XLOOKUP(TEXT($C94,"@"),'[2]Tabla BG 2'!$C:$C,'[2]Tabla BG 2'!E:E,0)+L94</f>
        <v>-1002.89</v>
      </c>
      <c r="N94" s="57">
        <f>+_xlfn.XLOOKUP(TEXT($C94,"@"),'[2]Tabla BG 2'!$C:$C,'[2]Tabla BG 2'!F:F,0)+M94</f>
        <v>-84.257999999999925</v>
      </c>
      <c r="O94" s="57">
        <f>+_xlfn.XLOOKUP(TEXT($C94,"@"),'[2]Tabla BG 2'!$C:$C,'[2]Tabla BG 2'!G:G,0)+N94</f>
        <v>-1088.6279999999997</v>
      </c>
      <c r="P94" s="57">
        <f>+_xlfn.XLOOKUP(TEXT($C94,"@"),'[2]Tabla BG 2'!$C:$C,'[2]Tabla BG 2'!H:H,0)+O94</f>
        <v>-19.422999999999547</v>
      </c>
      <c r="Q94" s="57">
        <f>+_xlfn.XLOOKUP(TEXT($C94,"@"),'[2]Tabla BG 2'!$C:$C,'[2]Tabla BG 2'!I:I,0)+P94</f>
        <v>-1262.3839999999996</v>
      </c>
      <c r="R94" s="57">
        <f>+_xlfn.XLOOKUP(TEXT($C94,"@"),'[2]Tabla BG 2'!$C:$C,'[2]Tabla BG 2'!J:J,0)+Q94</f>
        <v>-64.942999999999302</v>
      </c>
      <c r="S94" s="57">
        <f>+_xlfn.XLOOKUP(TEXT($C94,"@"),'[2]Tabla BG 2'!$C:$C,'[2]Tabla BG 2'!K:K,0)+R94</f>
        <v>-1116.4449999999993</v>
      </c>
      <c r="T94" s="57">
        <f>+_xlfn.XLOOKUP(TEXT($C94,"@"),'[2]Tabla BG 2'!$C:$C,'[2]Tabla BG 2'!L:L,0)+S94</f>
        <v>-92.54599999999914</v>
      </c>
      <c r="U94" s="57">
        <f>+_xlfn.XLOOKUP(TEXT($C94,"@"),'[2]Tabla BG 2'!$C:$C,'[2]Tabla BG 2'!M:M,0)+T94</f>
        <v>-1410.0739999999992</v>
      </c>
      <c r="V94" s="57">
        <f>+_xlfn.XLOOKUP(TEXT($C94,"@"),'[2]Tabla BG 2'!$C:$C,'[2]Tabla BG 2'!N:N,0)+U94</f>
        <v>-66.401999999999362</v>
      </c>
      <c r="W94" s="57">
        <f>+_xlfn.XLOOKUP(TEXT($C94,"@"),'[2]Tabla BG 2'!$C:$C,'[2]Tabla BG 2'!O:O,0)+V94</f>
        <v>-1536.1959999999992</v>
      </c>
      <c r="X94" s="57">
        <f>+_xlfn.XLOOKUP(TEXT($C94,"@"),'[2]Tabla BG 2'!$C:$C,'[2]Tabla BG 2'!P:P,0)+W94</f>
        <v>0</v>
      </c>
      <c r="Y94" s="30">
        <f>+_xlfn.XLOOKUP(TEXT($C94,"@"),'[2]Tabla BG 2'!$C:$C,'[2]Tabla BG 2'!R:R,0)+X94</f>
        <v>-1211.115</v>
      </c>
      <c r="Z94" s="31">
        <f>+_xlfn.XLOOKUP(TEXT($C94,"@"),'[2]Tabla BG 2'!$C:$C,'[2]Tabla BG 2'!S:S,0)+Y94</f>
        <v>115.74400000000014</v>
      </c>
      <c r="AA94" s="31">
        <f>+_xlfn.XLOOKUP(TEXT($C94,"@"),'[2]Tabla BG 2'!$C:$C,'[2]Tabla BG 2'!T:T,0)+Z94</f>
        <v>-1228.8909999999998</v>
      </c>
      <c r="AB94" s="31">
        <f>+_xlfn.XLOOKUP(TEXT($C94,"@"),'[2]Tabla BG 2'!$C:$C,'[2]Tabla BG 2'!U:U,0)+AA94</f>
        <v>-69.323999999999842</v>
      </c>
      <c r="AC94" s="31">
        <f>+_xlfn.XLOOKUP(TEXT($C94,"@"),'[2]Tabla BG 2'!$C:$C,'[2]Tabla BG 2'!V:V,0)+AB94</f>
        <v>-3089.9409999999998</v>
      </c>
      <c r="AD94" s="31">
        <f>+_xlfn.XLOOKUP(TEXT($C94,"@"),'[2]Tabla BG 2'!$C:$C,'[2]Tabla BG 2'!W:W,0)+AC94</f>
        <v>-84.353999999999814</v>
      </c>
      <c r="AE94" s="31">
        <f>+_xlfn.XLOOKUP(TEXT($C94,"@"),'[2]Tabla BG 2'!$C:$C,'[2]Tabla BG 2'!X:X,0)+AD94</f>
        <v>-3764.1012000000001</v>
      </c>
      <c r="AF94" s="31">
        <f>+_xlfn.XLOOKUP(TEXT($C94,"@"),'[2]Tabla BG 2'!$C:$C,'[2]Tabla BG 2'!Y:Y,0)+AE94</f>
        <v>6.9619999999995343</v>
      </c>
      <c r="AG94" s="31">
        <f>+_xlfn.XLOOKUP(TEXT($C94,"@"),'[2]Tabla BG 2'!$C:$C,'[2]Tabla BG 2'!Z:Z,0)+AF94</f>
        <v>-3995.8360000000002</v>
      </c>
      <c r="AH94" s="31">
        <f>+_xlfn.XLOOKUP(TEXT($C94,"@"),'[2]Tabla BG 2'!$C:$C,'[2]Tabla BG 2'!AA:AA,0)+AG94</f>
        <v>31.157999999999447</v>
      </c>
      <c r="AI94" s="31">
        <f>+_xlfn.XLOOKUP(TEXT($C94,"@"),'[2]Tabla BG 2'!$C:$C,'[2]Tabla BG 2'!AB:AB,0)+AH94</f>
        <v>-3340.4553300000007</v>
      </c>
      <c r="AJ94" s="32">
        <f>+_xlfn.XLOOKUP(TEXT($C94,"@"),'[2]Tabla BG 2'!$C:$C,'[2]Tabla BG 2'!AC:AC,0)+AI94</f>
        <v>0</v>
      </c>
      <c r="AK94" s="56">
        <f>+_xlfn.XLOOKUP(TEXT($C94,"@"),'[2]Tabla BG 2'!$C:$C,'[2]Tabla BG 2'!AE:AE,0)+AJ94</f>
        <v>-3419.2017599999999</v>
      </c>
      <c r="AL94" s="57">
        <f>+_xlfn.XLOOKUP(TEXT($C94,"@"),'[2]Tabla BG 2'!$C:$C,'[2]Tabla BG 2'!AF:AF,0)+AK94</f>
        <v>0</v>
      </c>
      <c r="AM94" s="57">
        <f>+_xlfn.XLOOKUP(TEXT($C94,"@"),'[2]Tabla BG 2'!$C:$C,'[2]Tabla BG 2'!AG:AG,0)+AL94</f>
        <v>-4233.7429999999995</v>
      </c>
      <c r="AN94" s="57">
        <f>+_xlfn.XLOOKUP(TEXT($C94,"@"),'[2]Tabla BG 2'!$C:$C,'[2]Tabla BG 2'!AG:AG,0)+AM94</f>
        <v>-8467.485999999999</v>
      </c>
      <c r="AO94" s="57">
        <f>+_xlfn.XLOOKUP(TEXT($C94,"@"),'[2]Tabla BG 2'!$C:$C,'[2]Tabla BG 2'!AH:AH,0)+AN94</f>
        <v>-12701.228999999999</v>
      </c>
      <c r="AP94" s="57">
        <f>+_xlfn.XLOOKUP(TEXT($C94,"@"),'[2]Tabla BG 2'!$C:$C,'[2]Tabla BG 2'!AI:AI,0)+AO94</f>
        <v>-16885.555</v>
      </c>
      <c r="AQ94" s="57">
        <f>+_xlfn.XLOOKUP(TEXT($C94,"@"),'[2]Tabla BG 2'!$C:$C,'[2]Tabla BG 2'!AJ:AJ,0)+AP94</f>
        <v>-16885.555</v>
      </c>
      <c r="AR94" s="57">
        <f>+_xlfn.XLOOKUP(TEXT($C94,"@"),'[2]Tabla BG 2'!$C:$C,'[2]Tabla BG 2'!AK:AK,0)+AQ94</f>
        <v>-16885.555</v>
      </c>
      <c r="AS94" s="57">
        <f>+_xlfn.XLOOKUP(TEXT($C94,"@"),'[2]Tabla BG 2'!$C:$C,'[2]Tabla BG 2'!AL:AL,0)+AR94</f>
        <v>-16885.555</v>
      </c>
      <c r="AT94" s="57">
        <f>+_xlfn.XLOOKUP(TEXT($C94,"@"),'[2]Tabla BG 2'!$C:$C,'[2]Tabla BG 2'!AM:AM,0)+AS94</f>
        <v>-16885.555</v>
      </c>
      <c r="AU94" s="57">
        <f>+_xlfn.XLOOKUP(TEXT($C94,"@"),'[2]Tabla BG 2'!$C:$C,'[2]Tabla BG 2'!AN:AN,0)+AT94</f>
        <v>-16885.555</v>
      </c>
      <c r="AV94" s="58">
        <f>+_xlfn.XLOOKUP(TEXT($C94,"@"),'[2]Tabla BG 2'!$C:$C,'[2]Tabla BG 2'!AO:AO,0)+AU94</f>
        <v>-16885.555</v>
      </c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5"/>
      <c r="BJ94" s="55"/>
      <c r="BK94" s="55"/>
      <c r="BL94" s="55"/>
      <c r="BM94" s="55"/>
      <c r="BN94" s="55"/>
    </row>
    <row r="95" spans="1:66" x14ac:dyDescent="0.35">
      <c r="A95" s="87">
        <v>2370</v>
      </c>
      <c r="B95" s="2" t="str">
        <f t="shared" si="32"/>
        <v>COC2370</v>
      </c>
      <c r="C95" s="36">
        <v>2370</v>
      </c>
      <c r="D95" s="16" t="s">
        <v>76</v>
      </c>
      <c r="E95" s="49"/>
      <c r="F95" s="50"/>
      <c r="G95" s="50"/>
      <c r="H95" s="50"/>
      <c r="I95" s="50"/>
      <c r="J95" s="50"/>
      <c r="K95" s="50"/>
      <c r="L95" s="32">
        <f>+_xlfn.XLOOKUP(C95,'[1]4'!$C:$C,'[1]4'!$I:$I,0)</f>
        <v>-8713.1679999999997</v>
      </c>
      <c r="M95" s="56">
        <f>+_xlfn.XLOOKUP(TEXT($C95,"@"),'[2]Tabla BG 2'!$C:$C,'[2]Tabla BG 2'!E:E,0)+L95</f>
        <v>-8639.268</v>
      </c>
      <c r="N95" s="57">
        <f>+_xlfn.XLOOKUP(TEXT($C95,"@"),'[2]Tabla BG 2'!$C:$C,'[2]Tabla BG 2'!F:F,0)+M95</f>
        <v>-9590.8680000000004</v>
      </c>
      <c r="O95" s="57">
        <f>+_xlfn.XLOOKUP(TEXT($C95,"@"),'[2]Tabla BG 2'!$C:$C,'[2]Tabla BG 2'!G:G,0)+N95</f>
        <v>-10046.068000000001</v>
      </c>
      <c r="P95" s="57">
        <f>+_xlfn.XLOOKUP(TEXT($C95,"@"),'[2]Tabla BG 2'!$C:$C,'[2]Tabla BG 2'!H:H,0)+O95</f>
        <v>-9633.8680000000004</v>
      </c>
      <c r="Q95" s="57">
        <f>+_xlfn.XLOOKUP(TEXT($C95,"@"),'[2]Tabla BG 2'!$C:$C,'[2]Tabla BG 2'!I:I,0)+P95</f>
        <v>-10688.467999999999</v>
      </c>
      <c r="R95" s="57">
        <f>+_xlfn.XLOOKUP(TEXT($C95,"@"),'[2]Tabla BG 2'!$C:$C,'[2]Tabla BG 2'!J:J,0)+Q95</f>
        <v>-11225.168</v>
      </c>
      <c r="S95" s="57">
        <f>+_xlfn.XLOOKUP(TEXT($C95,"@"),'[2]Tabla BG 2'!$C:$C,'[2]Tabla BG 2'!K:K,0)+R95</f>
        <v>-10395.267999999998</v>
      </c>
      <c r="T95" s="57">
        <f>+_xlfn.XLOOKUP(TEXT($C95,"@"),'[2]Tabla BG 2'!$C:$C,'[2]Tabla BG 2'!L:L,0)+S95</f>
        <v>-11195.821999999998</v>
      </c>
      <c r="U95" s="57">
        <f>+_xlfn.XLOOKUP(TEXT($C95,"@"),'[2]Tabla BG 2'!$C:$C,'[2]Tabla BG 2'!M:M,0)+T95</f>
        <v>-11041.099999999999</v>
      </c>
      <c r="V95" s="57">
        <f>+_xlfn.XLOOKUP(TEXT($C95,"@"),'[2]Tabla BG 2'!$C:$C,'[2]Tabla BG 2'!N:N,0)+U95</f>
        <v>-10239.199999999999</v>
      </c>
      <c r="W95" s="57">
        <f>+_xlfn.XLOOKUP(TEXT($C95,"@"),'[2]Tabla BG 2'!$C:$C,'[2]Tabla BG 2'!O:O,0)+V95</f>
        <v>-10579.199999999999</v>
      </c>
      <c r="X95" s="57">
        <f>+_xlfn.XLOOKUP(TEXT($C95,"@"),'[2]Tabla BG 2'!$C:$C,'[2]Tabla BG 2'!P:P,0)+W95</f>
        <v>-10457.299999999997</v>
      </c>
      <c r="Y95" s="30">
        <f>+_xlfn.XLOOKUP(TEXT($C95,"@"),'[2]Tabla BG 2'!$C:$C,'[2]Tabla BG 2'!R:R,0)+X95</f>
        <v>-9912.3999999999978</v>
      </c>
      <c r="Z95" s="31">
        <f>+_xlfn.XLOOKUP(TEXT($C95,"@"),'[2]Tabla BG 2'!$C:$C,'[2]Tabla BG 2'!S:S,0)+Y95</f>
        <v>-12018.199999999997</v>
      </c>
      <c r="AA95" s="31">
        <f>+_xlfn.XLOOKUP(TEXT($C95,"@"),'[2]Tabla BG 2'!$C:$C,'[2]Tabla BG 2'!T:T,0)+Z95</f>
        <v>-11398.699999999995</v>
      </c>
      <c r="AB95" s="31">
        <f>+_xlfn.XLOOKUP(TEXT($C95,"@"),'[2]Tabla BG 2'!$C:$C,'[2]Tabla BG 2'!U:U,0)+AA95</f>
        <v>-11008.899999999996</v>
      </c>
      <c r="AC95" s="31">
        <f>+_xlfn.XLOOKUP(TEXT($C95,"@"),'[2]Tabla BG 2'!$C:$C,'[2]Tabla BG 2'!V:V,0)+AB95</f>
        <v>-11235.299999999996</v>
      </c>
      <c r="AD95" s="31">
        <f>+_xlfn.XLOOKUP(TEXT($C95,"@"),'[2]Tabla BG 2'!$C:$C,'[2]Tabla BG 2'!W:W,0)+AC95</f>
        <v>-10552.999999999995</v>
      </c>
      <c r="AE95" s="31">
        <f>+_xlfn.XLOOKUP(TEXT($C95,"@"),'[2]Tabla BG 2'!$C:$C,'[2]Tabla BG 2'!X:X,0)+AD95</f>
        <v>-9605.1999999999953</v>
      </c>
      <c r="AF95" s="31">
        <f>+_xlfn.XLOOKUP(TEXT($C95,"@"),'[2]Tabla BG 2'!$C:$C,'[2]Tabla BG 2'!Y:Y,0)+AE95</f>
        <v>-10006.099999999995</v>
      </c>
      <c r="AG95" s="31">
        <f>+_xlfn.XLOOKUP(TEXT($C95,"@"),'[2]Tabla BG 2'!$C:$C,'[2]Tabla BG 2'!Z:Z,0)+AF95</f>
        <v>-8960.399999999996</v>
      </c>
      <c r="AH95" s="31">
        <f>+_xlfn.XLOOKUP(TEXT($C95,"@"),'[2]Tabla BG 2'!$C:$C,'[2]Tabla BG 2'!AA:AA,0)+AG95</f>
        <v>-8666.2999999999956</v>
      </c>
      <c r="AI95" s="31">
        <f>+_xlfn.XLOOKUP(TEXT($C95,"@"),'[2]Tabla BG 2'!$C:$C,'[2]Tabla BG 2'!AB:AB,0)+AH95</f>
        <v>-8971.6999999999953</v>
      </c>
      <c r="AJ95" s="32">
        <f>+_xlfn.XLOOKUP(TEXT($C95,"@"),'[2]Tabla BG 2'!$C:$C,'[2]Tabla BG 2'!AC:AC,0)+AI95</f>
        <v>-8277.7999999999956</v>
      </c>
      <c r="AK95" s="56">
        <f>+_xlfn.XLOOKUP(TEXT($C95,"@"),'[2]Tabla BG 2'!$C:$C,'[2]Tabla BG 2'!AE:AE,0)+AJ95</f>
        <v>-7698.399999999996</v>
      </c>
      <c r="AL95" s="57">
        <f>+_xlfn.XLOOKUP(TEXT($C95,"@"),'[2]Tabla BG 2'!$C:$C,'[2]Tabla BG 2'!AF:AF,0)+AK95</f>
        <v>-8622.0999999999967</v>
      </c>
      <c r="AM95" s="57">
        <f>+_xlfn.XLOOKUP(TEXT($C95,"@"),'[2]Tabla BG 2'!$C:$C,'[2]Tabla BG 2'!AG:AG,0)+AL95</f>
        <v>-9041.7999999999956</v>
      </c>
      <c r="AN95" s="57">
        <f>+_xlfn.XLOOKUP(TEXT($C95,"@"),'[2]Tabla BG 2'!$C:$C,'[2]Tabla BG 2'!AG:AG,0)+AM95</f>
        <v>-9461.4999999999945</v>
      </c>
      <c r="AO95" s="57">
        <f>+_xlfn.XLOOKUP(TEXT($C95,"@"),'[2]Tabla BG 2'!$C:$C,'[2]Tabla BG 2'!AH:AH,0)+AN95</f>
        <v>-10225.499999999995</v>
      </c>
      <c r="AP95" s="57">
        <f>+_xlfn.XLOOKUP(TEXT($C95,"@"),'[2]Tabla BG 2'!$C:$C,'[2]Tabla BG 2'!AI:AI,0)+AO95</f>
        <v>-10554.131999999991</v>
      </c>
      <c r="AQ95" s="57">
        <f>+_xlfn.XLOOKUP(TEXT($C95,"@"),'[2]Tabla BG 2'!$C:$C,'[2]Tabla BG 2'!AJ:AJ,0)+AP95</f>
        <v>-10554.131999999991</v>
      </c>
      <c r="AR95" s="57">
        <f>+_xlfn.XLOOKUP(TEXT($C95,"@"),'[2]Tabla BG 2'!$C:$C,'[2]Tabla BG 2'!AK:AK,0)+AQ95</f>
        <v>-10554.131999999991</v>
      </c>
      <c r="AS95" s="57">
        <f>+_xlfn.XLOOKUP(TEXT($C95,"@"),'[2]Tabla BG 2'!$C:$C,'[2]Tabla BG 2'!AL:AL,0)+AR95</f>
        <v>-10554.131999999991</v>
      </c>
      <c r="AT95" s="57">
        <f>+_xlfn.XLOOKUP(TEXT($C95,"@"),'[2]Tabla BG 2'!$C:$C,'[2]Tabla BG 2'!AM:AM,0)+AS95</f>
        <v>-10554.131999999991</v>
      </c>
      <c r="AU95" s="57">
        <f>+_xlfn.XLOOKUP(TEXT($C95,"@"),'[2]Tabla BG 2'!$C:$C,'[2]Tabla BG 2'!AN:AN,0)+AT95</f>
        <v>-10554.131999999991</v>
      </c>
      <c r="AV95" s="58">
        <f>+_xlfn.XLOOKUP(TEXT($C95,"@"),'[2]Tabla BG 2'!$C:$C,'[2]Tabla BG 2'!AO:AO,0)+AU95</f>
        <v>-10554.131999999991</v>
      </c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5"/>
      <c r="BJ95" s="55"/>
      <c r="BK95" s="55"/>
      <c r="BL95" s="55"/>
      <c r="BM95" s="55"/>
      <c r="BN95" s="55"/>
    </row>
    <row r="96" spans="1:66" x14ac:dyDescent="0.35">
      <c r="A96" s="87">
        <v>2380</v>
      </c>
      <c r="B96" s="2" t="str">
        <f t="shared" si="32"/>
        <v>COC2380</v>
      </c>
      <c r="C96" s="36">
        <v>2380</v>
      </c>
      <c r="D96" s="16" t="s">
        <v>77</v>
      </c>
      <c r="E96" s="49"/>
      <c r="F96" s="50"/>
      <c r="G96" s="50"/>
      <c r="H96" s="50"/>
      <c r="I96" s="50"/>
      <c r="J96" s="50"/>
      <c r="K96" s="50"/>
      <c r="L96" s="32">
        <f>+_xlfn.XLOOKUP(C96,'[1]4'!$C:$C,'[1]4'!$I:$I,0)</f>
        <v>0</v>
      </c>
      <c r="M96" s="56">
        <f>+_xlfn.XLOOKUP(TEXT($C96,"@"),'[2]Tabla BG 2'!$C:$C,'[2]Tabla BG 2'!E:E,0)+L96</f>
        <v>0</v>
      </c>
      <c r="N96" s="57">
        <f>+_xlfn.XLOOKUP(TEXT($C96,"@"),'[2]Tabla BG 2'!$C:$C,'[2]Tabla BG 2'!F:F,0)+M96</f>
        <v>0</v>
      </c>
      <c r="O96" s="57">
        <f>+_xlfn.XLOOKUP(TEXT($C96,"@"),'[2]Tabla BG 2'!$C:$C,'[2]Tabla BG 2'!G:G,0)+N96</f>
        <v>0</v>
      </c>
      <c r="P96" s="57">
        <f>+_xlfn.XLOOKUP(TEXT($C96,"@"),'[2]Tabla BG 2'!$C:$C,'[2]Tabla BG 2'!H:H,0)+O96</f>
        <v>0</v>
      </c>
      <c r="Q96" s="57">
        <f>+_xlfn.XLOOKUP(TEXT($C96,"@"),'[2]Tabla BG 2'!$C:$C,'[2]Tabla BG 2'!I:I,0)+P96</f>
        <v>0</v>
      </c>
      <c r="R96" s="57">
        <f>+_xlfn.XLOOKUP(TEXT($C96,"@"),'[2]Tabla BG 2'!$C:$C,'[2]Tabla BG 2'!J:J,0)+Q96</f>
        <v>0</v>
      </c>
      <c r="S96" s="57">
        <f>+_xlfn.XLOOKUP(TEXT($C96,"@"),'[2]Tabla BG 2'!$C:$C,'[2]Tabla BG 2'!K:K,0)+R96</f>
        <v>0</v>
      </c>
      <c r="T96" s="57">
        <f>+_xlfn.XLOOKUP(TEXT($C96,"@"),'[2]Tabla BG 2'!$C:$C,'[2]Tabla BG 2'!L:L,0)+S96</f>
        <v>0</v>
      </c>
      <c r="U96" s="57">
        <f>+_xlfn.XLOOKUP(TEXT($C96,"@"),'[2]Tabla BG 2'!$C:$C,'[2]Tabla BG 2'!M:M,0)+T96</f>
        <v>0</v>
      </c>
      <c r="V96" s="57">
        <f>+_xlfn.XLOOKUP(TEXT($C96,"@"),'[2]Tabla BG 2'!$C:$C,'[2]Tabla BG 2'!N:N,0)+U96</f>
        <v>0</v>
      </c>
      <c r="W96" s="57">
        <f>+_xlfn.XLOOKUP(TEXT($C96,"@"),'[2]Tabla BG 2'!$C:$C,'[2]Tabla BG 2'!O:O,0)+V96</f>
        <v>0</v>
      </c>
      <c r="X96" s="57">
        <f>+_xlfn.XLOOKUP(TEXT($C96,"@"),'[2]Tabla BG 2'!$C:$C,'[2]Tabla BG 2'!P:P,0)+W96</f>
        <v>0</v>
      </c>
      <c r="Y96" s="30">
        <f>+_xlfn.XLOOKUP(TEXT($C96,"@"),'[2]Tabla BG 2'!$C:$C,'[2]Tabla BG 2'!R:R,0)+X96</f>
        <v>0</v>
      </c>
      <c r="Z96" s="31">
        <f>+_xlfn.XLOOKUP(TEXT($C96,"@"),'[2]Tabla BG 2'!$C:$C,'[2]Tabla BG 2'!S:S,0)+Y96</f>
        <v>0</v>
      </c>
      <c r="AA96" s="31">
        <f>+_xlfn.XLOOKUP(TEXT($C96,"@"),'[2]Tabla BG 2'!$C:$C,'[2]Tabla BG 2'!T:T,0)+Z96</f>
        <v>0</v>
      </c>
      <c r="AB96" s="31">
        <f>+_xlfn.XLOOKUP(TEXT($C96,"@"),'[2]Tabla BG 2'!$C:$C,'[2]Tabla BG 2'!U:U,0)+AA96</f>
        <v>0</v>
      </c>
      <c r="AC96" s="31">
        <f>+_xlfn.XLOOKUP(TEXT($C96,"@"),'[2]Tabla BG 2'!$C:$C,'[2]Tabla BG 2'!V:V,0)+AB96</f>
        <v>0</v>
      </c>
      <c r="AD96" s="31">
        <f>+_xlfn.XLOOKUP(TEXT($C96,"@"),'[2]Tabla BG 2'!$C:$C,'[2]Tabla BG 2'!W:W,0)+AC96</f>
        <v>0</v>
      </c>
      <c r="AE96" s="31">
        <f>+_xlfn.XLOOKUP(TEXT($C96,"@"),'[2]Tabla BG 2'!$C:$C,'[2]Tabla BG 2'!X:X,0)+AD96</f>
        <v>0</v>
      </c>
      <c r="AF96" s="31">
        <f>+_xlfn.XLOOKUP(TEXT($C96,"@"),'[2]Tabla BG 2'!$C:$C,'[2]Tabla BG 2'!Y:Y,0)+AE96</f>
        <v>0</v>
      </c>
      <c r="AG96" s="31">
        <f>+_xlfn.XLOOKUP(TEXT($C96,"@"),'[2]Tabla BG 2'!$C:$C,'[2]Tabla BG 2'!Z:Z,0)+AF96</f>
        <v>0</v>
      </c>
      <c r="AH96" s="31">
        <f>+_xlfn.XLOOKUP(TEXT($C96,"@"),'[2]Tabla BG 2'!$C:$C,'[2]Tabla BG 2'!AA:AA,0)+AG96</f>
        <v>0.1000000000003638</v>
      </c>
      <c r="AI96" s="31">
        <f>+_xlfn.XLOOKUP(TEXT($C96,"@"),'[2]Tabla BG 2'!$C:$C,'[2]Tabla BG 2'!AB:AB,0)+AH96</f>
        <v>9.0949470177292824E-13</v>
      </c>
      <c r="AJ96" s="32">
        <f>+_xlfn.XLOOKUP(TEXT($C96,"@"),'[2]Tabla BG 2'!$C:$C,'[2]Tabla BG 2'!AC:AC,0)+AI96</f>
        <v>9.0949470177292824E-13</v>
      </c>
      <c r="AK96" s="56">
        <f>+_xlfn.XLOOKUP(TEXT($C96,"@"),'[2]Tabla BG 2'!$C:$C,'[2]Tabla BG 2'!AE:AE,0)+AJ96</f>
        <v>9.0949470177292824E-13</v>
      </c>
      <c r="AL96" s="57">
        <f>+_xlfn.XLOOKUP(TEXT($C96,"@"),'[2]Tabla BG 2'!$C:$C,'[2]Tabla BG 2'!AF:AF,0)+AK96</f>
        <v>9.0949470177292824E-13</v>
      </c>
      <c r="AM96" s="57">
        <f>+_xlfn.XLOOKUP(TEXT($C96,"@"),'[2]Tabla BG 2'!$C:$C,'[2]Tabla BG 2'!AG:AG,0)+AL96</f>
        <v>9.0949470177292824E-13</v>
      </c>
      <c r="AN96" s="57">
        <f>+_xlfn.XLOOKUP(TEXT($C96,"@"),'[2]Tabla BG 2'!$C:$C,'[2]Tabla BG 2'!AG:AG,0)+AM96</f>
        <v>9.0949470177292824E-13</v>
      </c>
      <c r="AO96" s="57">
        <f>+_xlfn.XLOOKUP(TEXT($C96,"@"),'[2]Tabla BG 2'!$C:$C,'[2]Tabla BG 2'!AH:AH,0)+AN96</f>
        <v>9.0949470177292824E-13</v>
      </c>
      <c r="AP96" s="57">
        <f>+_xlfn.XLOOKUP(TEXT($C96,"@"),'[2]Tabla BG 2'!$C:$C,'[2]Tabla BG 2'!AI:AI,0)+AO96</f>
        <v>1.8189894035458565E-12</v>
      </c>
      <c r="AQ96" s="57">
        <f>+_xlfn.XLOOKUP(TEXT($C96,"@"),'[2]Tabla BG 2'!$C:$C,'[2]Tabla BG 2'!AJ:AJ,0)+AP96</f>
        <v>1.8189894035458565E-12</v>
      </c>
      <c r="AR96" s="57">
        <f>+_xlfn.XLOOKUP(TEXT($C96,"@"),'[2]Tabla BG 2'!$C:$C,'[2]Tabla BG 2'!AK:AK,0)+AQ96</f>
        <v>1.8189894035458565E-12</v>
      </c>
      <c r="AS96" s="57">
        <f>+_xlfn.XLOOKUP(TEXT($C96,"@"),'[2]Tabla BG 2'!$C:$C,'[2]Tabla BG 2'!AL:AL,0)+AR96</f>
        <v>1.8189894035458565E-12</v>
      </c>
      <c r="AT96" s="57">
        <f>+_xlfn.XLOOKUP(TEXT($C96,"@"),'[2]Tabla BG 2'!$C:$C,'[2]Tabla BG 2'!AM:AM,0)+AS96</f>
        <v>1.8189894035458565E-12</v>
      </c>
      <c r="AU96" s="57">
        <f>+_xlfn.XLOOKUP(TEXT($C96,"@"),'[2]Tabla BG 2'!$C:$C,'[2]Tabla BG 2'!AN:AN,0)+AT96</f>
        <v>1.8189894035458565E-12</v>
      </c>
      <c r="AV96" s="58">
        <f>+_xlfn.XLOOKUP(TEXT($C96,"@"),'[2]Tabla BG 2'!$C:$C,'[2]Tabla BG 2'!AO:AO,0)+AU96</f>
        <v>1.8189894035458565E-12</v>
      </c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5"/>
      <c r="BJ96" s="55"/>
      <c r="BK96" s="55"/>
      <c r="BL96" s="55"/>
      <c r="BM96" s="55"/>
      <c r="BN96" s="55"/>
    </row>
    <row r="97" spans="1:66" x14ac:dyDescent="0.35">
      <c r="A97" s="87">
        <v>2404</v>
      </c>
      <c r="B97" s="2" t="str">
        <f t="shared" si="32"/>
        <v>COC2404</v>
      </c>
      <c r="C97" s="36">
        <v>2404</v>
      </c>
      <c r="D97" s="16" t="s">
        <v>78</v>
      </c>
      <c r="E97" s="49"/>
      <c r="F97" s="50"/>
      <c r="G97" s="50"/>
      <c r="H97" s="50"/>
      <c r="I97" s="50"/>
      <c r="J97" s="50"/>
      <c r="K97" s="50"/>
      <c r="L97" s="32">
        <f>+_xlfn.XLOOKUP(C97,'[1]4'!$C:$C,'[1]4'!$I:$I,0)</f>
        <v>-162717.37513</v>
      </c>
      <c r="M97" s="56">
        <f>+_xlfn.XLOOKUP(TEXT($C97,"@"),'[2]Tabla BG 2'!$C:$C,'[2]Tabla BG 2'!E:E,0)+L97</f>
        <v>-162717.37513</v>
      </c>
      <c r="N97" s="57">
        <f>+_xlfn.XLOOKUP(TEXT($C97,"@"),'[2]Tabla BG 2'!$C:$C,'[2]Tabla BG 2'!F:F,0)+M97</f>
        <v>-162717.37513</v>
      </c>
      <c r="O97" s="57">
        <f>+_xlfn.XLOOKUP(TEXT($C97,"@"),'[2]Tabla BG 2'!$C:$C,'[2]Tabla BG 2'!G:G,0)+N97</f>
        <v>-162717.37513</v>
      </c>
      <c r="P97" s="57">
        <f>+_xlfn.XLOOKUP(TEXT($C97,"@"),'[2]Tabla BG 2'!$C:$C,'[2]Tabla BG 2'!H:H,0)+O97</f>
        <v>-162717.37513</v>
      </c>
      <c r="Q97" s="57">
        <f>+_xlfn.XLOOKUP(TEXT($C97,"@"),'[2]Tabla BG 2'!$C:$C,'[2]Tabla BG 2'!I:I,0)+P97</f>
        <v>-81358.37513</v>
      </c>
      <c r="R97" s="57">
        <f>+_xlfn.XLOOKUP(TEXT($C97,"@"),'[2]Tabla BG 2'!$C:$C,'[2]Tabla BG 2'!J:J,0)+Q97</f>
        <v>-81358.37513</v>
      </c>
      <c r="S97" s="57">
        <f>+_xlfn.XLOOKUP(TEXT($C97,"@"),'[2]Tabla BG 2'!$C:$C,'[2]Tabla BG 2'!K:K,0)+R97</f>
        <v>-0.3751300000003539</v>
      </c>
      <c r="T97" s="57">
        <f>+_xlfn.XLOOKUP(TEXT($C97,"@"),'[2]Tabla BG 2'!$C:$C,'[2]Tabla BG 2'!L:L,0)+S97</f>
        <v>-0.3751300000003539</v>
      </c>
      <c r="U97" s="57">
        <f>+_xlfn.XLOOKUP(TEXT($C97,"@"),'[2]Tabla BG 2'!$C:$C,'[2]Tabla BG 2'!M:M,0)+T97</f>
        <v>-0.3751300000003539</v>
      </c>
      <c r="V97" s="57">
        <f>+_xlfn.XLOOKUP(TEXT($C97,"@"),'[2]Tabla BG 2'!$C:$C,'[2]Tabla BG 2'!N:N,0)+U97</f>
        <v>-0.3751300000003539</v>
      </c>
      <c r="W97" s="57">
        <f>+_xlfn.XLOOKUP(TEXT($C97,"@"),'[2]Tabla BG 2'!$C:$C,'[2]Tabla BG 2'!O:O,0)+V97</f>
        <v>-0.3751300000003539</v>
      </c>
      <c r="X97" s="57">
        <f>+_xlfn.XLOOKUP(TEXT($C97,"@"),'[2]Tabla BG 2'!$C:$C,'[2]Tabla BG 2'!P:P,0)+W97</f>
        <v>-192606.81612999999</v>
      </c>
      <c r="Y97" s="30">
        <f>+_xlfn.XLOOKUP(TEXT($C97,"@"),'[2]Tabla BG 2'!$C:$C,'[2]Tabla BG 2'!R:R,0)+X97</f>
        <v>-192606.81612999999</v>
      </c>
      <c r="Z97" s="31">
        <f>+_xlfn.XLOOKUP(TEXT($C97,"@"),'[2]Tabla BG 2'!$C:$C,'[2]Tabla BG 2'!S:S,0)+Y97</f>
        <v>-192606.81612999999</v>
      </c>
      <c r="AA97" s="31">
        <f>+_xlfn.XLOOKUP(TEXT($C97,"@"),'[2]Tabla BG 2'!$C:$C,'[2]Tabla BG 2'!T:T,0)+Z97</f>
        <v>-192606.81612999999</v>
      </c>
      <c r="AB97" s="31">
        <f>+_xlfn.XLOOKUP(TEXT($C97,"@"),'[2]Tabla BG 2'!$C:$C,'[2]Tabla BG 2'!U:U,0)+AA97</f>
        <v>-192606.81612999999</v>
      </c>
      <c r="AC97" s="31">
        <f>+_xlfn.XLOOKUP(TEXT($C97,"@"),'[2]Tabla BG 2'!$C:$C,'[2]Tabla BG 2'!V:V,0)+AB97</f>
        <v>-96303.816129999992</v>
      </c>
      <c r="AD97" s="31">
        <f>+_xlfn.XLOOKUP(TEXT($C97,"@"),'[2]Tabla BG 2'!$C:$C,'[2]Tabla BG 2'!W:W,0)+AC97</f>
        <v>-96303.816129999992</v>
      </c>
      <c r="AE97" s="31">
        <f>+_xlfn.XLOOKUP(TEXT($C97,"@"),'[2]Tabla BG 2'!$C:$C,'[2]Tabla BG 2'!X:X,0)+AD97</f>
        <v>-0.816129999991972</v>
      </c>
      <c r="AF97" s="31">
        <f>+_xlfn.XLOOKUP(TEXT($C97,"@"),'[2]Tabla BG 2'!$C:$C,'[2]Tabla BG 2'!Y:Y,0)+AE97</f>
        <v>-0.816129999991972</v>
      </c>
      <c r="AG97" s="31">
        <f>+_xlfn.XLOOKUP(TEXT($C97,"@"),'[2]Tabla BG 2'!$C:$C,'[2]Tabla BG 2'!Z:Z,0)+AF97</f>
        <v>-0.816129999991972</v>
      </c>
      <c r="AH97" s="31">
        <f>+_xlfn.XLOOKUP(TEXT($C97,"@"),'[2]Tabla BG 2'!$C:$C,'[2]Tabla BG 2'!AA:AA,0)+AG97</f>
        <v>-0.816129999991972</v>
      </c>
      <c r="AI97" s="31">
        <f>+_xlfn.XLOOKUP(TEXT($C97,"@"),'[2]Tabla BG 2'!$C:$C,'[2]Tabla BG 2'!AB:AB,0)+AH97</f>
        <v>-0.816129999991972</v>
      </c>
      <c r="AJ97" s="32">
        <f>+_xlfn.XLOOKUP(TEXT($C97,"@"),'[2]Tabla BG 2'!$C:$C,'[2]Tabla BG 2'!AC:AC,0)+AI97</f>
        <v>-204600.51946000001</v>
      </c>
      <c r="AK97" s="56">
        <f>+_xlfn.XLOOKUP(TEXT($C97,"@"),'[2]Tabla BG 2'!$C:$C,'[2]Tabla BG 2'!AE:AE,0)+AJ97</f>
        <v>-204600.51946000001</v>
      </c>
      <c r="AL97" s="57">
        <f>+_xlfn.XLOOKUP(TEXT($C97,"@"),'[2]Tabla BG 2'!$C:$C,'[2]Tabla BG 2'!AF:AF,0)+AK97</f>
        <v>-204600.51946000001</v>
      </c>
      <c r="AM97" s="57">
        <f>+_xlfn.XLOOKUP(TEXT($C97,"@"),'[2]Tabla BG 2'!$C:$C,'[2]Tabla BG 2'!AG:AG,0)+AL97</f>
        <v>-204600.51946000001</v>
      </c>
      <c r="AN97" s="57">
        <f>+_xlfn.XLOOKUP(TEXT($C97,"@"),'[2]Tabla BG 2'!$C:$C,'[2]Tabla BG 2'!AG:AG,0)+AM97</f>
        <v>-204600.51946000001</v>
      </c>
      <c r="AO97" s="57">
        <f>+_xlfn.XLOOKUP(TEXT($C97,"@"),'[2]Tabla BG 2'!$C:$C,'[2]Tabla BG 2'!AH:AH,0)+AN97</f>
        <v>-204600.51946000001</v>
      </c>
      <c r="AP97" s="57">
        <f>+_xlfn.XLOOKUP(TEXT($C97,"@"),'[2]Tabla BG 2'!$C:$C,'[2]Tabla BG 2'!AI:AI,0)+AO97</f>
        <v>-246483.66379000002</v>
      </c>
      <c r="AQ97" s="57">
        <f>+_xlfn.XLOOKUP(TEXT($C97,"@"),'[2]Tabla BG 2'!$C:$C,'[2]Tabla BG 2'!AJ:AJ,0)+AP97</f>
        <v>-246483.66379000002</v>
      </c>
      <c r="AR97" s="57">
        <f>+_xlfn.XLOOKUP(TEXT($C97,"@"),'[2]Tabla BG 2'!$C:$C,'[2]Tabla BG 2'!AK:AK,0)+AQ97</f>
        <v>-246483.66379000002</v>
      </c>
      <c r="AS97" s="57">
        <f>+_xlfn.XLOOKUP(TEXT($C97,"@"),'[2]Tabla BG 2'!$C:$C,'[2]Tabla BG 2'!AL:AL,0)+AR97</f>
        <v>-246483.66379000002</v>
      </c>
      <c r="AT97" s="57">
        <f>+_xlfn.XLOOKUP(TEXT($C97,"@"),'[2]Tabla BG 2'!$C:$C,'[2]Tabla BG 2'!AM:AM,0)+AS97</f>
        <v>-246483.66379000002</v>
      </c>
      <c r="AU97" s="57">
        <f>+_xlfn.XLOOKUP(TEXT($C97,"@"),'[2]Tabla BG 2'!$C:$C,'[2]Tabla BG 2'!AN:AN,0)+AT97</f>
        <v>-246483.66379000002</v>
      </c>
      <c r="AV97" s="58">
        <f>+_xlfn.XLOOKUP(TEXT($C97,"@"),'[2]Tabla BG 2'!$C:$C,'[2]Tabla BG 2'!AO:AO,0)+AU97</f>
        <v>-246483.66379000002</v>
      </c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5"/>
      <c r="BJ97" s="55"/>
      <c r="BK97" s="55"/>
      <c r="BL97" s="55"/>
      <c r="BM97" s="55"/>
      <c r="BN97" s="55"/>
    </row>
    <row r="98" spans="1:66" x14ac:dyDescent="0.35">
      <c r="A98">
        <v>2408</v>
      </c>
      <c r="B98" s="2" t="str">
        <f t="shared" si="32"/>
        <v>COC2412</v>
      </c>
      <c r="C98" s="36">
        <v>2412</v>
      </c>
      <c r="D98" s="16" t="s">
        <v>79</v>
      </c>
      <c r="E98" s="49"/>
      <c r="F98" s="50"/>
      <c r="G98" s="50"/>
      <c r="H98" s="50"/>
      <c r="I98" s="50"/>
      <c r="J98" s="50"/>
      <c r="K98" s="50"/>
      <c r="L98" s="32">
        <f>+_xlfn.XLOOKUP(C98,'[1]4'!$C:$C,'[1]4'!$I:$I,0)</f>
        <v>-12669</v>
      </c>
      <c r="M98" s="56">
        <f>+_xlfn.XLOOKUP(TEXT($C98,"@"),'[2]Tabla BG 2'!$C:$C,'[2]Tabla BG 2'!E:E,0)+L98</f>
        <v>-661</v>
      </c>
      <c r="N98" s="57">
        <f>+_xlfn.XLOOKUP(TEXT($C98,"@"),'[2]Tabla BG 2'!$C:$C,'[2]Tabla BG 2'!F:F,0)+M98</f>
        <v>-16604</v>
      </c>
      <c r="O98" s="57">
        <f>+_xlfn.XLOOKUP(TEXT($C98,"@"),'[2]Tabla BG 2'!$C:$C,'[2]Tabla BG 2'!G:G,0)+N98</f>
        <v>-660</v>
      </c>
      <c r="P98" s="57">
        <f>+_xlfn.XLOOKUP(TEXT($C98,"@"),'[2]Tabla BG 2'!$C:$C,'[2]Tabla BG 2'!H:H,0)+O98</f>
        <v>-15983</v>
      </c>
      <c r="Q98" s="57">
        <f>+_xlfn.XLOOKUP(TEXT($C98,"@"),'[2]Tabla BG 2'!$C:$C,'[2]Tabla BG 2'!I:I,0)+P98</f>
        <v>-660</v>
      </c>
      <c r="R98" s="57">
        <f>+_xlfn.XLOOKUP(TEXT($C98,"@"),'[2]Tabla BG 2'!$C:$C,'[2]Tabla BG 2'!J:J,0)+Q98</f>
        <v>-15205</v>
      </c>
      <c r="S98" s="57">
        <f>+_xlfn.XLOOKUP(TEXT($C98,"@"),'[2]Tabla BG 2'!$C:$C,'[2]Tabla BG 2'!K:K,0)+R98</f>
        <v>-660</v>
      </c>
      <c r="T98" s="57">
        <f>+_xlfn.XLOOKUP(TEXT($C98,"@"),'[2]Tabla BG 2'!$C:$C,'[2]Tabla BG 2'!L:L,0)+S98</f>
        <v>-20427</v>
      </c>
      <c r="U98" s="57">
        <f>+_xlfn.XLOOKUP(TEXT($C98,"@"),'[2]Tabla BG 2'!$C:$C,'[2]Tabla BG 2'!M:M,0)+T98</f>
        <v>-660</v>
      </c>
      <c r="V98" s="57">
        <f>+_xlfn.XLOOKUP(TEXT($C98,"@"),'[2]Tabla BG 2'!$C:$C,'[2]Tabla BG 2'!N:N,0)+U98</f>
        <v>-20430</v>
      </c>
      <c r="W98" s="57">
        <f>+_xlfn.XLOOKUP(TEXT($C98,"@"),'[2]Tabla BG 2'!$C:$C,'[2]Tabla BG 2'!O:O,0)+V98</f>
        <v>-661</v>
      </c>
      <c r="X98" s="57">
        <f>+_xlfn.XLOOKUP(TEXT($C98,"@"),'[2]Tabla BG 2'!$C:$C,'[2]Tabla BG 2'!P:P,0)+W98</f>
        <v>-24284.431</v>
      </c>
      <c r="Y98" s="30">
        <f>+_xlfn.XLOOKUP(TEXT($C98,"@"),'[2]Tabla BG 2'!$C:$C,'[2]Tabla BG 2'!R:R,0)+X98</f>
        <v>-3124.9200000000019</v>
      </c>
      <c r="Z98" s="31">
        <f>+_xlfn.XLOOKUP(TEXT($C98,"@"),'[2]Tabla BG 2'!$C:$C,'[2]Tabla BG 2'!S:S,0)+Y98</f>
        <v>-18334.431</v>
      </c>
      <c r="AA98" s="31">
        <f>+_xlfn.XLOOKUP(TEXT($C98,"@"),'[2]Tabla BG 2'!$C:$C,'[2]Tabla BG 2'!T:T,0)+Z98</f>
        <v>-2467.8040000000001</v>
      </c>
      <c r="AB98" s="31">
        <f>+_xlfn.XLOOKUP(TEXT($C98,"@"),'[2]Tabla BG 2'!$C:$C,'[2]Tabla BG 2'!U:U,0)+AA98</f>
        <v>-19138.431</v>
      </c>
      <c r="AC98" s="31">
        <f>+_xlfn.XLOOKUP(TEXT($C98,"@"),'[2]Tabla BG 2'!$C:$C,'[2]Tabla BG 2'!V:V,0)+AB98</f>
        <v>-1556.4310000000005</v>
      </c>
      <c r="AD98" s="31">
        <f>+_xlfn.XLOOKUP(TEXT($C98,"@"),'[2]Tabla BG 2'!$C:$C,'[2]Tabla BG 2'!W:W,0)+AC98</f>
        <v>-22958.431</v>
      </c>
      <c r="AE98" s="31">
        <f>+_xlfn.XLOOKUP(TEXT($C98,"@"),'[2]Tabla BG 2'!$C:$C,'[2]Tabla BG 2'!X:X,0)+AD98</f>
        <v>-1945.4310000000005</v>
      </c>
      <c r="AF98" s="31">
        <f>+_xlfn.XLOOKUP(TEXT($C98,"@"),'[2]Tabla BG 2'!$C:$C,'[2]Tabla BG 2'!Y:Y,0)+AE98</f>
        <v>-26268.431</v>
      </c>
      <c r="AG98" s="31">
        <f>+_xlfn.XLOOKUP(TEXT($C98,"@"),'[2]Tabla BG 2'!$C:$C,'[2]Tabla BG 2'!Z:Z,0)+AF98</f>
        <v>-5099.4310000000005</v>
      </c>
      <c r="AH98" s="31">
        <f>+_xlfn.XLOOKUP(TEXT($C98,"@"),'[2]Tabla BG 2'!$C:$C,'[2]Tabla BG 2'!AA:AA,0)+AG98</f>
        <v>-23413.431</v>
      </c>
      <c r="AI98" s="31">
        <f>+_xlfn.XLOOKUP(TEXT($C98,"@"),'[2]Tabla BG 2'!$C:$C,'[2]Tabla BG 2'!AB:AB,0)+AH98</f>
        <v>-580</v>
      </c>
      <c r="AJ98" s="32">
        <f>+_xlfn.XLOOKUP(TEXT($C98,"@"),'[2]Tabla BG 2'!$C:$C,'[2]Tabla BG 2'!AC:AC,0)+AI98</f>
        <v>0</v>
      </c>
      <c r="AK98" s="56">
        <f>+_xlfn.XLOOKUP(TEXT($C98,"@"),'[2]Tabla BG 2'!$C:$C,'[2]Tabla BG 2'!AE:AE,0)+AJ98</f>
        <v>2570.8119999999999</v>
      </c>
      <c r="AL98" s="57">
        <f>+_xlfn.XLOOKUP(TEXT($C98,"@"),'[2]Tabla BG 2'!$C:$C,'[2]Tabla BG 2'!AF:AF,0)+AK98</f>
        <v>3974.9999999999982</v>
      </c>
      <c r="AM98" s="57">
        <f>+_xlfn.XLOOKUP(TEXT($C98,"@"),'[2]Tabla BG 2'!$C:$C,'[2]Tabla BG 2'!AG:AG,0)+AL98</f>
        <v>3974.9999999999982</v>
      </c>
      <c r="AN98" s="57">
        <f>+_xlfn.XLOOKUP(TEXT($C98,"@"),'[2]Tabla BG 2'!$C:$C,'[2]Tabla BG 2'!AG:AG,0)+AM98</f>
        <v>3974.9999999999982</v>
      </c>
      <c r="AO98" s="57">
        <f>+_xlfn.XLOOKUP(TEXT($C98,"@"),'[2]Tabla BG 2'!$C:$C,'[2]Tabla BG 2'!AH:AH,0)+AN98</f>
        <v>7949.9999999999964</v>
      </c>
      <c r="AP98" s="57">
        <f>+_xlfn.XLOOKUP(TEXT($C98,"@"),'[2]Tabla BG 2'!$C:$C,'[2]Tabla BG 2'!AI:AI,0)+AO98</f>
        <v>24593.999999999996</v>
      </c>
      <c r="AQ98" s="57">
        <f>+_xlfn.XLOOKUP(TEXT($C98,"@"),'[2]Tabla BG 2'!$C:$C,'[2]Tabla BG 2'!AJ:AJ,0)+AP98</f>
        <v>24593.999999999996</v>
      </c>
      <c r="AR98" s="57">
        <f>+_xlfn.XLOOKUP(TEXT($C98,"@"),'[2]Tabla BG 2'!$C:$C,'[2]Tabla BG 2'!AK:AK,0)+AQ98</f>
        <v>24593.999999999996</v>
      </c>
      <c r="AS98" s="57">
        <f>+_xlfn.XLOOKUP(TEXT($C98,"@"),'[2]Tabla BG 2'!$C:$C,'[2]Tabla BG 2'!AL:AL,0)+AR98</f>
        <v>24593.999999999996</v>
      </c>
      <c r="AT98" s="57">
        <f>+_xlfn.XLOOKUP(TEXT($C98,"@"),'[2]Tabla BG 2'!$C:$C,'[2]Tabla BG 2'!AM:AM,0)+AS98</f>
        <v>24593.999999999996</v>
      </c>
      <c r="AU98" s="57">
        <f>+_xlfn.XLOOKUP(TEXT($C98,"@"),'[2]Tabla BG 2'!$C:$C,'[2]Tabla BG 2'!AN:AN,0)+AT98</f>
        <v>24593.999999999996</v>
      </c>
      <c r="AV98" s="58">
        <f>+_xlfn.XLOOKUP(TEXT($C98,"@"),'[2]Tabla BG 2'!$C:$C,'[2]Tabla BG 2'!AO:AO,0)+AU98</f>
        <v>24593.999999999996</v>
      </c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5"/>
      <c r="BJ98" s="55"/>
      <c r="BK98" s="55"/>
      <c r="BL98" s="55"/>
      <c r="BM98" s="55"/>
      <c r="BN98" s="55"/>
    </row>
    <row r="99" spans="1:66" x14ac:dyDescent="0.35">
      <c r="A99"/>
      <c r="B99" s="2" t="str">
        <f t="shared" si="32"/>
        <v>COC2408</v>
      </c>
      <c r="C99" s="36">
        <v>2408</v>
      </c>
      <c r="D99" s="16" t="s">
        <v>80</v>
      </c>
      <c r="E99" s="49"/>
      <c r="F99" s="50"/>
      <c r="G99" s="50"/>
      <c r="H99" s="50"/>
      <c r="I99" s="50"/>
      <c r="J99" s="50"/>
      <c r="K99" s="50"/>
      <c r="L99" s="32">
        <f>+_xlfn.XLOOKUP(C99,'[1]4'!$C:$C,'[1]4'!$I:$I,0)</f>
        <v>-2.0061300000000002</v>
      </c>
      <c r="M99" s="56">
        <f>+_xlfn.XLOOKUP(TEXT($C99,"@"),'[2]Tabla BG 2'!$C:$C,'[2]Tabla BG 2'!E:E,0)+L99</f>
        <v>-20970.099270000002</v>
      </c>
      <c r="N99" s="57">
        <f>+_xlfn.XLOOKUP(TEXT($C99,"@"),'[2]Tabla BG 2'!$C:$C,'[2]Tabla BG 2'!F:F,0)+M99</f>
        <v>14258.345269999994</v>
      </c>
      <c r="O99" s="57">
        <f>+_xlfn.XLOOKUP(TEXT($C99,"@"),'[2]Tabla BG 2'!$C:$C,'[2]Tabla BG 2'!G:G,0)+N99</f>
        <v>10771.608549999994</v>
      </c>
      <c r="P99" s="57">
        <f>+_xlfn.XLOOKUP(TEXT($C99,"@"),'[2]Tabla BG 2'!$C:$C,'[2]Tabla BG 2'!H:H,0)+O99</f>
        <v>-2.2034400000229653</v>
      </c>
      <c r="Q99" s="57">
        <f>+_xlfn.XLOOKUP(TEXT($C99,"@"),'[2]Tabla BG 2'!$C:$C,'[2]Tabla BG 2'!I:I,0)+P99</f>
        <v>2132.5653099999727</v>
      </c>
      <c r="R99" s="57">
        <f>+_xlfn.XLOOKUP(TEXT($C99,"@"),'[2]Tabla BG 2'!$C:$C,'[2]Tabla BG 2'!J:J,0)+Q99</f>
        <v>-2.203380000024481</v>
      </c>
      <c r="S99" s="57">
        <f>+_xlfn.XLOOKUP(TEXT($C99,"@"),'[2]Tabla BG 2'!$C:$C,'[2]Tabla BG 2'!K:K,0)+R99</f>
        <v>12479.086589999974</v>
      </c>
      <c r="T99" s="57">
        <f>+_xlfn.XLOOKUP(TEXT($C99,"@"),'[2]Tabla BG 2'!$C:$C,'[2]Tabla BG 2'!L:L,0)+S99</f>
        <v>-2.1877100000165228</v>
      </c>
      <c r="U99" s="57">
        <f>+_xlfn.XLOOKUP(TEXT($C99,"@"),'[2]Tabla BG 2'!$C:$C,'[2]Tabla BG 2'!M:M,0)+T99</f>
        <v>7905.3173599999827</v>
      </c>
      <c r="V99" s="57">
        <f>+_xlfn.XLOOKUP(TEXT($C99,"@"),'[2]Tabla BG 2'!$C:$C,'[2]Tabla BG 2'!N:N,0)+U99</f>
        <v>-2.1653600000317965</v>
      </c>
      <c r="W99" s="57">
        <f>+_xlfn.XLOOKUP(TEXT($C99,"@"),'[2]Tabla BG 2'!$C:$C,'[2]Tabla BG 2'!O:O,0)+V99</f>
        <v>17732.310289999969</v>
      </c>
      <c r="X99" s="57">
        <f>+_xlfn.XLOOKUP(TEXT($C99,"@"),'[2]Tabla BG 2'!$C:$C,'[2]Tabla BG 2'!P:P,0)+W99</f>
        <v>-4.0017766878008842E-11</v>
      </c>
      <c r="Y99" s="30">
        <f>+_xlfn.XLOOKUP(TEXT($C99,"@"),'[2]Tabla BG 2'!$C:$C,'[2]Tabla BG 2'!R:R,0)+X99</f>
        <v>-23936.540760000036</v>
      </c>
      <c r="Z99" s="31">
        <f>+_xlfn.XLOOKUP(TEXT($C99,"@"),'[2]Tabla BG 2'!$C:$C,'[2]Tabla BG 2'!S:S,0)+Y99</f>
        <v>2.4729999971896177E-2</v>
      </c>
      <c r="AA99" s="31">
        <f>+_xlfn.XLOOKUP(TEXT($C99,"@"),'[2]Tabla BG 2'!$C:$C,'[2]Tabla BG 2'!T:T,0)+Z99</f>
        <v>19022.571509999969</v>
      </c>
      <c r="AB99" s="31">
        <f>+_xlfn.XLOOKUP(TEXT($C99,"@"),'[2]Tabla BG 2'!$C:$C,'[2]Tabla BG 2'!U:U,0)+AA99</f>
        <v>-9.953620000025694</v>
      </c>
      <c r="AC99" s="31">
        <f>+_xlfn.XLOOKUP(TEXT($C99,"@"),'[2]Tabla BG 2'!$C:$C,'[2]Tabla BG 2'!V:V,0)+AB99</f>
        <v>-5693.4285500000224</v>
      </c>
      <c r="AD99" s="31">
        <f>+_xlfn.XLOOKUP(TEXT($C99,"@"),'[2]Tabla BG 2'!$C:$C,'[2]Tabla BG 2'!W:W,0)+AC99</f>
        <v>-9.9312000000318221</v>
      </c>
      <c r="AE99" s="31">
        <f>+_xlfn.XLOOKUP(TEXT($C99,"@"),'[2]Tabla BG 2'!$C:$C,'[2]Tabla BG 2'!X:X,0)+AD99</f>
        <v>-8901.6925500000325</v>
      </c>
      <c r="AF99" s="31">
        <f>+_xlfn.XLOOKUP(TEXT($C99,"@"),'[2]Tabla BG 2'!$C:$C,'[2]Tabla BG 2'!Y:Y,0)+AE99</f>
        <v>-9.9321100000488514</v>
      </c>
      <c r="AG99" s="31">
        <f>+_xlfn.XLOOKUP(TEXT($C99,"@"),'[2]Tabla BG 2'!$C:$C,'[2]Tabla BG 2'!Z:Z,0)+AF99+22</f>
        <v>906.55806999995184</v>
      </c>
      <c r="AH99" s="31">
        <f>+_xlfn.XLOOKUP(TEXT($C99,"@"),'[2]Tabla BG 2'!$C:$C,'[2]Tabla BG 2'!AA:AA,0)+AG99</f>
        <v>12.092779999959021</v>
      </c>
      <c r="AI99" s="31">
        <f>+_xlfn.XLOOKUP(TEXT($C99,"@"),'[2]Tabla BG 2'!$C:$C,'[2]Tabla BG 2'!AB:AB,0)+AH99</f>
        <v>14970.67195999996</v>
      </c>
      <c r="AJ99" s="32">
        <f>+_xlfn.XLOOKUP(TEXT($C99,"@"),'[2]Tabla BG 2'!$C:$C,'[2]Tabla BG 2'!AC:AC,0)+AI99-22</f>
        <v>-1.8189894035458565E-11</v>
      </c>
      <c r="AK99" s="56">
        <f>+_xlfn.XLOOKUP(TEXT($C99,"@"),'[2]Tabla BG 2'!$C:$C,'[2]Tabla BG 2'!AE:AE,0)+AJ99</f>
        <v>-21098.035350000016</v>
      </c>
      <c r="AL99" s="57">
        <f>+_xlfn.XLOOKUP(TEXT($C99,"@"),'[2]Tabla BG 2'!$C:$C,'[2]Tabla BG 2'!AF:AF,0)+AK99</f>
        <v>1.9679999986692565E-2</v>
      </c>
      <c r="AM99" s="57">
        <f>+_xlfn.XLOOKUP(TEXT($C99,"@"),'[2]Tabla BG 2'!$C:$C,'[2]Tabla BG 2'!AG:AG,0)+AL99</f>
        <v>-14816.365690000024</v>
      </c>
      <c r="AN99" s="57">
        <f>+_xlfn.XLOOKUP(TEXT($C99,"@"),'[2]Tabla BG 2'!$C:$C,'[2]Tabla BG 2'!AG:AG,0)+AM99</f>
        <v>-29632.751060000035</v>
      </c>
      <c r="AO99" s="57">
        <f>+_xlfn.XLOOKUP(TEXT($C99,"@"),'[2]Tabla BG 2'!$C:$C,'[2]Tabla BG 2'!AH:AH,0)+AN99</f>
        <v>-44449.116750000045</v>
      </c>
      <c r="AP99" s="57">
        <f>+_xlfn.XLOOKUP(TEXT($C99,"@"),'[2]Tabla BG 2'!$C:$C,'[2]Tabla BG 2'!AI:AI,0)+AO99</f>
        <v>-59263.476310000071</v>
      </c>
      <c r="AQ99" s="57">
        <f>+_xlfn.XLOOKUP(TEXT($C99,"@"),'[2]Tabla BG 2'!$C:$C,'[2]Tabla BG 2'!AJ:AJ,0)+AP99</f>
        <v>-59263.476310000071</v>
      </c>
      <c r="AR99" s="57">
        <f>+_xlfn.XLOOKUP(TEXT($C99,"@"),'[2]Tabla BG 2'!$C:$C,'[2]Tabla BG 2'!AK:AK,0)+AQ99</f>
        <v>-59263.476310000071</v>
      </c>
      <c r="AS99" s="57">
        <f>+_xlfn.XLOOKUP(TEXT($C99,"@"),'[2]Tabla BG 2'!$C:$C,'[2]Tabla BG 2'!AL:AL,0)+AR99+22</f>
        <v>-59241.476310000071</v>
      </c>
      <c r="AT99" s="57">
        <f>+_xlfn.XLOOKUP(TEXT($C99,"@"),'[2]Tabla BG 2'!$C:$C,'[2]Tabla BG 2'!AM:AM,0)+AS99</f>
        <v>-59241.476310000071</v>
      </c>
      <c r="AU99" s="57">
        <f>+_xlfn.XLOOKUP(TEXT($C99,"@"),'[2]Tabla BG 2'!$C:$C,'[2]Tabla BG 2'!AN:AN,0)+AT99</f>
        <v>-59241.476310000071</v>
      </c>
      <c r="AV99" s="58">
        <f>+_xlfn.XLOOKUP(TEXT($C99,"@"),'[2]Tabla BG 2'!$C:$C,'[2]Tabla BG 2'!AO:AO,0)+AU99-22</f>
        <v>-59263.476310000071</v>
      </c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5"/>
      <c r="BJ99" s="55"/>
      <c r="BK99" s="55"/>
      <c r="BL99" s="55"/>
      <c r="BM99" s="55"/>
      <c r="BN99" s="55"/>
    </row>
    <row r="100" spans="1:66" x14ac:dyDescent="0.35">
      <c r="A100"/>
      <c r="B100" s="2" t="str">
        <f t="shared" si="32"/>
        <v>COC2615</v>
      </c>
      <c r="C100" s="36">
        <v>2615</v>
      </c>
      <c r="D100" s="16" t="s">
        <v>81</v>
      </c>
      <c r="E100" s="49"/>
      <c r="F100" s="50"/>
      <c r="G100" s="50"/>
      <c r="H100" s="50"/>
      <c r="I100" s="50"/>
      <c r="J100" s="50"/>
      <c r="K100" s="50"/>
      <c r="L100" s="32">
        <f>+_xlfn.XLOOKUP(C100,'[1]4'!$C:$C,'[1]4'!$I:$I,0)</f>
        <v>0</v>
      </c>
      <c r="M100" s="56">
        <f>+_xlfn.XLOOKUP(TEXT($C100,"@"),'[2]Tabla BG 2'!$C:$C,'[2]Tabla BG 2'!E:E,0)+L100</f>
        <v>0</v>
      </c>
      <c r="N100" s="57">
        <f>+_xlfn.XLOOKUP(TEXT($C100,"@"),'[2]Tabla BG 2'!$C:$C,'[2]Tabla BG 2'!F:F,0)+M100</f>
        <v>0</v>
      </c>
      <c r="O100" s="57">
        <f>+_xlfn.XLOOKUP(TEXT($C100,"@"),'[2]Tabla BG 2'!$C:$C,'[2]Tabla BG 2'!G:G,0)+N100</f>
        <v>0</v>
      </c>
      <c r="P100" s="57">
        <f>+_xlfn.XLOOKUP(TEXT($C100,"@"),'[2]Tabla BG 2'!$C:$C,'[2]Tabla BG 2'!H:H,0)+O100</f>
        <v>0</v>
      </c>
      <c r="Q100" s="57">
        <f>+_xlfn.XLOOKUP(TEXT($C100,"@"),'[2]Tabla BG 2'!$C:$C,'[2]Tabla BG 2'!I:I,0)+P100</f>
        <v>0</v>
      </c>
      <c r="R100" s="57">
        <f>+_xlfn.XLOOKUP(TEXT($C100,"@"),'[2]Tabla BG 2'!$C:$C,'[2]Tabla BG 2'!J:J,0)+Q100</f>
        <v>0</v>
      </c>
      <c r="S100" s="57">
        <f>+_xlfn.XLOOKUP(TEXT($C100,"@"),'[2]Tabla BG 2'!$C:$C,'[2]Tabla BG 2'!K:K,0)+R100</f>
        <v>0</v>
      </c>
      <c r="T100" s="57">
        <f>+_xlfn.XLOOKUP(TEXT($C100,"@"),'[2]Tabla BG 2'!$C:$C,'[2]Tabla BG 2'!L:L,0)+S100</f>
        <v>0</v>
      </c>
      <c r="U100" s="57">
        <f>+_xlfn.XLOOKUP(TEXT($C100,"@"),'[2]Tabla BG 2'!$C:$C,'[2]Tabla BG 2'!M:M,0)+T100</f>
        <v>0</v>
      </c>
      <c r="V100" s="57">
        <f>+_xlfn.XLOOKUP(TEXT($C100,"@"),'[2]Tabla BG 2'!$C:$C,'[2]Tabla BG 2'!N:N,0)+U100</f>
        <v>0</v>
      </c>
      <c r="W100" s="57">
        <f>+_xlfn.XLOOKUP(TEXT($C100,"@"),'[2]Tabla BG 2'!$C:$C,'[2]Tabla BG 2'!O:O,0)+V100</f>
        <v>0</v>
      </c>
      <c r="X100" s="57">
        <f>+_xlfn.XLOOKUP(TEXT($C100,"@"),'[2]Tabla BG 2'!$C:$C,'[2]Tabla BG 2'!P:P,0)+W100</f>
        <v>0</v>
      </c>
      <c r="Y100" s="30">
        <f>+_xlfn.XLOOKUP(TEXT($C100,"@"),'[2]Tabla BG 2'!$C:$C,'[2]Tabla BG 2'!R:R,0)+X100</f>
        <v>0</v>
      </c>
      <c r="Z100" s="31">
        <f>+_xlfn.XLOOKUP(TEXT($C100,"@"),'[2]Tabla BG 2'!$C:$C,'[2]Tabla BG 2'!S:S,0)+Y100</f>
        <v>0</v>
      </c>
      <c r="AA100" s="31">
        <f>+_xlfn.XLOOKUP(TEXT($C100,"@"),'[2]Tabla BG 2'!$C:$C,'[2]Tabla BG 2'!T:T,0)+Z100</f>
        <v>0</v>
      </c>
      <c r="AB100" s="31">
        <f>+_xlfn.XLOOKUP(TEXT($C100,"@"),'[2]Tabla BG 2'!$C:$C,'[2]Tabla BG 2'!U:U,0)+AA100</f>
        <v>0</v>
      </c>
      <c r="AC100" s="31">
        <f>+_xlfn.XLOOKUP(TEXT($C100,"@"),'[2]Tabla BG 2'!$C:$C,'[2]Tabla BG 2'!V:V,0)+AB100</f>
        <v>0</v>
      </c>
      <c r="AD100" s="31">
        <f>+_xlfn.XLOOKUP(TEXT($C100,"@"),'[2]Tabla BG 2'!$C:$C,'[2]Tabla BG 2'!W:W,0)+AC100</f>
        <v>0</v>
      </c>
      <c r="AE100" s="31">
        <f>+_xlfn.XLOOKUP(TEXT($C100,"@"),'[2]Tabla BG 2'!$C:$C,'[2]Tabla BG 2'!X:X,0)+AD100</f>
        <v>0</v>
      </c>
      <c r="AF100" s="31">
        <f>+_xlfn.XLOOKUP(TEXT($C100,"@"),'[2]Tabla BG 2'!$C:$C,'[2]Tabla BG 2'!Y:Y,0)+AE100</f>
        <v>0</v>
      </c>
      <c r="AG100" s="31">
        <f>+_xlfn.XLOOKUP(TEXT($C100,"@"),'[2]Tabla BG 2'!$C:$C,'[2]Tabla BG 2'!Z:Z,0)+AF100</f>
        <v>0</v>
      </c>
      <c r="AH100" s="31">
        <f>+_xlfn.XLOOKUP(TEXT($C100,"@"),'[2]Tabla BG 2'!$C:$C,'[2]Tabla BG 2'!AA:AA,0)+AG100</f>
        <v>0</v>
      </c>
      <c r="AI100" s="31">
        <f>+_xlfn.XLOOKUP(TEXT($C100,"@"),'[2]Tabla BG 2'!$C:$C,'[2]Tabla BG 2'!AB:AB,0)+AH100</f>
        <v>0</v>
      </c>
      <c r="AJ100" s="32">
        <f>+_xlfn.XLOOKUP(TEXT($C100,"@"),'[2]Tabla BG 2'!$C:$C,'[2]Tabla BG 2'!AC:AC,0)+AI100</f>
        <v>0</v>
      </c>
      <c r="AK100" s="56">
        <f>+_xlfn.XLOOKUP(TEXT($C100,"@"),'[2]Tabla BG 2'!$C:$C,'[2]Tabla BG 2'!AE:AE,0)+AJ100</f>
        <v>0</v>
      </c>
      <c r="AL100" s="57">
        <f>+_xlfn.XLOOKUP(TEXT($C100,"@"),'[2]Tabla BG 2'!$C:$C,'[2]Tabla BG 2'!AF:AF,0)+AK100</f>
        <v>0</v>
      </c>
      <c r="AM100" s="57">
        <f>+_xlfn.XLOOKUP(TEXT($C100,"@"),'[2]Tabla BG 2'!$C:$C,'[2]Tabla BG 2'!AG:AG,0)+AL100</f>
        <v>0</v>
      </c>
      <c r="AN100" s="57">
        <f>+_xlfn.XLOOKUP(TEXT($C100,"@"),'[2]Tabla BG 2'!$C:$C,'[2]Tabla BG 2'!AG:AG,0)+AM100</f>
        <v>0</v>
      </c>
      <c r="AO100" s="57">
        <f>+_xlfn.XLOOKUP(TEXT($C100,"@"),'[2]Tabla BG 2'!$C:$C,'[2]Tabla BG 2'!AH:AH,0)+AN100</f>
        <v>0</v>
      </c>
      <c r="AP100" s="57">
        <f>+_xlfn.XLOOKUP(TEXT($C100,"@"),'[2]Tabla BG 2'!$C:$C,'[2]Tabla BG 2'!AI:AI,0)+AO100</f>
        <v>0</v>
      </c>
      <c r="AQ100" s="57">
        <f>+_xlfn.XLOOKUP(TEXT($C100,"@"),'[2]Tabla BG 2'!$C:$C,'[2]Tabla BG 2'!AJ:AJ,0)+AP100</f>
        <v>0</v>
      </c>
      <c r="AR100" s="57">
        <f>+_xlfn.XLOOKUP(TEXT($C100,"@"),'[2]Tabla BG 2'!$C:$C,'[2]Tabla BG 2'!AK:AK,0)+AQ100</f>
        <v>0</v>
      </c>
      <c r="AS100" s="57">
        <f>+_xlfn.XLOOKUP(TEXT($C100,"@"),'[2]Tabla BG 2'!$C:$C,'[2]Tabla BG 2'!AL:AL,0)+AR100</f>
        <v>0</v>
      </c>
      <c r="AT100" s="57">
        <f>+_xlfn.XLOOKUP(TEXT($C100,"@"),'[2]Tabla BG 2'!$C:$C,'[2]Tabla BG 2'!AM:AM,0)+AS100</f>
        <v>0</v>
      </c>
      <c r="AU100" s="57">
        <f>+_xlfn.XLOOKUP(TEXT($C100,"@"),'[2]Tabla BG 2'!$C:$C,'[2]Tabla BG 2'!AN:AN,0)+AT100</f>
        <v>0</v>
      </c>
      <c r="AV100" s="58">
        <f>+_xlfn.XLOOKUP(TEXT($C100,"@"),'[2]Tabla BG 2'!$C:$C,'[2]Tabla BG 2'!AO:AO,0)+AU100</f>
        <v>0</v>
      </c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5"/>
      <c r="BJ100" s="55"/>
      <c r="BK100" s="55"/>
      <c r="BL100" s="55"/>
      <c r="BM100" s="55"/>
      <c r="BN100" s="55"/>
    </row>
    <row r="101" spans="1:66" x14ac:dyDescent="0.35">
      <c r="A101"/>
      <c r="B101" s="2" t="str">
        <f t="shared" si="32"/>
        <v>COC2605</v>
      </c>
      <c r="C101" s="36">
        <v>2605</v>
      </c>
      <c r="D101" s="16" t="s">
        <v>82</v>
      </c>
      <c r="E101" s="49"/>
      <c r="F101" s="50"/>
      <c r="G101" s="50"/>
      <c r="H101" s="50"/>
      <c r="I101" s="50"/>
      <c r="J101" s="50"/>
      <c r="K101" s="50"/>
      <c r="L101" s="32">
        <f>+_xlfn.XLOOKUP(C101,'[1]4'!$C:$C,'[1]4'!$I:$I,0)</f>
        <v>0</v>
      </c>
      <c r="M101" s="56">
        <f>+_xlfn.XLOOKUP(TEXT($C101,"@"),'[2]Tabla BG 2'!$C:$C,'[2]Tabla BG 2'!E:E,0)+L101</f>
        <v>0</v>
      </c>
      <c r="N101" s="57">
        <f>+_xlfn.XLOOKUP(TEXT($C101,"@"),'[2]Tabla BG 2'!$C:$C,'[2]Tabla BG 2'!F:F,0)+M101</f>
        <v>0</v>
      </c>
      <c r="O101" s="57">
        <f>+_xlfn.XLOOKUP(TEXT($C101,"@"),'[2]Tabla BG 2'!$C:$C,'[2]Tabla BG 2'!G:G,0)+N101</f>
        <v>0</v>
      </c>
      <c r="P101" s="57">
        <f>+_xlfn.XLOOKUP(TEXT($C101,"@"),'[2]Tabla BG 2'!$C:$C,'[2]Tabla BG 2'!H:H,0)+O101</f>
        <v>0</v>
      </c>
      <c r="Q101" s="57">
        <f>+_xlfn.XLOOKUP(TEXT($C101,"@"),'[2]Tabla BG 2'!$C:$C,'[2]Tabla BG 2'!I:I,0)+P101</f>
        <v>0</v>
      </c>
      <c r="R101" s="57">
        <f>+_xlfn.XLOOKUP(TEXT($C101,"@"),'[2]Tabla BG 2'!$C:$C,'[2]Tabla BG 2'!J:J,0)+Q101</f>
        <v>0</v>
      </c>
      <c r="S101" s="57">
        <f>+_xlfn.XLOOKUP(TEXT($C101,"@"),'[2]Tabla BG 2'!$C:$C,'[2]Tabla BG 2'!K:K,0)+R101</f>
        <v>0</v>
      </c>
      <c r="T101" s="57">
        <f>+_xlfn.XLOOKUP(TEXT($C101,"@"),'[2]Tabla BG 2'!$C:$C,'[2]Tabla BG 2'!L:L,0)+S101</f>
        <v>0</v>
      </c>
      <c r="U101" s="57">
        <f>+_xlfn.XLOOKUP(TEXT($C101,"@"),'[2]Tabla BG 2'!$C:$C,'[2]Tabla BG 2'!M:M,0)+T101</f>
        <v>0</v>
      </c>
      <c r="V101" s="57">
        <f>+_xlfn.XLOOKUP(TEXT($C101,"@"),'[2]Tabla BG 2'!$C:$C,'[2]Tabla BG 2'!N:N,0)+U101</f>
        <v>0</v>
      </c>
      <c r="W101" s="57">
        <f>+_xlfn.XLOOKUP(TEXT($C101,"@"),'[2]Tabla BG 2'!$C:$C,'[2]Tabla BG 2'!O:O,0)+V101</f>
        <v>0</v>
      </c>
      <c r="X101" s="57">
        <f>+_xlfn.XLOOKUP(TEXT($C101,"@"),'[2]Tabla BG 2'!$C:$C,'[2]Tabla BG 2'!P:P,0)+W101</f>
        <v>0</v>
      </c>
      <c r="Y101" s="30">
        <f>+_xlfn.XLOOKUP(TEXT($C101,"@"),'[2]Tabla BG 2'!$C:$C,'[2]Tabla BG 2'!R:R,0)+X101</f>
        <v>-670.88799999999992</v>
      </c>
      <c r="Z101" s="31">
        <f>+_xlfn.XLOOKUP(TEXT($C101,"@"),'[2]Tabla BG 2'!$C:$C,'[2]Tabla BG 2'!S:S,0)+Y101</f>
        <v>-22195.370000000003</v>
      </c>
      <c r="AA101" s="31">
        <f>+_xlfn.XLOOKUP(TEXT($C101,"@"),'[2]Tabla BG 2'!$C:$C,'[2]Tabla BG 2'!T:T,0)+Z101</f>
        <v>-39525.118000000002</v>
      </c>
      <c r="AB101" s="31">
        <f>+_xlfn.XLOOKUP(TEXT($C101,"@"),'[2]Tabla BG 2'!$C:$C,'[2]Tabla BG 2'!U:U,0)+AA101</f>
        <v>-40542.879000000001</v>
      </c>
      <c r="AC101" s="31">
        <f>+_xlfn.XLOOKUP(TEXT($C101,"@"),'[2]Tabla BG 2'!$C:$C,'[2]Tabla BG 2'!V:V,0)+AB101</f>
        <v>-45143.601999999999</v>
      </c>
      <c r="AD101" s="31">
        <f>+_xlfn.XLOOKUP(TEXT($C101,"@"),'[2]Tabla BG 2'!$C:$C,'[2]Tabla BG 2'!W:W,0)+AC101</f>
        <v>-52556.574000000001</v>
      </c>
      <c r="AE101" s="31">
        <f>+_xlfn.XLOOKUP(TEXT($C101,"@"),'[2]Tabla BG 2'!$C:$C,'[2]Tabla BG 2'!X:X,0)+AD101</f>
        <v>-60377.917999999998</v>
      </c>
      <c r="AF101" s="31">
        <f>+_xlfn.XLOOKUP(TEXT($C101,"@"),'[2]Tabla BG 2'!$C:$C,'[2]Tabla BG 2'!Y:Y,0)+AE101</f>
        <v>-118336.701</v>
      </c>
      <c r="AG101" s="31">
        <f>+_xlfn.XLOOKUP(TEXT($C101,"@"),'[2]Tabla BG 2'!$C:$C,'[2]Tabla BG 2'!Z:Z,0)+AF101</f>
        <v>-152754.66800000001</v>
      </c>
      <c r="AH101" s="31">
        <f>+_xlfn.XLOOKUP(TEXT($C101,"@"),'[2]Tabla BG 2'!$C:$C,'[2]Tabla BG 2'!AA:AA,0)+AG101</f>
        <v>-217442.88099999999</v>
      </c>
      <c r="AI101" s="31">
        <f>+_xlfn.XLOOKUP(TEXT($C101,"@"),'[2]Tabla BG 2'!$C:$C,'[2]Tabla BG 2'!AB:AB,0)+AH101</f>
        <v>-273196.79200000002</v>
      </c>
      <c r="AJ101" s="32">
        <f>+_xlfn.XLOOKUP(TEXT($C101,"@"),'[2]Tabla BG 2'!$C:$C,'[2]Tabla BG 2'!AC:AC,0)+AI101</f>
        <v>0</v>
      </c>
      <c r="AK101" s="56">
        <f>+_xlfn.XLOOKUP(TEXT($C101,"@"),'[2]Tabla BG 2'!$C:$C,'[2]Tabla BG 2'!AE:AE,0)+AJ101</f>
        <v>-15951.922</v>
      </c>
      <c r="AL101" s="57">
        <f>+_xlfn.XLOOKUP(TEXT($C101,"@"),'[2]Tabla BG 2'!$C:$C,'[2]Tabla BG 2'!AF:AF,0)+AK101</f>
        <v>-23560.57</v>
      </c>
      <c r="AM101" s="57">
        <f>+_xlfn.XLOOKUP(TEXT($C101,"@"),'[2]Tabla BG 2'!$C:$C,'[2]Tabla BG 2'!AG:AG,0)+AL101</f>
        <v>-11941.527999999998</v>
      </c>
      <c r="AN101" s="57">
        <f>+_xlfn.XLOOKUP(TEXT($C101,"@"),'[2]Tabla BG 2'!$C:$C,'[2]Tabla BG 2'!AG:AG,0)+AM101</f>
        <v>-322.48599999999715</v>
      </c>
      <c r="AO101" s="57">
        <f>+_xlfn.XLOOKUP(TEXT($C101,"@"),'[2]Tabla BG 2'!$C:$C,'[2]Tabla BG 2'!AH:AH,0)+AN101</f>
        <v>-12264.013999999996</v>
      </c>
      <c r="AP101" s="57">
        <f>+_xlfn.XLOOKUP(TEXT($C101,"@"),'[2]Tabla BG 2'!$C:$C,'[2]Tabla BG 2'!AI:AI,0)+AO101</f>
        <v>-24205.541999999994</v>
      </c>
      <c r="AQ101" s="57">
        <f>+_xlfn.XLOOKUP(TEXT($C101,"@"),'[2]Tabla BG 2'!$C:$C,'[2]Tabla BG 2'!AJ:AJ,0)+AP101</f>
        <v>-24205.541999999994</v>
      </c>
      <c r="AR101" s="57">
        <f>+_xlfn.XLOOKUP(TEXT($C101,"@"),'[2]Tabla BG 2'!$C:$C,'[2]Tabla BG 2'!AK:AK,0)+AQ101</f>
        <v>-24205.541999999994</v>
      </c>
      <c r="AS101" s="57">
        <f>+_xlfn.XLOOKUP(TEXT($C101,"@"),'[2]Tabla BG 2'!$C:$C,'[2]Tabla BG 2'!AL:AL,0)+AR101</f>
        <v>-24205.541999999994</v>
      </c>
      <c r="AT101" s="57">
        <f>+_xlfn.XLOOKUP(TEXT($C101,"@"),'[2]Tabla BG 2'!$C:$C,'[2]Tabla BG 2'!AM:AM,0)+AS101</f>
        <v>-24205.541999999994</v>
      </c>
      <c r="AU101" s="57">
        <f>+_xlfn.XLOOKUP(TEXT($C101,"@"),'[2]Tabla BG 2'!$C:$C,'[2]Tabla BG 2'!AN:AN,0)+AT101</f>
        <v>-24205.541999999994</v>
      </c>
      <c r="AV101" s="58">
        <f>+_xlfn.XLOOKUP(TEXT($C101,"@"),'[2]Tabla BG 2'!$C:$C,'[2]Tabla BG 2'!AO:AO,0)+AU101</f>
        <v>-24205.541999999994</v>
      </c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5"/>
      <c r="BJ101" s="55"/>
      <c r="BK101" s="55"/>
      <c r="BL101" s="55"/>
      <c r="BM101" s="55"/>
      <c r="BN101" s="55"/>
    </row>
    <row r="102" spans="1:66" x14ac:dyDescent="0.35">
      <c r="A102"/>
      <c r="B102" s="2" t="str">
        <f t="shared" si="32"/>
        <v>COC2715</v>
      </c>
      <c r="C102" s="36">
        <v>2715</v>
      </c>
      <c r="D102" s="16" t="s">
        <v>83</v>
      </c>
      <c r="E102" s="49"/>
      <c r="F102" s="50"/>
      <c r="G102" s="50"/>
      <c r="H102" s="50"/>
      <c r="I102" s="50"/>
      <c r="J102" s="50"/>
      <c r="K102" s="50"/>
      <c r="L102" s="32">
        <f>+_xlfn.XLOOKUP(C102,'[1]4'!$C:$C,'[1]4'!$I:$I,0)</f>
        <v>0</v>
      </c>
      <c r="M102" s="56">
        <f>+_xlfn.XLOOKUP(TEXT($C102,"@"),'[2]Tabla BG 2'!$C:$C,'[2]Tabla BG 2'!E:E,0)+L102</f>
        <v>0</v>
      </c>
      <c r="N102" s="57">
        <f>+_xlfn.XLOOKUP(TEXT($C102,"@"),'[2]Tabla BG 2'!$C:$C,'[2]Tabla BG 2'!F:F,0)+M102</f>
        <v>0</v>
      </c>
      <c r="O102" s="57">
        <f>+_xlfn.XLOOKUP(TEXT($C102,"@"),'[2]Tabla BG 2'!$C:$C,'[2]Tabla BG 2'!G:G,0)+N102</f>
        <v>0</v>
      </c>
      <c r="P102" s="57">
        <f>+_xlfn.XLOOKUP(TEXT($C102,"@"),'[2]Tabla BG 2'!$C:$C,'[2]Tabla BG 2'!H:H,0)+O102</f>
        <v>0</v>
      </c>
      <c r="Q102" s="57">
        <f>+_xlfn.XLOOKUP(TEXT($C102,"@"),'[2]Tabla BG 2'!$C:$C,'[2]Tabla BG 2'!I:I,0)+P102</f>
        <v>0</v>
      </c>
      <c r="R102" s="57">
        <f>+_xlfn.XLOOKUP(TEXT($C102,"@"),'[2]Tabla BG 2'!$C:$C,'[2]Tabla BG 2'!J:J,0)+Q102</f>
        <v>0</v>
      </c>
      <c r="S102" s="57">
        <f>+_xlfn.XLOOKUP(TEXT($C102,"@"),'[2]Tabla BG 2'!$C:$C,'[2]Tabla BG 2'!K:K,0)+R102</f>
        <v>0</v>
      </c>
      <c r="T102" s="57">
        <f>+_xlfn.XLOOKUP(TEXT($C102,"@"),'[2]Tabla BG 2'!$C:$C,'[2]Tabla BG 2'!L:L,0)+S102</f>
        <v>0</v>
      </c>
      <c r="U102" s="57">
        <f>+_xlfn.XLOOKUP(TEXT($C102,"@"),'[2]Tabla BG 2'!$C:$C,'[2]Tabla BG 2'!M:M,0)+T102</f>
        <v>0</v>
      </c>
      <c r="V102" s="57">
        <f>+_xlfn.XLOOKUP(TEXT($C102,"@"),'[2]Tabla BG 2'!$C:$C,'[2]Tabla BG 2'!N:N,0)+U102</f>
        <v>0</v>
      </c>
      <c r="W102" s="57">
        <f>+_xlfn.XLOOKUP(TEXT($C102,"@"),'[2]Tabla BG 2'!$C:$C,'[2]Tabla BG 2'!O:O,0)+V102</f>
        <v>0</v>
      </c>
      <c r="X102" s="57">
        <f>+_xlfn.XLOOKUP(TEXT($C102,"@"),'[2]Tabla BG 2'!$C:$C,'[2]Tabla BG 2'!P:P,0)+W102</f>
        <v>0</v>
      </c>
      <c r="Y102" s="30">
        <f>+_xlfn.XLOOKUP(TEXT($C102,"@"),'[2]Tabla BG 2'!$C:$C,'[2]Tabla BG 2'!R:R,0)+X102</f>
        <v>0</v>
      </c>
      <c r="Z102" s="31">
        <f>+_xlfn.XLOOKUP(TEXT($C102,"@"),'[2]Tabla BG 2'!$C:$C,'[2]Tabla BG 2'!S:S,0)+Y102</f>
        <v>0</v>
      </c>
      <c r="AA102" s="31">
        <f>+_xlfn.XLOOKUP(TEXT($C102,"@"),'[2]Tabla BG 2'!$C:$C,'[2]Tabla BG 2'!T:T,0)+Z102</f>
        <v>0</v>
      </c>
      <c r="AB102" s="31">
        <f>+_xlfn.XLOOKUP(TEXT($C102,"@"),'[2]Tabla BG 2'!$C:$C,'[2]Tabla BG 2'!U:U,0)+AA102</f>
        <v>0</v>
      </c>
      <c r="AC102" s="31">
        <f>+_xlfn.XLOOKUP(TEXT($C102,"@"),'[2]Tabla BG 2'!$C:$C,'[2]Tabla BG 2'!V:V,0)+AB102</f>
        <v>0</v>
      </c>
      <c r="AD102" s="31">
        <f>+_xlfn.XLOOKUP(TEXT($C102,"@"),'[2]Tabla BG 2'!$C:$C,'[2]Tabla BG 2'!W:W,0)+AC102</f>
        <v>0</v>
      </c>
      <c r="AE102" s="31">
        <f>+_xlfn.XLOOKUP(TEXT($C102,"@"),'[2]Tabla BG 2'!$C:$C,'[2]Tabla BG 2'!X:X,0)+AD102</f>
        <v>0</v>
      </c>
      <c r="AF102" s="31">
        <f>+_xlfn.XLOOKUP(TEXT($C102,"@"),'[2]Tabla BG 2'!$C:$C,'[2]Tabla BG 2'!Y:Y,0)+AE102</f>
        <v>0</v>
      </c>
      <c r="AG102" s="31">
        <f>+_xlfn.XLOOKUP(TEXT($C102,"@"),'[2]Tabla BG 2'!$C:$C,'[2]Tabla BG 2'!Z:Z,0)+AF102</f>
        <v>0</v>
      </c>
      <c r="AH102" s="31">
        <f>+_xlfn.XLOOKUP(TEXT($C102,"@"),'[2]Tabla BG 2'!$C:$C,'[2]Tabla BG 2'!AA:AA,0)+AG102</f>
        <v>0</v>
      </c>
      <c r="AI102" s="31">
        <f>+_xlfn.XLOOKUP(TEXT($C102,"@"),'[2]Tabla BG 2'!$C:$C,'[2]Tabla BG 2'!AB:AB,0)+AH102</f>
        <v>0</v>
      </c>
      <c r="AJ102" s="32">
        <f>+_xlfn.XLOOKUP(TEXT($C102,"@"),'[2]Tabla BG 2'!$C:$C,'[2]Tabla BG 2'!AC:AC,0)+AI102</f>
        <v>0</v>
      </c>
      <c r="AK102" s="56">
        <f>+_xlfn.XLOOKUP(TEXT($C102,"@"),'[2]Tabla BG 2'!$C:$C,'[2]Tabla BG 2'!AE:AE,0)+AJ102</f>
        <v>0</v>
      </c>
      <c r="AL102" s="57">
        <f>+_xlfn.XLOOKUP(TEXT($C102,"@"),'[2]Tabla BG 2'!$C:$C,'[2]Tabla BG 2'!AF:AF,0)+AK102</f>
        <v>0</v>
      </c>
      <c r="AM102" s="57">
        <f>+_xlfn.XLOOKUP(TEXT($C102,"@"),'[2]Tabla BG 2'!$C:$C,'[2]Tabla BG 2'!AG:AG,0)+AL102</f>
        <v>0</v>
      </c>
      <c r="AN102" s="57">
        <f>+_xlfn.XLOOKUP(TEXT($C102,"@"),'[2]Tabla BG 2'!$C:$C,'[2]Tabla BG 2'!AG:AG,0)+AM102</f>
        <v>0</v>
      </c>
      <c r="AO102" s="57">
        <f>+_xlfn.XLOOKUP(TEXT($C102,"@"),'[2]Tabla BG 2'!$C:$C,'[2]Tabla BG 2'!AH:AH,0)+AN102</f>
        <v>0</v>
      </c>
      <c r="AP102" s="57">
        <f>+_xlfn.XLOOKUP(TEXT($C102,"@"),'[2]Tabla BG 2'!$C:$C,'[2]Tabla BG 2'!AI:AI,0)+AO102</f>
        <v>0</v>
      </c>
      <c r="AQ102" s="57">
        <f>+_xlfn.XLOOKUP(TEXT($C102,"@"),'[2]Tabla BG 2'!$C:$C,'[2]Tabla BG 2'!AJ:AJ,0)+AP102</f>
        <v>0</v>
      </c>
      <c r="AR102" s="57">
        <f>+_xlfn.XLOOKUP(TEXT($C102,"@"),'[2]Tabla BG 2'!$C:$C,'[2]Tabla BG 2'!AK:AK,0)+AQ102</f>
        <v>0</v>
      </c>
      <c r="AS102" s="57">
        <f>+_xlfn.XLOOKUP(TEXT($C102,"@"),'[2]Tabla BG 2'!$C:$C,'[2]Tabla BG 2'!AL:AL,0)+AR102</f>
        <v>0</v>
      </c>
      <c r="AT102" s="57">
        <f>+_xlfn.XLOOKUP(TEXT($C102,"@"),'[2]Tabla BG 2'!$C:$C,'[2]Tabla BG 2'!AM:AM,0)+AS102</f>
        <v>0</v>
      </c>
      <c r="AU102" s="57">
        <f>+_xlfn.XLOOKUP(TEXT($C102,"@"),'[2]Tabla BG 2'!$C:$C,'[2]Tabla BG 2'!AN:AN,0)+AT102</f>
        <v>0</v>
      </c>
      <c r="AV102" s="58">
        <f>+_xlfn.XLOOKUP(TEXT($C102,"@"),'[2]Tabla BG 2'!$C:$C,'[2]Tabla BG 2'!AO:AO,0)+AU102</f>
        <v>0</v>
      </c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5"/>
      <c r="BJ102" s="55"/>
      <c r="BK102" s="55"/>
      <c r="BL102" s="55"/>
      <c r="BM102" s="55"/>
      <c r="BN102" s="55"/>
    </row>
    <row r="103" spans="1:66" x14ac:dyDescent="0.35">
      <c r="A103" s="87">
        <v>2412</v>
      </c>
      <c r="B103" s="2" t="str">
        <f t="shared" si="32"/>
        <v>COC2505</v>
      </c>
      <c r="C103" s="36">
        <v>2505</v>
      </c>
      <c r="D103" s="16" t="s">
        <v>84</v>
      </c>
      <c r="E103" s="49"/>
      <c r="F103" s="50"/>
      <c r="G103" s="50"/>
      <c r="H103" s="50"/>
      <c r="I103" s="50"/>
      <c r="J103" s="50"/>
      <c r="K103" s="50"/>
      <c r="L103" s="32">
        <f>+_xlfn.XLOOKUP(C103,'[1]4'!$C:$C,'[1]4'!$I:$I,0)</f>
        <v>0</v>
      </c>
      <c r="M103" s="56">
        <f>+_xlfn.XLOOKUP(TEXT($C103,"@"),'[2]Tabla BG 2'!$C:$C,'[2]Tabla BG 2'!E:E,0)+L103</f>
        <v>0</v>
      </c>
      <c r="N103" s="57">
        <f>+_xlfn.XLOOKUP(TEXT($C103,"@"),'[2]Tabla BG 2'!$C:$C,'[2]Tabla BG 2'!F:F,0)+M103</f>
        <v>0</v>
      </c>
      <c r="O103" s="57">
        <f>+_xlfn.XLOOKUP(TEXT($C103,"@"),'[2]Tabla BG 2'!$C:$C,'[2]Tabla BG 2'!G:G,0)+N103</f>
        <v>0</v>
      </c>
      <c r="P103" s="57">
        <f>+_xlfn.XLOOKUP(TEXT($C103,"@"),'[2]Tabla BG 2'!$C:$C,'[2]Tabla BG 2'!H:H,0)+O103</f>
        <v>0</v>
      </c>
      <c r="Q103" s="57">
        <f>+_xlfn.XLOOKUP(TEXT($C103,"@"),'[2]Tabla BG 2'!$C:$C,'[2]Tabla BG 2'!I:I,0)+P103</f>
        <v>0</v>
      </c>
      <c r="R103" s="57">
        <f>+_xlfn.XLOOKUP(TEXT($C103,"@"),'[2]Tabla BG 2'!$C:$C,'[2]Tabla BG 2'!J:J,0)+Q103</f>
        <v>0</v>
      </c>
      <c r="S103" s="57">
        <f>+_xlfn.XLOOKUP(TEXT($C103,"@"),'[2]Tabla BG 2'!$C:$C,'[2]Tabla BG 2'!K:K,0)+R103</f>
        <v>0</v>
      </c>
      <c r="T103" s="57">
        <f>+_xlfn.XLOOKUP(TEXT($C103,"@"),'[2]Tabla BG 2'!$C:$C,'[2]Tabla BG 2'!L:L,0)+S103</f>
        <v>0</v>
      </c>
      <c r="U103" s="57">
        <f>+_xlfn.XLOOKUP(TEXT($C103,"@"),'[2]Tabla BG 2'!$C:$C,'[2]Tabla BG 2'!M:M,0)+T103</f>
        <v>0</v>
      </c>
      <c r="V103" s="57">
        <f>+_xlfn.XLOOKUP(TEXT($C103,"@"),'[2]Tabla BG 2'!$C:$C,'[2]Tabla BG 2'!N:N,0)+U103</f>
        <v>0</v>
      </c>
      <c r="W103" s="57">
        <f>+_xlfn.XLOOKUP(TEXT($C103,"@"),'[2]Tabla BG 2'!$C:$C,'[2]Tabla BG 2'!O:O,0)+V103</f>
        <v>0</v>
      </c>
      <c r="X103" s="57">
        <f>+_xlfn.XLOOKUP(TEXT($C103,"@"),'[2]Tabla BG 2'!$C:$C,'[2]Tabla BG 2'!P:P,0)+W103</f>
        <v>0</v>
      </c>
      <c r="Y103" s="30">
        <f>+_xlfn.XLOOKUP(TEXT($C103,"@"),'[2]Tabla BG 2'!$C:$C,'[2]Tabla BG 2'!R:R,0)+X103</f>
        <v>0</v>
      </c>
      <c r="Z103" s="31">
        <f>+_xlfn.XLOOKUP(TEXT($C103,"@"),'[2]Tabla BG 2'!$C:$C,'[2]Tabla BG 2'!S:S,0)+Y103</f>
        <v>0</v>
      </c>
      <c r="AA103" s="31">
        <f>+_xlfn.XLOOKUP(TEXT($C103,"@"),'[2]Tabla BG 2'!$C:$C,'[2]Tabla BG 2'!T:T,0)+Z103</f>
        <v>0</v>
      </c>
      <c r="AB103" s="31">
        <f>+_xlfn.XLOOKUP(TEXT($C103,"@"),'[2]Tabla BG 2'!$C:$C,'[2]Tabla BG 2'!U:U,0)+AA103</f>
        <v>0</v>
      </c>
      <c r="AC103" s="31">
        <f>+_xlfn.XLOOKUP(TEXT($C103,"@"),'[2]Tabla BG 2'!$C:$C,'[2]Tabla BG 2'!V:V,0)+AB103</f>
        <v>0</v>
      </c>
      <c r="AD103" s="31">
        <f>+_xlfn.XLOOKUP(TEXT($C103,"@"),'[2]Tabla BG 2'!$C:$C,'[2]Tabla BG 2'!W:W,0)+AC103</f>
        <v>0</v>
      </c>
      <c r="AE103" s="31">
        <f>+_xlfn.XLOOKUP(TEXT($C103,"@"),'[2]Tabla BG 2'!$C:$C,'[2]Tabla BG 2'!X:X,0)+AD103</f>
        <v>0</v>
      </c>
      <c r="AF103" s="31">
        <f>+_xlfn.XLOOKUP(TEXT($C103,"@"),'[2]Tabla BG 2'!$C:$C,'[2]Tabla BG 2'!Y:Y,0)+AE103</f>
        <v>-7193.7109999999957</v>
      </c>
      <c r="AG103" s="31">
        <f>+_xlfn.XLOOKUP(TEXT($C103,"@"),'[2]Tabla BG 2'!$C:$C,'[2]Tabla BG 2'!Z:Z,0)+AF103</f>
        <v>0</v>
      </c>
      <c r="AH103" s="31">
        <f>+_xlfn.XLOOKUP(TEXT($C103,"@"),'[2]Tabla BG 2'!$C:$C,'[2]Tabla BG 2'!AA:AA,0)+AG103</f>
        <v>0</v>
      </c>
      <c r="AI103" s="31">
        <f>+_xlfn.XLOOKUP(TEXT($C103,"@"),'[2]Tabla BG 2'!$C:$C,'[2]Tabla BG 2'!AB:AB,0)+AH103</f>
        <v>0</v>
      </c>
      <c r="AJ103" s="32">
        <f>+_xlfn.XLOOKUP(TEXT($C103,"@"),'[2]Tabla BG 2'!$C:$C,'[2]Tabla BG 2'!AC:AC,0)+AI103</f>
        <v>0</v>
      </c>
      <c r="AK103" s="56">
        <f>+_xlfn.XLOOKUP(TEXT($C103,"@"),'[2]Tabla BG 2'!$C:$C,'[2]Tabla BG 2'!AE:AE,0)+AJ103</f>
        <v>0</v>
      </c>
      <c r="AL103" s="57">
        <f>+_xlfn.XLOOKUP(TEXT($C103,"@"),'[2]Tabla BG 2'!$C:$C,'[2]Tabla BG 2'!AF:AF,0)+AK103</f>
        <v>0</v>
      </c>
      <c r="AM103" s="57">
        <f>+_xlfn.XLOOKUP(TEXT($C103,"@"),'[2]Tabla BG 2'!$C:$C,'[2]Tabla BG 2'!AG:AG,0)+AL103</f>
        <v>0</v>
      </c>
      <c r="AN103" s="57">
        <f>+_xlfn.XLOOKUP(TEXT($C103,"@"),'[2]Tabla BG 2'!$C:$C,'[2]Tabla BG 2'!AG:AG,0)+AM103</f>
        <v>0</v>
      </c>
      <c r="AO103" s="57">
        <f>+_xlfn.XLOOKUP(TEXT($C103,"@"),'[2]Tabla BG 2'!$C:$C,'[2]Tabla BG 2'!AH:AH,0)+AN103</f>
        <v>0</v>
      </c>
      <c r="AP103" s="57">
        <f>+_xlfn.XLOOKUP(TEXT($C103,"@"),'[2]Tabla BG 2'!$C:$C,'[2]Tabla BG 2'!AI:AI,0)+AO103</f>
        <v>0</v>
      </c>
      <c r="AQ103" s="57">
        <f>+_xlfn.XLOOKUP(TEXT($C103,"@"),'[2]Tabla BG 2'!$C:$C,'[2]Tabla BG 2'!AJ:AJ,0)+AP103</f>
        <v>0</v>
      </c>
      <c r="AR103" s="57">
        <f>+_xlfn.XLOOKUP(TEXT($C103,"@"),'[2]Tabla BG 2'!$C:$C,'[2]Tabla BG 2'!AK:AK,0)+AQ103</f>
        <v>0</v>
      </c>
      <c r="AS103" s="57">
        <f>+_xlfn.XLOOKUP(TEXT($C103,"@"),'[2]Tabla BG 2'!$C:$C,'[2]Tabla BG 2'!AL:AL,0)+AR103</f>
        <v>0</v>
      </c>
      <c r="AT103" s="57">
        <f>+_xlfn.XLOOKUP(TEXT($C103,"@"),'[2]Tabla BG 2'!$C:$C,'[2]Tabla BG 2'!AM:AM,0)+AS103</f>
        <v>0</v>
      </c>
      <c r="AU103" s="57">
        <f>+_xlfn.XLOOKUP(TEXT($C103,"@"),'[2]Tabla BG 2'!$C:$C,'[2]Tabla BG 2'!AN:AN,0)+AT103</f>
        <v>0</v>
      </c>
      <c r="AV103" s="58">
        <f>+_xlfn.XLOOKUP(TEXT($C103,"@"),'[2]Tabla BG 2'!$C:$C,'[2]Tabla BG 2'!AO:AO,0)+AU103</f>
        <v>0</v>
      </c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17"/>
      <c r="BJ103" s="17"/>
      <c r="BK103" s="17"/>
      <c r="BL103" s="17"/>
      <c r="BM103" s="17"/>
      <c r="BN103" s="17"/>
    </row>
    <row r="104" spans="1:66" x14ac:dyDescent="0.35">
      <c r="A104">
        <v>2495</v>
      </c>
      <c r="B104" s="2" t="str">
        <f t="shared" si="32"/>
        <v>COC2510</v>
      </c>
      <c r="C104" s="36">
        <v>2510</v>
      </c>
      <c r="D104" s="16" t="s">
        <v>85</v>
      </c>
      <c r="E104" s="49"/>
      <c r="F104" s="50"/>
      <c r="G104" s="50"/>
      <c r="H104" s="50"/>
      <c r="I104" s="50"/>
      <c r="J104" s="50"/>
      <c r="K104" s="50"/>
      <c r="L104" s="32">
        <f>+_xlfn.XLOOKUP(C104,'[1]4'!$C:$C,'[1]4'!$I:$I,0)</f>
        <v>-34714.197999999997</v>
      </c>
      <c r="M104" s="56">
        <f>+_xlfn.XLOOKUP(TEXT($C104,"@"),'[2]Tabla BG 2'!$C:$C,'[2]Tabla BG 2'!E:E,0)+L104</f>
        <v>-3125.5339999999997</v>
      </c>
      <c r="N104" s="57">
        <f>+_xlfn.XLOOKUP(TEXT($C104,"@"),'[2]Tabla BG 2'!$C:$C,'[2]Tabla BG 2'!F:F,0)+M104</f>
        <v>-6468.9</v>
      </c>
      <c r="O104" s="57">
        <f>+_xlfn.XLOOKUP(TEXT($C104,"@"),'[2]Tabla BG 2'!$C:$C,'[2]Tabla BG 2'!G:G,0)+N104</f>
        <v>-9828.5079999999998</v>
      </c>
      <c r="P104" s="57">
        <f>+_xlfn.XLOOKUP(TEXT($C104,"@"),'[2]Tabla BG 2'!$C:$C,'[2]Tabla BG 2'!H:H,0)+O104</f>
        <v>-13152.852999999999</v>
      </c>
      <c r="Q104" s="57">
        <f>+_xlfn.XLOOKUP(TEXT($C104,"@"),'[2]Tabla BG 2'!$C:$C,'[2]Tabla BG 2'!I:I,0)+P104</f>
        <v>-17262.724999999999</v>
      </c>
      <c r="R104" s="57">
        <f>+_xlfn.XLOOKUP(TEXT($C104,"@"),'[2]Tabla BG 2'!$C:$C,'[2]Tabla BG 2'!J:J,0)+Q104</f>
        <v>-21351.204999999998</v>
      </c>
      <c r="S104" s="57">
        <f>+_xlfn.XLOOKUP(TEXT($C104,"@"),'[2]Tabla BG 2'!$C:$C,'[2]Tabla BG 2'!K:K,0)+R104</f>
        <v>-25045.947999999997</v>
      </c>
      <c r="T104" s="57">
        <f>+_xlfn.XLOOKUP(TEXT($C104,"@"),'[2]Tabla BG 2'!$C:$C,'[2]Tabla BG 2'!L:L,0)+S104</f>
        <v>-29030.597999999998</v>
      </c>
      <c r="U104" s="57">
        <f>+_xlfn.XLOOKUP(TEXT($C104,"@"),'[2]Tabla BG 2'!$C:$C,'[2]Tabla BG 2'!M:M,0)+T104</f>
        <v>-32842.065999999999</v>
      </c>
      <c r="V104" s="57">
        <f>+_xlfn.XLOOKUP(TEXT($C104,"@"),'[2]Tabla BG 2'!$C:$C,'[2]Tabla BG 2'!N:N,0)+U104</f>
        <v>-36714.868000000002</v>
      </c>
      <c r="W104" s="57">
        <f>+_xlfn.XLOOKUP(TEXT($C104,"@"),'[2]Tabla BG 2'!$C:$C,'[2]Tabla BG 2'!O:O,0)+V104</f>
        <v>-40602.005000000005</v>
      </c>
      <c r="X104" s="57">
        <f>+_xlfn.XLOOKUP(TEXT($C104,"@"),'[2]Tabla BG 2'!$C:$C,'[2]Tabla BG 2'!P:P,0)+W104</f>
        <v>-40636.911500000002</v>
      </c>
      <c r="Y104" s="30">
        <f>+_xlfn.XLOOKUP(TEXT($C104,"@"),'[2]Tabla BG 2'!$C:$C,'[2]Tabla BG 2'!R:R,0)+X104</f>
        <v>-44852.250500000002</v>
      </c>
      <c r="Z104" s="31">
        <f>+_xlfn.XLOOKUP(TEXT($C104,"@"),'[2]Tabla BG 2'!$C:$C,'[2]Tabla BG 2'!S:S,0)+Y104</f>
        <v>-9009.1960000000036</v>
      </c>
      <c r="AA104" s="31">
        <f>+_xlfn.XLOOKUP(TEXT($C104,"@"),'[2]Tabla BG 2'!$C:$C,'[2]Tabla BG 2'!T:T,0)+Z104</f>
        <v>-13712.822000000004</v>
      </c>
      <c r="AB104" s="31">
        <f>+_xlfn.XLOOKUP(TEXT($C104,"@"),'[2]Tabla BG 2'!$C:$C,'[2]Tabla BG 2'!U:U,0)+AA104</f>
        <v>-18060.318000000003</v>
      </c>
      <c r="AC104" s="31">
        <f>+_xlfn.XLOOKUP(TEXT($C104,"@"),'[2]Tabla BG 2'!$C:$C,'[2]Tabla BG 2'!V:V,0)+AB104</f>
        <v>-22499.977000000003</v>
      </c>
      <c r="AD104" s="31">
        <f>+_xlfn.XLOOKUP(TEXT($C104,"@"),'[2]Tabla BG 2'!$C:$C,'[2]Tabla BG 2'!W:W,0)+AC104</f>
        <v>-26872.002</v>
      </c>
      <c r="AE104" s="31">
        <f>+_xlfn.XLOOKUP(TEXT($C104,"@"),'[2]Tabla BG 2'!$C:$C,'[2]Tabla BG 2'!X:X,0)+AD104</f>
        <v>-29594.52</v>
      </c>
      <c r="AF104" s="31">
        <f>+_xlfn.XLOOKUP(TEXT($C104,"@"),'[2]Tabla BG 2'!$C:$C,'[2]Tabla BG 2'!Y:Y,0)+AE104</f>
        <v>-31867.305</v>
      </c>
      <c r="AG104" s="31">
        <f>+_xlfn.XLOOKUP(TEXT($C104,"@"),'[2]Tabla BG 2'!$C:$C,'[2]Tabla BG 2'!Z:Z,0)+AF104</f>
        <v>-33922.025000000001</v>
      </c>
      <c r="AH104" s="31">
        <f>+_xlfn.XLOOKUP(TEXT($C104,"@"),'[2]Tabla BG 2'!$C:$C,'[2]Tabla BG 2'!AA:AA,0)+AG104</f>
        <v>-37596.665000000001</v>
      </c>
      <c r="AI104" s="31">
        <f>+_xlfn.XLOOKUP(TEXT($C104,"@"),'[2]Tabla BG 2'!$C:$C,'[2]Tabla BG 2'!AB:AB,0)+AH104</f>
        <v>-37628.451000000001</v>
      </c>
      <c r="AJ104" s="32">
        <f>+_xlfn.XLOOKUP(TEXT($C104,"@"),'[2]Tabla BG 2'!$C:$C,'[2]Tabla BG 2'!AC:AC,0)+AI104</f>
        <v>-36137.016000000003</v>
      </c>
      <c r="AK104" s="56">
        <f>+_xlfn.XLOOKUP(TEXT($C104,"@"),'[2]Tabla BG 2'!$C:$C,'[2]Tabla BG 2'!AE:AE,0)+AJ104</f>
        <v>-37686.014999999999</v>
      </c>
      <c r="AL104" s="57">
        <f>+_xlfn.XLOOKUP(TEXT($C104,"@"),'[2]Tabla BG 2'!$C:$C,'[2]Tabla BG 2'!AF:AF,0)+AK104</f>
        <v>-35848.989809999999</v>
      </c>
      <c r="AM104" s="57">
        <f>+_xlfn.XLOOKUP(TEXT($C104,"@"),'[2]Tabla BG 2'!$C:$C,'[2]Tabla BG 2'!AG:AG,0)+AL104</f>
        <v>-39182.193809999997</v>
      </c>
      <c r="AN104" s="57">
        <f>+_xlfn.XLOOKUP(TEXT($C104,"@"),'[2]Tabla BG 2'!$C:$C,'[2]Tabla BG 2'!AG:AG,0)+AM104</f>
        <v>-42515.397809999995</v>
      </c>
      <c r="AO104" s="57">
        <f>+_xlfn.XLOOKUP(TEXT($C104,"@"),'[2]Tabla BG 2'!$C:$C,'[2]Tabla BG 2'!AH:AH,0)+AN104</f>
        <v>-45560.575619999996</v>
      </c>
      <c r="AP104" s="57">
        <f>+_xlfn.XLOOKUP(TEXT($C104,"@"),'[2]Tabla BG 2'!$C:$C,'[2]Tabla BG 2'!AI:AI,0)+AO104</f>
        <v>-50028.571429999996</v>
      </c>
      <c r="AQ104" s="57">
        <f>+_xlfn.XLOOKUP(TEXT($C104,"@"),'[2]Tabla BG 2'!$C:$C,'[2]Tabla BG 2'!AJ:AJ,0)+AP104</f>
        <v>-50028.571429999996</v>
      </c>
      <c r="AR104" s="57">
        <f>+_xlfn.XLOOKUP(TEXT($C104,"@"),'[2]Tabla BG 2'!$C:$C,'[2]Tabla BG 2'!AK:AK,0)+AQ104</f>
        <v>-50028.571429999996</v>
      </c>
      <c r="AS104" s="57">
        <f>+_xlfn.XLOOKUP(TEXT($C104,"@"),'[2]Tabla BG 2'!$C:$C,'[2]Tabla BG 2'!AL:AL,0)+AR104</f>
        <v>-50028.571429999996</v>
      </c>
      <c r="AT104" s="57">
        <f>+_xlfn.XLOOKUP(TEXT($C104,"@"),'[2]Tabla BG 2'!$C:$C,'[2]Tabla BG 2'!AM:AM,0)+AS104</f>
        <v>-50028.571429999996</v>
      </c>
      <c r="AU104" s="57">
        <f>+_xlfn.XLOOKUP(TEXT($C104,"@"),'[2]Tabla BG 2'!$C:$C,'[2]Tabla BG 2'!AN:AN,0)+AT104</f>
        <v>-50028.571429999996</v>
      </c>
      <c r="AV104" s="58">
        <f>+_xlfn.XLOOKUP(TEXT($C104,"@"),'[2]Tabla BG 2'!$C:$C,'[2]Tabla BG 2'!AO:AO,0)+AU104</f>
        <v>-50028.571429999996</v>
      </c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</row>
    <row r="105" spans="1:66" x14ac:dyDescent="0.35">
      <c r="A105" s="87">
        <v>2505</v>
      </c>
      <c r="B105" s="2" t="str">
        <f t="shared" si="32"/>
        <v>COC2515</v>
      </c>
      <c r="C105" s="36">
        <v>2515</v>
      </c>
      <c r="D105" s="16" t="s">
        <v>86</v>
      </c>
      <c r="E105" s="49"/>
      <c r="F105" s="50"/>
      <c r="G105" s="50"/>
      <c r="H105" s="50"/>
      <c r="I105" s="50"/>
      <c r="J105" s="50"/>
      <c r="K105" s="50"/>
      <c r="L105" s="32">
        <f>+_xlfn.XLOOKUP(C105,'[1]4'!$C:$C,'[1]4'!$I:$I,0)</f>
        <v>-4027.223</v>
      </c>
      <c r="M105" s="56">
        <f>+_xlfn.XLOOKUP(TEXT($C105,"@"),'[2]Tabla BG 2'!$C:$C,'[2]Tabla BG 2'!E:E,0)+L105</f>
        <v>-387.73300000000017</v>
      </c>
      <c r="N105" s="57">
        <f>+_xlfn.XLOOKUP(TEXT($C105,"@"),'[2]Tabla BG 2'!$C:$C,'[2]Tabla BG 2'!F:F,0)+M105</f>
        <v>-776.27600000000018</v>
      </c>
      <c r="O105" s="57">
        <f>+_xlfn.XLOOKUP(TEXT($C105,"@"),'[2]Tabla BG 2'!$C:$C,'[2]Tabla BG 2'!G:G,0)+N105</f>
        <v>-1179.4300000000003</v>
      </c>
      <c r="P105" s="57">
        <f>+_xlfn.XLOOKUP(TEXT($C105,"@"),'[2]Tabla BG 2'!$C:$C,'[2]Tabla BG 2'!H:H,0)+O105</f>
        <v>-1578.3530000000003</v>
      </c>
      <c r="Q105" s="57">
        <f>+_xlfn.XLOOKUP(TEXT($C105,"@"),'[2]Tabla BG 2'!$C:$C,'[2]Tabla BG 2'!I:I,0)+P105</f>
        <v>-2071.5370000000003</v>
      </c>
      <c r="R105" s="57">
        <f>+_xlfn.XLOOKUP(TEXT($C105,"@"),'[2]Tabla BG 2'!$C:$C,'[2]Tabla BG 2'!J:J,0)+Q105</f>
        <v>-2562.1540000000005</v>
      </c>
      <c r="S105" s="57">
        <f>+_xlfn.XLOOKUP(TEXT($C105,"@"),'[2]Tabla BG 2'!$C:$C,'[2]Tabla BG 2'!K:K,0)+R105</f>
        <v>-3005.5230000000006</v>
      </c>
      <c r="T105" s="57">
        <f>+_xlfn.XLOOKUP(TEXT($C105,"@"),'[2]Tabla BG 2'!$C:$C,'[2]Tabla BG 2'!L:L,0)+S105</f>
        <v>-3367.2580000000007</v>
      </c>
      <c r="U105" s="57">
        <f>+_xlfn.XLOOKUP(TEXT($C105,"@"),'[2]Tabla BG 2'!$C:$C,'[2]Tabla BG 2'!M:M,0)+T105</f>
        <v>-3605.3900000000008</v>
      </c>
      <c r="V105" s="57">
        <f>+_xlfn.XLOOKUP(TEXT($C105,"@"),'[2]Tabla BG 2'!$C:$C,'[2]Tabla BG 2'!N:N,0)+U105</f>
        <v>-4070.123000000001</v>
      </c>
      <c r="W105" s="57">
        <f>+_xlfn.XLOOKUP(TEXT($C105,"@"),'[2]Tabla BG 2'!$C:$C,'[2]Tabla BG 2'!O:O,0)+V105</f>
        <v>-4536.5780000000013</v>
      </c>
      <c r="X105" s="57">
        <f>+_xlfn.XLOOKUP(TEXT($C105,"@"),'[2]Tabla BG 2'!$C:$C,'[2]Tabla BG 2'!P:P,0)+W105</f>
        <v>-4821.4198400000014</v>
      </c>
      <c r="Y105" s="30">
        <f>+_xlfn.XLOOKUP(TEXT($C105,"@"),'[2]Tabla BG 2'!$C:$C,'[2]Tabla BG 2'!R:R,0)+X105</f>
        <v>-46.980840000001081</v>
      </c>
      <c r="Z105" s="31">
        <f>+_xlfn.XLOOKUP(TEXT($C105,"@"),'[2]Tabla BG 2'!$C:$C,'[2]Tabla BG 2'!S:S,0)+Y105</f>
        <v>-99.95984000000108</v>
      </c>
      <c r="AA105" s="31">
        <f>+_xlfn.XLOOKUP(TEXT($C105,"@"),'[2]Tabla BG 2'!$C:$C,'[2]Tabla BG 2'!T:T,0)+Z105</f>
        <v>-152.93884000000108</v>
      </c>
      <c r="AB105" s="31">
        <f>+_xlfn.XLOOKUP(TEXT($C105,"@"),'[2]Tabla BG 2'!$C:$C,'[2]Tabla BG 2'!U:U,0)+AA105</f>
        <v>-205.18484000000109</v>
      </c>
      <c r="AC105" s="31">
        <f>+_xlfn.XLOOKUP(TEXT($C105,"@"),'[2]Tabla BG 2'!$C:$C,'[2]Tabla BG 2'!V:V,0)+AB105</f>
        <v>-219.55384000000109</v>
      </c>
      <c r="AD105" s="31">
        <f>+_xlfn.XLOOKUP(TEXT($C105,"@"),'[2]Tabla BG 2'!$C:$C,'[2]Tabla BG 2'!W:W,0)+AC105</f>
        <v>-272.5328400000011</v>
      </c>
      <c r="AE105" s="31">
        <f>+_xlfn.XLOOKUP(TEXT($C105,"@"),'[2]Tabla BG 2'!$C:$C,'[2]Tabla BG 2'!X:X,0)+AD105</f>
        <v>-243.7048400000011</v>
      </c>
      <c r="AF105" s="31">
        <f>+_xlfn.XLOOKUP(TEXT($C105,"@"),'[2]Tabla BG 2'!$C:$C,'[2]Tabla BG 2'!Y:Y,0)+AE105</f>
        <v>-162.31684000000109</v>
      </c>
      <c r="AG105" s="31">
        <f>+_xlfn.XLOOKUP(TEXT($C105,"@"),'[2]Tabla BG 2'!$C:$C,'[2]Tabla BG 2'!Z:Z,0)+AF105</f>
        <v>-80.232840000001104</v>
      </c>
      <c r="AH105" s="31">
        <f>+_xlfn.XLOOKUP(TEXT($C105,"@"),'[2]Tabla BG 2'!$C:$C,'[2]Tabla BG 2'!AA:AA,0)+AG105</f>
        <v>-136.0738400000011</v>
      </c>
      <c r="AI105" s="31">
        <f>+_xlfn.XLOOKUP(TEXT($C105,"@"),'[2]Tabla BG 2'!$C:$C,'[2]Tabla BG 2'!AB:AB,0)+AH105</f>
        <v>184.33515999999889</v>
      </c>
      <c r="AJ105" s="32">
        <f>+_xlfn.XLOOKUP(TEXT($C105,"@"),'[2]Tabla BG 2'!$C:$C,'[2]Tabla BG 2'!AC:AC,0)+AI105</f>
        <v>-4294.6618900000012</v>
      </c>
      <c r="AK105" s="56">
        <f>+_xlfn.XLOOKUP(TEXT($C105,"@"),'[2]Tabla BG 2'!$C:$C,'[2]Tabla BG 2'!AE:AE,0)+AJ105</f>
        <v>-77.868890000001556</v>
      </c>
      <c r="AL105" s="57">
        <f>+_xlfn.XLOOKUP(TEXT($C105,"@"),'[2]Tabla BG 2'!$C:$C,'[2]Tabla BG 2'!AF:AF,0)+AK105</f>
        <v>-489.11589000000157</v>
      </c>
      <c r="AM105" s="57">
        <f>+_xlfn.XLOOKUP(TEXT($C105,"@"),'[2]Tabla BG 2'!$C:$C,'[2]Tabla BG 2'!AG:AG,0)+AL105</f>
        <v>-923.16689000000156</v>
      </c>
      <c r="AN105" s="57">
        <f>+_xlfn.XLOOKUP(TEXT($C105,"@"),'[2]Tabla BG 2'!$C:$C,'[2]Tabla BG 2'!AG:AG,0)+AM105</f>
        <v>-1357.2178900000015</v>
      </c>
      <c r="AO105" s="57">
        <f>+_xlfn.XLOOKUP(TEXT($C105,"@"),'[2]Tabla BG 2'!$C:$C,'[2]Tabla BG 2'!AH:AH,0)+AN105</f>
        <v>2014.2771099999984</v>
      </c>
      <c r="AP105" s="57">
        <f>+_xlfn.XLOOKUP(TEXT($C105,"@"),'[2]Tabla BG 2'!$C:$C,'[2]Tabla BG 2'!AI:AI,0)+AO105</f>
        <v>5118.3332199999986</v>
      </c>
      <c r="AQ105" s="57">
        <f>+_xlfn.XLOOKUP(TEXT($C105,"@"),'[2]Tabla BG 2'!$C:$C,'[2]Tabla BG 2'!AJ:AJ,0)+AP105</f>
        <v>5118.3332199999986</v>
      </c>
      <c r="AR105" s="57">
        <f>+_xlfn.XLOOKUP(TEXT($C105,"@"),'[2]Tabla BG 2'!$C:$C,'[2]Tabla BG 2'!AK:AK,0)+AQ105</f>
        <v>5118.3332199999986</v>
      </c>
      <c r="AS105" s="57">
        <f>+_xlfn.XLOOKUP(TEXT($C105,"@"),'[2]Tabla BG 2'!$C:$C,'[2]Tabla BG 2'!AL:AL,0)+AR105</f>
        <v>5118.3332199999986</v>
      </c>
      <c r="AT105" s="57">
        <f>+_xlfn.XLOOKUP(TEXT($C105,"@"),'[2]Tabla BG 2'!$C:$C,'[2]Tabla BG 2'!AM:AM,0)+AS105</f>
        <v>5118.3332199999986</v>
      </c>
      <c r="AU105" s="57">
        <f>+_xlfn.XLOOKUP(TEXT($C105,"@"),'[2]Tabla BG 2'!$C:$C,'[2]Tabla BG 2'!AN:AN,0)+AT105</f>
        <v>5118.3332199999986</v>
      </c>
      <c r="AV105" s="58">
        <f>+_xlfn.XLOOKUP(TEXT($C105,"@"),'[2]Tabla BG 2'!$C:$C,'[2]Tabla BG 2'!AO:AO,0)+AU105</f>
        <v>5118.3332199999986</v>
      </c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</row>
    <row r="106" spans="1:66" x14ac:dyDescent="0.35">
      <c r="A106" s="87">
        <v>2510</v>
      </c>
      <c r="B106" s="2" t="str">
        <f t="shared" si="32"/>
        <v>COC2520</v>
      </c>
      <c r="C106" s="36">
        <v>2520</v>
      </c>
      <c r="D106" s="16" t="s">
        <v>87</v>
      </c>
      <c r="E106" s="49"/>
      <c r="F106" s="50"/>
      <c r="G106" s="50"/>
      <c r="H106" s="50"/>
      <c r="I106" s="50"/>
      <c r="J106" s="50"/>
      <c r="K106" s="50"/>
      <c r="L106" s="32">
        <f>+_xlfn.XLOOKUP(C106,'[1]4'!$C:$C,'[1]4'!$I:$I,0)</f>
        <v>0</v>
      </c>
      <c r="M106" s="56">
        <f>+_xlfn.XLOOKUP(TEXT($C106,"@"),'[2]Tabla BG 2'!$C:$C,'[2]Tabla BG 2'!E:E,0)+L106</f>
        <v>-3125.614</v>
      </c>
      <c r="N106" s="57">
        <f>+_xlfn.XLOOKUP(TEXT($C106,"@"),'[2]Tabla BG 2'!$C:$C,'[2]Tabla BG 2'!F:F,0)+M106</f>
        <v>-6468.98</v>
      </c>
      <c r="O106" s="57">
        <f>+_xlfn.XLOOKUP(TEXT($C106,"@"),'[2]Tabla BG 2'!$C:$C,'[2]Tabla BG 2'!G:G,0)+N106</f>
        <v>-9828.5879999999997</v>
      </c>
      <c r="P106" s="57">
        <f>+_xlfn.XLOOKUP(TEXT($C106,"@"),'[2]Tabla BG 2'!$C:$C,'[2]Tabla BG 2'!H:H,0)+O106</f>
        <v>-13152.932999999999</v>
      </c>
      <c r="Q106" s="57">
        <f>+_xlfn.XLOOKUP(TEXT($C106,"@"),'[2]Tabla BG 2'!$C:$C,'[2]Tabla BG 2'!I:I,0)+P106</f>
        <v>-17262.804999999993</v>
      </c>
      <c r="R106" s="57">
        <f>+_xlfn.XLOOKUP(TEXT($C106,"@"),'[2]Tabla BG 2'!$C:$C,'[2]Tabla BG 2'!J:J,0)+Q106</f>
        <v>625.68300000000818</v>
      </c>
      <c r="S106" s="57">
        <f>+_xlfn.XLOOKUP(TEXT($C106,"@"),'[2]Tabla BG 2'!$C:$C,'[2]Tabla BG 2'!K:K,0)+R106</f>
        <v>-3069.0599999999918</v>
      </c>
      <c r="T106" s="57">
        <f>+_xlfn.XLOOKUP(TEXT($C106,"@"),'[2]Tabla BG 2'!$C:$C,'[2]Tabla BG 2'!L:L,0)+S106</f>
        <v>-6829.9599999999919</v>
      </c>
      <c r="U106" s="57">
        <f>+_xlfn.XLOOKUP(TEXT($C106,"@"),'[2]Tabla BG 2'!$C:$C,'[2]Tabla BG 2'!M:M,0)+T106</f>
        <v>-9930.0829999999914</v>
      </c>
      <c r="V106" s="57">
        <f>+_xlfn.XLOOKUP(TEXT($C106,"@"),'[2]Tabla BG 2'!$C:$C,'[2]Tabla BG 2'!N:N,0)+U106</f>
        <v>-13802.884999999991</v>
      </c>
      <c r="W106" s="57">
        <f>+_xlfn.XLOOKUP(TEXT($C106,"@"),'[2]Tabla BG 2'!$C:$C,'[2]Tabla BG 2'!O:O,0)+V106</f>
        <v>-17690.02199999999</v>
      </c>
      <c r="X106" s="57">
        <f>+_xlfn.XLOOKUP(TEXT($C106,"@"),'[2]Tabla BG 2'!$C:$C,'[2]Tabla BG 2'!P:P,0)+W106</f>
        <v>0</v>
      </c>
      <c r="Y106" s="30">
        <f>+_xlfn.XLOOKUP(TEXT($C106,"@"),'[2]Tabla BG 2'!$C:$C,'[2]Tabla BG 2'!R:R,0)+X106</f>
        <v>-3805.6439999999998</v>
      </c>
      <c r="Z106" s="31">
        <f>+_xlfn.XLOOKUP(TEXT($C106,"@"),'[2]Tabla BG 2'!$C:$C,'[2]Tabla BG 2'!S:S,0)+Y106</f>
        <v>-8222.4629999999997</v>
      </c>
      <c r="AA106" s="31">
        <f>+_xlfn.XLOOKUP(TEXT($C106,"@"),'[2]Tabla BG 2'!$C:$C,'[2]Tabla BG 2'!T:T,0)+Z106</f>
        <v>-12469.431</v>
      </c>
      <c r="AB106" s="31">
        <f>+_xlfn.XLOOKUP(TEXT($C106,"@"),'[2]Tabla BG 2'!$C:$C,'[2]Tabla BG 2'!U:U,0)+AA106</f>
        <v>-16397.772000000001</v>
      </c>
      <c r="AC106" s="31">
        <f>+_xlfn.XLOOKUP(TEXT($C106,"@"),'[2]Tabla BG 2'!$C:$C,'[2]Tabla BG 2'!V:V,0)+AB106</f>
        <v>-19538.156999999999</v>
      </c>
      <c r="AD106" s="31">
        <f>+_xlfn.XLOOKUP(TEXT($C106,"@"),'[2]Tabla BG 2'!$C:$C,'[2]Tabla BG 2'!W:W,0)+AC106</f>
        <v>145.70000000000073</v>
      </c>
      <c r="AE106" s="31">
        <f>+_xlfn.XLOOKUP(TEXT($C106,"@"),'[2]Tabla BG 2'!$C:$C,'[2]Tabla BG 2'!X:X,0)+AD106</f>
        <v>-3200.8729999999991</v>
      </c>
      <c r="AF106" s="31">
        <f>+_xlfn.XLOOKUP(TEXT($C106,"@"),'[2]Tabla BG 2'!$C:$C,'[2]Tabla BG 2'!Y:Y,0)+AE106</f>
        <v>-6375.4159999999993</v>
      </c>
      <c r="AG106" s="31">
        <f>+_xlfn.XLOOKUP(TEXT($C106,"@"),'[2]Tabla BG 2'!$C:$C,'[2]Tabla BG 2'!Z:Z,0)+AF106</f>
        <v>-9245.81</v>
      </c>
      <c r="AH106" s="31">
        <f>+_xlfn.XLOOKUP(TEXT($C106,"@"),'[2]Tabla BG 2'!$C:$C,'[2]Tabla BG 2'!AA:AA,0)+AG106</f>
        <v>-12576.594999999999</v>
      </c>
      <c r="AI106" s="31">
        <f>+_xlfn.XLOOKUP(TEXT($C106,"@"),'[2]Tabla BG 2'!$C:$C,'[2]Tabla BG 2'!AB:AB,0)+AH106</f>
        <v>-14233.766</v>
      </c>
      <c r="AJ106" s="32">
        <f>+_xlfn.XLOOKUP(TEXT($C106,"@"),'[2]Tabla BG 2'!$C:$C,'[2]Tabla BG 2'!AC:AC,0)+AI106</f>
        <v>0</v>
      </c>
      <c r="AK106" s="56">
        <f>+_xlfn.XLOOKUP(TEXT($C106,"@"),'[2]Tabla BG 2'!$C:$C,'[2]Tabla BG 2'!AE:AE,0)+AJ106</f>
        <v>-3176.9229999999998</v>
      </c>
      <c r="AL106" s="57">
        <f>+_xlfn.XLOOKUP(TEXT($C106,"@"),'[2]Tabla BG 2'!$C:$C,'[2]Tabla BG 2'!AF:AF,0)+AK106</f>
        <v>-6603.9740000000002</v>
      </c>
      <c r="AM106" s="57">
        <f>+_xlfn.XLOOKUP(TEXT($C106,"@"),'[2]Tabla BG 2'!$C:$C,'[2]Tabla BG 2'!AG:AG,0)+AL106</f>
        <v>-9937.1779999999999</v>
      </c>
      <c r="AN106" s="57">
        <f>+_xlfn.XLOOKUP(TEXT($C106,"@"),'[2]Tabla BG 2'!$C:$C,'[2]Tabla BG 2'!AG:AG,0)+AM106</f>
        <v>-13270.382</v>
      </c>
      <c r="AO106" s="57">
        <f>+_xlfn.XLOOKUP(TEXT($C106,"@"),'[2]Tabla BG 2'!$C:$C,'[2]Tabla BG 2'!AH:AH,0)+AN106</f>
        <v>-23207.559999999998</v>
      </c>
      <c r="AP106" s="57">
        <f>+_xlfn.XLOOKUP(TEXT($C106,"@"),'[2]Tabla BG 2'!$C:$C,'[2]Tabla BG 2'!AI:AI,0)+AO106</f>
        <v>-33144.737999999998</v>
      </c>
      <c r="AQ106" s="57">
        <f>+_xlfn.XLOOKUP(TEXT($C106,"@"),'[2]Tabla BG 2'!$C:$C,'[2]Tabla BG 2'!AJ:AJ,0)+AP106</f>
        <v>-33144.737999999998</v>
      </c>
      <c r="AR106" s="57">
        <f>+_xlfn.XLOOKUP(TEXT($C106,"@"),'[2]Tabla BG 2'!$C:$C,'[2]Tabla BG 2'!AK:AK,0)+AQ106</f>
        <v>-33144.737999999998</v>
      </c>
      <c r="AS106" s="57">
        <f>+_xlfn.XLOOKUP(TEXT($C106,"@"),'[2]Tabla BG 2'!$C:$C,'[2]Tabla BG 2'!AL:AL,0)+AR106</f>
        <v>-33144.737999999998</v>
      </c>
      <c r="AT106" s="57">
        <f>+_xlfn.XLOOKUP(TEXT($C106,"@"),'[2]Tabla BG 2'!$C:$C,'[2]Tabla BG 2'!AM:AM,0)+AS106</f>
        <v>-33144.737999999998</v>
      </c>
      <c r="AU106" s="57">
        <f>+_xlfn.XLOOKUP(TEXT($C106,"@"),'[2]Tabla BG 2'!$C:$C,'[2]Tabla BG 2'!AN:AN,0)+AT106</f>
        <v>-33144.737999999998</v>
      </c>
      <c r="AV106" s="58">
        <f>+_xlfn.XLOOKUP(TEXT($C106,"@"),'[2]Tabla BG 2'!$C:$C,'[2]Tabla BG 2'!AO:AO,0)+AU106</f>
        <v>-33144.737999999998</v>
      </c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</row>
    <row r="107" spans="1:66" x14ac:dyDescent="0.35">
      <c r="A107" s="87">
        <v>2515</v>
      </c>
      <c r="B107" s="2" t="str">
        <f t="shared" si="32"/>
        <v>COC2525</v>
      </c>
      <c r="C107" s="36">
        <v>2525</v>
      </c>
      <c r="D107" s="16" t="s">
        <v>88</v>
      </c>
      <c r="E107" s="49"/>
      <c r="F107" s="50"/>
      <c r="G107" s="50"/>
      <c r="H107" s="50"/>
      <c r="I107" s="50"/>
      <c r="J107" s="50"/>
      <c r="K107" s="50"/>
      <c r="L107" s="32">
        <f>+_xlfn.XLOOKUP(C107,'[1]4'!$C:$C,'[1]4'!$I:$I,0)</f>
        <v>-6725.076</v>
      </c>
      <c r="M107" s="56">
        <f>+_xlfn.XLOOKUP(TEXT($C107,"@"),'[2]Tabla BG 2'!$C:$C,'[2]Tabla BG 2'!E:E,0)+L107</f>
        <v>-7208.2250000000004</v>
      </c>
      <c r="N107" s="57">
        <f>+_xlfn.XLOOKUP(TEXT($C107,"@"),'[2]Tabla BG 2'!$C:$C,'[2]Tabla BG 2'!F:F,0)+M107</f>
        <v>-7837.375</v>
      </c>
      <c r="O107" s="57">
        <f>+_xlfn.XLOOKUP(TEXT($C107,"@"),'[2]Tabla BG 2'!$C:$C,'[2]Tabla BG 2'!G:G,0)+N107</f>
        <v>-7148.76</v>
      </c>
      <c r="P107" s="57">
        <f>+_xlfn.XLOOKUP(TEXT($C107,"@"),'[2]Tabla BG 2'!$C:$C,'[2]Tabla BG 2'!H:H,0)+O107</f>
        <v>-8687.8209999999999</v>
      </c>
      <c r="Q107" s="57">
        <f>+_xlfn.XLOOKUP(TEXT($C107,"@"),'[2]Tabla BG 2'!$C:$C,'[2]Tabla BG 2'!I:I,0)+P107</f>
        <v>-9121.896999999999</v>
      </c>
      <c r="R107" s="57">
        <f>+_xlfn.XLOOKUP(TEXT($C107,"@"),'[2]Tabla BG 2'!$C:$C,'[2]Tabla BG 2'!J:J,0)+Q107</f>
        <v>-7714.851999999999</v>
      </c>
      <c r="S107" s="57">
        <f>+_xlfn.XLOOKUP(TEXT($C107,"@"),'[2]Tabla BG 2'!$C:$C,'[2]Tabla BG 2'!K:K,0)+R107</f>
        <v>-8087.0269999999991</v>
      </c>
      <c r="T107" s="57">
        <f>+_xlfn.XLOOKUP(TEXT($C107,"@"),'[2]Tabla BG 2'!$C:$C,'[2]Tabla BG 2'!L:L,0)+S107</f>
        <v>-8200.7599999999984</v>
      </c>
      <c r="U107" s="57">
        <f>+_xlfn.XLOOKUP(TEXT($C107,"@"),'[2]Tabla BG 2'!$C:$C,'[2]Tabla BG 2'!M:M,0)+T107</f>
        <v>-8136.6439999999984</v>
      </c>
      <c r="V107" s="57">
        <f>+_xlfn.XLOOKUP(TEXT($C107,"@"),'[2]Tabla BG 2'!$C:$C,'[2]Tabla BG 2'!N:N,0)+U107</f>
        <v>-8336.012999999999</v>
      </c>
      <c r="W107" s="57">
        <f>+_xlfn.XLOOKUP(TEXT($C107,"@"),'[2]Tabla BG 2'!$C:$C,'[2]Tabla BG 2'!O:O,0)+V107</f>
        <v>-8729.0379999999986</v>
      </c>
      <c r="X107" s="57">
        <f>+_xlfn.XLOOKUP(TEXT($C107,"@"),'[2]Tabla BG 2'!$C:$C,'[2]Tabla BG 2'!P:P,0)+W107</f>
        <v>-17222.016309999999</v>
      </c>
      <c r="Y107" s="30">
        <f>+_xlfn.XLOOKUP(TEXT($C107,"@"),'[2]Tabla BG 2'!$C:$C,'[2]Tabla BG 2'!R:R,0)+X107</f>
        <v>-16919.64531</v>
      </c>
      <c r="Z107" s="31">
        <f>+_xlfn.XLOOKUP(TEXT($C107,"@"),'[2]Tabla BG 2'!$C:$C,'[2]Tabla BG 2'!S:S,0)+Y107</f>
        <v>-16269.36031</v>
      </c>
      <c r="AA107" s="31">
        <f>+_xlfn.XLOOKUP(TEXT($C107,"@"),'[2]Tabla BG 2'!$C:$C,'[2]Tabla BG 2'!T:T,0)+Z107</f>
        <v>-15757.57531</v>
      </c>
      <c r="AB107" s="31">
        <f>+_xlfn.XLOOKUP(TEXT($C107,"@"),'[2]Tabla BG 2'!$C:$C,'[2]Tabla BG 2'!U:U,0)+AA107</f>
        <v>-14036.31431</v>
      </c>
      <c r="AC107" s="31">
        <f>+_xlfn.XLOOKUP(TEXT($C107,"@"),'[2]Tabla BG 2'!$C:$C,'[2]Tabla BG 2'!V:V,0)+AB107</f>
        <v>-12986.125309999999</v>
      </c>
      <c r="AD107" s="31">
        <f>+_xlfn.XLOOKUP(TEXT($C107,"@"),'[2]Tabla BG 2'!$C:$C,'[2]Tabla BG 2'!W:W,0)+AC107</f>
        <v>-11546.238309999999</v>
      </c>
      <c r="AE107" s="31">
        <f>+_xlfn.XLOOKUP(TEXT($C107,"@"),'[2]Tabla BG 2'!$C:$C,'[2]Tabla BG 2'!X:X,0)+AD107</f>
        <v>-7445.8563099999992</v>
      </c>
      <c r="AF107" s="31">
        <f>+_xlfn.XLOOKUP(TEXT($C107,"@"),'[2]Tabla BG 2'!$C:$C,'[2]Tabla BG 2'!Y:Y,0)+AE107</f>
        <v>-7931.1593099999991</v>
      </c>
      <c r="AG107" s="31">
        <f>+_xlfn.XLOOKUP(TEXT($C107,"@"),'[2]Tabla BG 2'!$C:$C,'[2]Tabla BG 2'!Z:Z,0)+AF107</f>
        <v>-8322.6203099999984</v>
      </c>
      <c r="AH107" s="31">
        <f>+_xlfn.XLOOKUP(TEXT($C107,"@"),'[2]Tabla BG 2'!$C:$C,'[2]Tabla BG 2'!AA:AA,0)+AG107</f>
        <v>-9853.8303099999976</v>
      </c>
      <c r="AI107" s="31">
        <f>+_xlfn.XLOOKUP(TEXT($C107,"@"),'[2]Tabla BG 2'!$C:$C,'[2]Tabla BG 2'!AB:AB,0)+AH107</f>
        <v>-6204.6073099999976</v>
      </c>
      <c r="AJ107" s="32">
        <f>+_xlfn.XLOOKUP(TEXT($C107,"@"),'[2]Tabla BG 2'!$C:$C,'[2]Tabla BG 2'!AC:AC,0)+AI107</f>
        <v>-15758.023249999997</v>
      </c>
      <c r="AK107" s="56">
        <f>+_xlfn.XLOOKUP(TEXT($C107,"@"),'[2]Tabla BG 2'!$C:$C,'[2]Tabla BG 2'!AE:AE,0)+AJ107</f>
        <v>-13977.041249999997</v>
      </c>
      <c r="AL107" s="57">
        <f>+_xlfn.XLOOKUP(TEXT($C107,"@"),'[2]Tabla BG 2'!$C:$C,'[2]Tabla BG 2'!AF:AF,0)+AK107</f>
        <v>-14357.614249999997</v>
      </c>
      <c r="AM107" s="57">
        <f>+_xlfn.XLOOKUP(TEXT($C107,"@"),'[2]Tabla BG 2'!$C:$C,'[2]Tabla BG 2'!AG:AG,0)+AL107</f>
        <v>-12344.255249999997</v>
      </c>
      <c r="AN107" s="57">
        <f>+_xlfn.XLOOKUP(TEXT($C107,"@"),'[2]Tabla BG 2'!$C:$C,'[2]Tabla BG 2'!AG:AG,0)+AM107</f>
        <v>-10330.896249999996</v>
      </c>
      <c r="AO107" s="57">
        <f>+_xlfn.XLOOKUP(TEXT($C107,"@"),'[2]Tabla BG 2'!$C:$C,'[2]Tabla BG 2'!AH:AH,0)+AN107</f>
        <v>-6917.1282499999961</v>
      </c>
      <c r="AP107" s="57">
        <f>+_xlfn.XLOOKUP(TEXT($C107,"@"),'[2]Tabla BG 2'!$C:$C,'[2]Tabla BG 2'!AI:AI,0)+AO107</f>
        <v>-12536.307499999994</v>
      </c>
      <c r="AQ107" s="57">
        <f>+_xlfn.XLOOKUP(TEXT($C107,"@"),'[2]Tabla BG 2'!$C:$C,'[2]Tabla BG 2'!AJ:AJ,0)+AP107</f>
        <v>-12536.307499999994</v>
      </c>
      <c r="AR107" s="57">
        <f>+_xlfn.XLOOKUP(TEXT($C107,"@"),'[2]Tabla BG 2'!$C:$C,'[2]Tabla BG 2'!AK:AK,0)+AQ107</f>
        <v>-12536.307499999994</v>
      </c>
      <c r="AS107" s="57">
        <f>+_xlfn.XLOOKUP(TEXT($C107,"@"),'[2]Tabla BG 2'!$C:$C,'[2]Tabla BG 2'!AL:AL,0)+AR107</f>
        <v>-12536.307499999994</v>
      </c>
      <c r="AT107" s="57">
        <f>+_xlfn.XLOOKUP(TEXT($C107,"@"),'[2]Tabla BG 2'!$C:$C,'[2]Tabla BG 2'!AM:AM,0)+AS107</f>
        <v>-12536.307499999994</v>
      </c>
      <c r="AU107" s="57">
        <f>+_xlfn.XLOOKUP(TEXT($C107,"@"),'[2]Tabla BG 2'!$C:$C,'[2]Tabla BG 2'!AN:AN,0)+AT107</f>
        <v>-12536.307499999994</v>
      </c>
      <c r="AV107" s="58">
        <f>+_xlfn.XLOOKUP(TEXT($C107,"@"),'[2]Tabla BG 2'!$C:$C,'[2]Tabla BG 2'!AO:AO,0)+AU107</f>
        <v>-12536.307499999994</v>
      </c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</row>
    <row r="108" spans="1:66" x14ac:dyDescent="0.35">
      <c r="A108" s="87"/>
      <c r="C108" s="36" t="s">
        <v>89</v>
      </c>
      <c r="D108" s="16" t="s">
        <v>90</v>
      </c>
      <c r="E108" s="49"/>
      <c r="F108" s="50"/>
      <c r="G108" s="50"/>
      <c r="H108" s="50"/>
      <c r="I108" s="50"/>
      <c r="J108" s="50"/>
      <c r="K108" s="50"/>
      <c r="L108" s="32"/>
      <c r="M108" s="56"/>
      <c r="N108" s="57">
        <f>+_xlfn.XLOOKUP(TEXT($C108,"@"),'[2]Tabla BG 2'!$C:$C,'[2]Tabla BG 2'!F:F,0)+M108</f>
        <v>0</v>
      </c>
      <c r="O108" s="57">
        <f>+_xlfn.XLOOKUP(TEXT($C108,"@"),'[2]Tabla BG 2'!$C:$C,'[2]Tabla BG 2'!G:G,0)+N108</f>
        <v>-156.196</v>
      </c>
      <c r="P108" s="57">
        <f>+_xlfn.XLOOKUP(TEXT($C108,"@"),'[2]Tabla BG 2'!$C:$C,'[2]Tabla BG 2'!H:H,0)+O108</f>
        <v>-544.99400000000003</v>
      </c>
      <c r="Q108" s="57">
        <f>+_xlfn.XLOOKUP(TEXT($C108,"@"),'[2]Tabla BG 2'!$C:$C,'[2]Tabla BG 2'!I:I,0)+P108</f>
        <v>0</v>
      </c>
      <c r="R108" s="57"/>
      <c r="S108" s="57"/>
      <c r="T108" s="57"/>
      <c r="U108" s="57"/>
      <c r="V108" s="57"/>
      <c r="W108" s="57"/>
      <c r="X108" s="57"/>
      <c r="Y108" s="30">
        <f>+_xlfn.XLOOKUP(TEXT($C108,"@"),'[2]Tabla BG 2'!$C:$C,'[2]Tabla BG 2'!R:R,0)+X108</f>
        <v>0</v>
      </c>
      <c r="Z108" s="31">
        <f>+_xlfn.XLOOKUP(TEXT($C108,"@"),'[2]Tabla BG 2'!$C:$C,'[2]Tabla BG 2'!S:S,0)+Y108</f>
        <v>0</v>
      </c>
      <c r="AA108" s="31">
        <f>+_xlfn.XLOOKUP(TEXT($C108,"@"),'[2]Tabla BG 2'!$C:$C,'[2]Tabla BG 2'!T:T,0)+Z108</f>
        <v>0</v>
      </c>
      <c r="AB108" s="31">
        <f>+_xlfn.XLOOKUP(TEXT($C108,"@"),'[2]Tabla BG 2'!$C:$C,'[2]Tabla BG 2'!U:U,0)+AA108</f>
        <v>0</v>
      </c>
      <c r="AC108" s="31">
        <f>+_xlfn.XLOOKUP(TEXT($C108,"@"),'[2]Tabla BG 2'!$C:$C,'[2]Tabla BG 2'!V:V,0)+AB108</f>
        <v>0</v>
      </c>
      <c r="AD108" s="31">
        <f>+_xlfn.XLOOKUP(TEXT($C108,"@"),'[2]Tabla BG 2'!$C:$C,'[2]Tabla BG 2'!W:W,0)+AC108</f>
        <v>0</v>
      </c>
      <c r="AE108" s="31">
        <f>+_xlfn.XLOOKUP(TEXT($C108,"@"),'[2]Tabla BG 2'!$C:$C,'[2]Tabla BG 2'!X:X,0)+AD108</f>
        <v>0</v>
      </c>
      <c r="AF108" s="31">
        <f>+_xlfn.XLOOKUP(TEXT($C108,"@"),'[2]Tabla BG 2'!$C:$C,'[2]Tabla BG 2'!Y:Y,0)+AE108</f>
        <v>0</v>
      </c>
      <c r="AG108" s="31">
        <f>+_xlfn.XLOOKUP(TEXT($C108,"@"),'[2]Tabla BG 2'!$C:$C,'[2]Tabla BG 2'!Z:Z,0)+AF108</f>
        <v>0</v>
      </c>
      <c r="AH108" s="31">
        <f>+_xlfn.XLOOKUP(TEXT($C108,"@"),'[2]Tabla BG 2'!$C:$C,'[2]Tabla BG 2'!AA:AA,0)+AG108</f>
        <v>0</v>
      </c>
      <c r="AI108" s="31">
        <f>+_xlfn.XLOOKUP(TEXT($C108,"@"),'[2]Tabla BG 2'!$C:$C,'[2]Tabla BG 2'!AB:AB,0)+AH108</f>
        <v>0</v>
      </c>
      <c r="AJ108" s="32">
        <f>+_xlfn.XLOOKUP(TEXT($C108,"@"),'[2]Tabla BG 2'!$C:$C,'[2]Tabla BG 2'!AC:AC,0)+AI108</f>
        <v>0</v>
      </c>
      <c r="AK108" s="56">
        <f>+_xlfn.XLOOKUP(TEXT($C108,"@"),'[2]Tabla BG 2'!$C:$C,'[2]Tabla BG 2'!AE:AE,0)+AJ108</f>
        <v>0</v>
      </c>
      <c r="AL108" s="57">
        <f>+_xlfn.XLOOKUP(TEXT($C108,"@"),'[2]Tabla BG 2'!$C:$C,'[2]Tabla BG 2'!AF:AF,0)+AK108</f>
        <v>0</v>
      </c>
      <c r="AM108" s="57">
        <f>+_xlfn.XLOOKUP(TEXT($C108,"@"),'[2]Tabla BG 2'!$C:$C,'[2]Tabla BG 2'!AG:AG,0)+AL108</f>
        <v>0</v>
      </c>
      <c r="AN108" s="57">
        <f>+_xlfn.XLOOKUP(TEXT($C108,"@"),'[2]Tabla BG 2'!$C:$C,'[2]Tabla BG 2'!AG:AG,0)+AM108</f>
        <v>0</v>
      </c>
      <c r="AO108" s="57">
        <f>+_xlfn.XLOOKUP(TEXT($C108,"@"),'[2]Tabla BG 2'!$C:$C,'[2]Tabla BG 2'!AH:AH,0)+AN108</f>
        <v>0</v>
      </c>
      <c r="AP108" s="57">
        <f>+_xlfn.XLOOKUP(TEXT($C108,"@"),'[2]Tabla BG 2'!$C:$C,'[2]Tabla BG 2'!AI:AI,0)+AO108</f>
        <v>0</v>
      </c>
      <c r="AQ108" s="57">
        <f>+_xlfn.XLOOKUP(TEXT($C108,"@"),'[2]Tabla BG 2'!$C:$C,'[2]Tabla BG 2'!AJ:AJ,0)+AP108</f>
        <v>0</v>
      </c>
      <c r="AR108" s="57">
        <f>+_xlfn.XLOOKUP(TEXT($C108,"@"),'[2]Tabla BG 2'!$C:$C,'[2]Tabla BG 2'!AK:AK,0)+AQ108</f>
        <v>0</v>
      </c>
      <c r="AS108" s="57">
        <f>+_xlfn.XLOOKUP(TEXT($C108,"@"),'[2]Tabla BG 2'!$C:$C,'[2]Tabla BG 2'!AL:AL,0)+AR108</f>
        <v>0</v>
      </c>
      <c r="AT108" s="57">
        <f>+_xlfn.XLOOKUP(TEXT($C108,"@"),'[2]Tabla BG 2'!$C:$C,'[2]Tabla BG 2'!AM:AM,0)+AS108</f>
        <v>0</v>
      </c>
      <c r="AU108" s="57">
        <f>+_xlfn.XLOOKUP(TEXT($C108,"@"),'[2]Tabla BG 2'!$C:$C,'[2]Tabla BG 2'!AN:AN,0)+AT108</f>
        <v>0</v>
      </c>
      <c r="AV108" s="58">
        <f>+_xlfn.XLOOKUP(TEXT($C108,"@"),'[2]Tabla BG 2'!$C:$C,'[2]Tabla BG 2'!AO:AO,0)+AU108</f>
        <v>0</v>
      </c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</row>
    <row r="109" spans="1:66" x14ac:dyDescent="0.35">
      <c r="A109" s="87">
        <v>2520</v>
      </c>
      <c r="B109" s="2" t="str">
        <f t="shared" si="32"/>
        <v>COC2725</v>
      </c>
      <c r="C109" s="36">
        <v>2725</v>
      </c>
      <c r="D109" s="16" t="s">
        <v>33</v>
      </c>
      <c r="E109" s="49"/>
      <c r="F109" s="50"/>
      <c r="G109" s="50"/>
      <c r="H109" s="50"/>
      <c r="I109" s="50"/>
      <c r="J109" s="50"/>
      <c r="K109" s="50"/>
      <c r="L109" s="32">
        <f>+_xlfn.XLOOKUP(C109,'[1]4'!$C:$C,'[1]4'!$I:$I,0)</f>
        <v>-119984.5</v>
      </c>
      <c r="M109" s="56">
        <f>+_xlfn.XLOOKUP(TEXT($C109,"@"),'[2]Tabla BG 2'!$C:$C,'[2]Tabla BG 2'!E:E,0)+L109</f>
        <v>-119984.5</v>
      </c>
      <c r="N109" s="57">
        <f>+_xlfn.XLOOKUP(TEXT($C109,"@"),'[2]Tabla BG 2'!$C:$C,'[2]Tabla BG 2'!F:F,0)+M109</f>
        <v>-119984.5</v>
      </c>
      <c r="O109" s="57">
        <f>+_xlfn.XLOOKUP(TEXT($C109,"@"),'[2]Tabla BG 2'!$C:$C,'[2]Tabla BG 2'!G:G,0)+N109</f>
        <v>-119984.5</v>
      </c>
      <c r="P109" s="57">
        <f>+_xlfn.XLOOKUP(TEXT($C109,"@"),'[2]Tabla BG 2'!$C:$C,'[2]Tabla BG 2'!H:H,0)+O109</f>
        <v>-119984.5</v>
      </c>
      <c r="Q109" s="57">
        <f>+_xlfn.XLOOKUP(TEXT($C109,"@"),'[2]Tabla BG 2'!$C:$C,'[2]Tabla BG 2'!I:I,0)+P109</f>
        <v>-119984.5</v>
      </c>
      <c r="R109" s="57">
        <f>+_xlfn.XLOOKUP(TEXT($C109,"@"),'[2]Tabla BG 2'!$C:$C,'[2]Tabla BG 2'!J:J,0)+Q109</f>
        <v>-119984.5</v>
      </c>
      <c r="S109" s="57">
        <f>+_xlfn.XLOOKUP(TEXT($C109,"@"),'[2]Tabla BG 2'!$C:$C,'[2]Tabla BG 2'!K:K,0)+R109</f>
        <v>-119984.5</v>
      </c>
      <c r="T109" s="57">
        <f>+_xlfn.XLOOKUP(TEXT($C109,"@"),'[2]Tabla BG 2'!$C:$C,'[2]Tabla BG 2'!L:L,0)+S109</f>
        <v>-119984.5</v>
      </c>
      <c r="U109" s="57">
        <f>+_xlfn.XLOOKUP(TEXT($C109,"@"),'[2]Tabla BG 2'!$C:$C,'[2]Tabla BG 2'!M:M,0)+T109</f>
        <v>-119984.5</v>
      </c>
      <c r="V109" s="57">
        <f>+_xlfn.XLOOKUP(TEXT($C109,"@"),'[2]Tabla BG 2'!$C:$C,'[2]Tabla BG 2'!N:N,0)+U109</f>
        <v>-119984.5</v>
      </c>
      <c r="W109" s="57">
        <f>+_xlfn.XLOOKUP(TEXT($C109,"@"),'[2]Tabla BG 2'!$C:$C,'[2]Tabla BG 2'!O:O,0)+V109</f>
        <v>-119984.5</v>
      </c>
      <c r="X109" s="57">
        <f>+_xlfn.XLOOKUP(TEXT($C109,"@"),'[2]Tabla BG 2'!$C:$C,'[2]Tabla BG 2'!P:P,0)+W109</f>
        <v>-139426.18</v>
      </c>
      <c r="Y109" s="30">
        <f>+_xlfn.XLOOKUP(TEXT($C109,"@"),'[2]Tabla BG 2'!$C:$C,'[2]Tabla BG 2'!R:R,0)+X109</f>
        <v>-139426.18</v>
      </c>
      <c r="Z109" s="31">
        <f>+_xlfn.XLOOKUP(TEXT($C109,"@"),'[2]Tabla BG 2'!$C:$C,'[2]Tabla BG 2'!S:S,0)+Y109</f>
        <v>-139426.18</v>
      </c>
      <c r="AA109" s="31">
        <f>+_xlfn.XLOOKUP(TEXT($C109,"@"),'[2]Tabla BG 2'!$C:$C,'[2]Tabla BG 2'!T:T,0)+Z109</f>
        <v>-139426.18</v>
      </c>
      <c r="AB109" s="31">
        <f>+_xlfn.XLOOKUP(TEXT($C109,"@"),'[2]Tabla BG 2'!$C:$C,'[2]Tabla BG 2'!U:U,0)+AA109</f>
        <v>-139426.18</v>
      </c>
      <c r="AC109" s="31">
        <f>+_xlfn.XLOOKUP(TEXT($C109,"@"),'[2]Tabla BG 2'!$C:$C,'[2]Tabla BG 2'!V:V,0)+AB109</f>
        <v>-139426.18</v>
      </c>
      <c r="AD109" s="31">
        <f>+_xlfn.XLOOKUP(TEXT($C109,"@"),'[2]Tabla BG 2'!$C:$C,'[2]Tabla BG 2'!W:W,0)+AC109</f>
        <v>-139426.18</v>
      </c>
      <c r="AE109" s="31">
        <f>+_xlfn.XLOOKUP(TEXT($C109,"@"),'[2]Tabla BG 2'!$C:$C,'[2]Tabla BG 2'!X:X,0)+AD109</f>
        <v>-139426.18</v>
      </c>
      <c r="AF109" s="31">
        <f>+_xlfn.XLOOKUP(TEXT($C109,"@"),'[2]Tabla BG 2'!$C:$C,'[2]Tabla BG 2'!Y:Y,0)+AE109</f>
        <v>-139426.18</v>
      </c>
      <c r="AG109" s="31">
        <f>+_xlfn.XLOOKUP(TEXT($C109,"@"),'[2]Tabla BG 2'!$C:$C,'[2]Tabla BG 2'!Z:Z,0)+AF109</f>
        <v>-139426.18</v>
      </c>
      <c r="AH109" s="31">
        <f>+_xlfn.XLOOKUP(TEXT($C109,"@"),'[2]Tabla BG 2'!$C:$C,'[2]Tabla BG 2'!AA:AA,0)+AG109</f>
        <v>-139426.18</v>
      </c>
      <c r="AI109" s="31">
        <f>+_xlfn.XLOOKUP(TEXT($C109,"@"),'[2]Tabla BG 2'!$C:$C,'[2]Tabla BG 2'!AB:AB,0)+AH109</f>
        <v>-139426.18</v>
      </c>
      <c r="AJ109" s="32">
        <f>+_xlfn.XLOOKUP(TEXT($C109,"@"),'[2]Tabla BG 2'!$C:$C,'[2]Tabla BG 2'!AC:AC,0)+AI109</f>
        <v>-129553.36181999999</v>
      </c>
      <c r="AK109" s="56">
        <f>+_xlfn.XLOOKUP(TEXT($C109,"@"),'[2]Tabla BG 2'!$C:$C,'[2]Tabla BG 2'!AE:AE,0)+AJ109</f>
        <v>-129553.36181999999</v>
      </c>
      <c r="AL109" s="57">
        <f>+_xlfn.XLOOKUP(TEXT($C109,"@"),'[2]Tabla BG 2'!$C:$C,'[2]Tabla BG 2'!AF:AF,0)+AK109</f>
        <v>-129553.36181999999</v>
      </c>
      <c r="AM109" s="57">
        <f>+_xlfn.XLOOKUP(TEXT($C109,"@"),'[2]Tabla BG 2'!$C:$C,'[2]Tabla BG 2'!AG:AG,0)+AL109</f>
        <v>-129553.36181999999</v>
      </c>
      <c r="AN109" s="57">
        <f>+_xlfn.XLOOKUP(TEXT($C109,"@"),'[2]Tabla BG 2'!$C:$C,'[2]Tabla BG 2'!AG:AG,0)+AM109</f>
        <v>-129553.36181999999</v>
      </c>
      <c r="AO109" s="57">
        <f>+_xlfn.XLOOKUP(TEXT($C109,"@"),'[2]Tabla BG 2'!$C:$C,'[2]Tabla BG 2'!AH:AH,0)+AN109</f>
        <v>-129553.36181999999</v>
      </c>
      <c r="AP109" s="57">
        <f>+_xlfn.XLOOKUP(TEXT($C109,"@"),'[2]Tabla BG 2'!$C:$C,'[2]Tabla BG 2'!AI:AI,0)+AO109</f>
        <v>-139122.22363999998</v>
      </c>
      <c r="AQ109" s="57">
        <f>+_xlfn.XLOOKUP(TEXT($C109,"@"),'[2]Tabla BG 2'!$C:$C,'[2]Tabla BG 2'!AJ:AJ,0)+AP109</f>
        <v>-139122.22363999998</v>
      </c>
      <c r="AR109" s="57">
        <f>+_xlfn.XLOOKUP(TEXT($C109,"@"),'[2]Tabla BG 2'!$C:$C,'[2]Tabla BG 2'!AK:AK,0)+AQ109</f>
        <v>-139122.22363999998</v>
      </c>
      <c r="AS109" s="57">
        <f>+_xlfn.XLOOKUP(TEXT($C109,"@"),'[2]Tabla BG 2'!$C:$C,'[2]Tabla BG 2'!AL:AL,0)+AR109</f>
        <v>-139122.22363999998</v>
      </c>
      <c r="AT109" s="57">
        <f>+_xlfn.XLOOKUP(TEXT($C109,"@"),'[2]Tabla BG 2'!$C:$C,'[2]Tabla BG 2'!AM:AM,0)+AS109</f>
        <v>-139122.22363999998</v>
      </c>
      <c r="AU109" s="57">
        <f>+_xlfn.XLOOKUP(TEXT($C109,"@"),'[2]Tabla BG 2'!$C:$C,'[2]Tabla BG 2'!AN:AN,0)+AT109</f>
        <v>-139122.22363999998</v>
      </c>
      <c r="AV109" s="58">
        <f>+_xlfn.XLOOKUP(TEXT($C109,"@"),'[2]Tabla BG 2'!$C:$C,'[2]Tabla BG 2'!AO:AO,0)+AU109</f>
        <v>-139122.22363999998</v>
      </c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</row>
    <row r="110" spans="1:66" x14ac:dyDescent="0.35">
      <c r="A110" s="87">
        <v>2525</v>
      </c>
      <c r="B110" s="2" t="str">
        <f t="shared" si="32"/>
        <v>COC2805</v>
      </c>
      <c r="C110" s="36">
        <v>2805</v>
      </c>
      <c r="D110" s="16" t="s">
        <v>91</v>
      </c>
      <c r="E110" s="49"/>
      <c r="F110" s="50"/>
      <c r="G110" s="50"/>
      <c r="H110" s="50"/>
      <c r="I110" s="50"/>
      <c r="J110" s="50"/>
      <c r="K110" s="50"/>
      <c r="L110" s="32">
        <f>+_xlfn.XLOOKUP(C110,'[1]4'!$C:$C,'[1]4'!$I:$I,0)</f>
        <v>-124045.73735</v>
      </c>
      <c r="M110" s="56">
        <f>+_xlfn.XLOOKUP(TEXT($C110,"@"),'[2]Tabla BG 2'!$C:$C,'[2]Tabla BG 2'!E:E,0)+L110</f>
        <v>-154491.67375000002</v>
      </c>
      <c r="N110" s="57">
        <f>+_xlfn.XLOOKUP(TEXT($C110,"@"),'[2]Tabla BG 2'!$C:$C,'[2]Tabla BG 2'!F:F,0)+M110</f>
        <v>-166679.27831000002</v>
      </c>
      <c r="O110" s="57">
        <f>+_xlfn.XLOOKUP(TEXT($C110,"@"),'[2]Tabla BG 2'!$C:$C,'[2]Tabla BG 2'!G:G,0)+N110</f>
        <v>-150273.11078000002</v>
      </c>
      <c r="P110" s="57">
        <f>+_xlfn.XLOOKUP(TEXT($C110,"@"),'[2]Tabla BG 2'!$C:$C,'[2]Tabla BG 2'!H:H,0)+O110</f>
        <v>-129470.24574000001</v>
      </c>
      <c r="Q110" s="57">
        <f>+_xlfn.XLOOKUP(TEXT($C110,"@"),'[2]Tabla BG 2'!$C:$C,'[2]Tabla BG 2'!I:I,0)+P110</f>
        <v>-134164.83783999999</v>
      </c>
      <c r="R110" s="57">
        <f>+_xlfn.XLOOKUP(TEXT($C110,"@"),'[2]Tabla BG 2'!$C:$C,'[2]Tabla BG 2'!J:J,0)+Q110</f>
        <v>-138312.69062000001</v>
      </c>
      <c r="S110" s="57">
        <f>+_xlfn.XLOOKUP(TEXT($C110,"@"),'[2]Tabla BG 2'!$C:$C,'[2]Tabla BG 2'!K:K,0)+R110</f>
        <v>-172117.272</v>
      </c>
      <c r="T110" s="57">
        <f>+_xlfn.XLOOKUP(TEXT($C110,"@"),'[2]Tabla BG 2'!$C:$C,'[2]Tabla BG 2'!L:L,0)+S110</f>
        <v>-166289.43271000002</v>
      </c>
      <c r="U110" s="57">
        <f>+_xlfn.XLOOKUP(TEXT($C110,"@"),'[2]Tabla BG 2'!$C:$C,'[2]Tabla BG 2'!M:M,0)+T110</f>
        <v>-151246.11459000001</v>
      </c>
      <c r="V110" s="57">
        <f>+_xlfn.XLOOKUP(TEXT($C110,"@"),'[2]Tabla BG 2'!$C:$C,'[2]Tabla BG 2'!N:N,0)+U110</f>
        <v>-170365.25732</v>
      </c>
      <c r="W110" s="57">
        <f>+_xlfn.XLOOKUP(TEXT($C110,"@"),'[2]Tabla BG 2'!$C:$C,'[2]Tabla BG 2'!O:O,0)+V110</f>
        <v>-168459.55051999999</v>
      </c>
      <c r="X110" s="57">
        <f>+_xlfn.XLOOKUP(TEXT($C110,"@"),'[2]Tabla BG 2'!$C:$C,'[2]Tabla BG 2'!P:P,0)+W110</f>
        <v>-173761.56398000001</v>
      </c>
      <c r="Y110" s="30">
        <f>+_xlfn.XLOOKUP(TEXT($C110,"@"),'[2]Tabla BG 2'!$C:$C,'[2]Tabla BG 2'!R:R,0)+X110</f>
        <v>-196033.4883</v>
      </c>
      <c r="Z110" s="31">
        <f>+_xlfn.XLOOKUP(TEXT($C110,"@"),'[2]Tabla BG 2'!$C:$C,'[2]Tabla BG 2'!S:S,0)+Y110</f>
        <v>-196333.58639000001</v>
      </c>
      <c r="AA110" s="31">
        <f>+_xlfn.XLOOKUP(TEXT($C110,"@"),'[2]Tabla BG 2'!$C:$C,'[2]Tabla BG 2'!T:T,0)+Z110</f>
        <v>-208626.17114000002</v>
      </c>
      <c r="AB110" s="31">
        <f>+_xlfn.XLOOKUP(TEXT($C110,"@"),'[2]Tabla BG 2'!$C:$C,'[2]Tabla BG 2'!U:U,0)+AA110</f>
        <v>-207902.76226000002</v>
      </c>
      <c r="AC110" s="31">
        <f>+_xlfn.XLOOKUP(TEXT($C110,"@"),'[2]Tabla BG 2'!$C:$C,'[2]Tabla BG 2'!V:V,0)+AB110</f>
        <v>-177682.17867000002</v>
      </c>
      <c r="AD110" s="31">
        <f>+_xlfn.XLOOKUP(TEXT($C110,"@"),'[2]Tabla BG 2'!$C:$C,'[2]Tabla BG 2'!W:W,0)+AC110</f>
        <v>-176320.99695000003</v>
      </c>
      <c r="AE110" s="31">
        <f>+_xlfn.XLOOKUP(TEXT($C110,"@"),'[2]Tabla BG 2'!$C:$C,'[2]Tabla BG 2'!X:X,0)+AD110</f>
        <v>-194037.48481000002</v>
      </c>
      <c r="AF110" s="31">
        <f>+_xlfn.XLOOKUP(TEXT($C110,"@"),'[2]Tabla BG 2'!$C:$C,'[2]Tabla BG 2'!Y:Y,0)+AE110</f>
        <v>-188297.14597000004</v>
      </c>
      <c r="AG110" s="31">
        <f>+_xlfn.XLOOKUP(TEXT($C110,"@"),'[2]Tabla BG 2'!$C:$C,'[2]Tabla BG 2'!Z:Z,0)+AF110</f>
        <v>-178283.84455000004</v>
      </c>
      <c r="AH110" s="31">
        <f>+_xlfn.XLOOKUP(TEXT($C110,"@"),'[2]Tabla BG 2'!$C:$C,'[2]Tabla BG 2'!AA:AA,0)+AG110</f>
        <v>-251174.11971000003</v>
      </c>
      <c r="AI110" s="31">
        <f>+_xlfn.XLOOKUP(TEXT($C110,"@"),'[2]Tabla BG 2'!$C:$C,'[2]Tabla BG 2'!AB:AB,0)+AH110</f>
        <v>-164502.95555000004</v>
      </c>
      <c r="AJ110" s="32">
        <f>+_xlfn.XLOOKUP(TEXT($C110,"@"),'[2]Tabla BG 2'!$C:$C,'[2]Tabla BG 2'!AC:AC,0)+AI110</f>
        <v>-147117.95906000002</v>
      </c>
      <c r="AK110" s="56">
        <f>+_xlfn.XLOOKUP(TEXT($C110,"@"),'[2]Tabla BG 2'!$C:$C,'[2]Tabla BG 2'!AE:AE,0)+AJ110</f>
        <v>-150403.61106000002</v>
      </c>
      <c r="AL110" s="57">
        <f>+_xlfn.XLOOKUP(TEXT($C110,"@"),'[2]Tabla BG 2'!$C:$C,'[2]Tabla BG 2'!AF:AF,0)+AK110</f>
        <v>-173791.57307000001</v>
      </c>
      <c r="AM110" s="57">
        <f>+_xlfn.XLOOKUP(TEXT($C110,"@"),'[2]Tabla BG 2'!$C:$C,'[2]Tabla BG 2'!AG:AG,0)+AL110</f>
        <v>-178635.54807000002</v>
      </c>
      <c r="AN110" s="57">
        <f>+_xlfn.XLOOKUP(TEXT($C110,"@"),'[2]Tabla BG 2'!$C:$C,'[2]Tabla BG 2'!AG:AG,0)+AM110</f>
        <v>-183479.52307000002</v>
      </c>
      <c r="AO110" s="57">
        <f>+_xlfn.XLOOKUP(TEXT($C110,"@"),'[2]Tabla BG 2'!$C:$C,'[2]Tabla BG 2'!AH:AH,0)+AN110</f>
        <v>-214997.11208000002</v>
      </c>
      <c r="AP110" s="57">
        <f>+_xlfn.XLOOKUP(TEXT($C110,"@"),'[2]Tabla BG 2'!$C:$C,'[2]Tabla BG 2'!AI:AI,0)+AO110</f>
        <v>-269586.92280000006</v>
      </c>
      <c r="AQ110" s="57">
        <f>+_xlfn.XLOOKUP(TEXT($C110,"@"),'[2]Tabla BG 2'!$C:$C,'[2]Tabla BG 2'!AJ:AJ,0)+AP110</f>
        <v>-269586.92280000006</v>
      </c>
      <c r="AR110" s="57">
        <f>+_xlfn.XLOOKUP(TEXT($C110,"@"),'[2]Tabla BG 2'!$C:$C,'[2]Tabla BG 2'!AK:AK,0)+AQ110</f>
        <v>-269586.92280000006</v>
      </c>
      <c r="AS110" s="57">
        <f>+_xlfn.XLOOKUP(TEXT($C110,"@"),'[2]Tabla BG 2'!$C:$C,'[2]Tabla BG 2'!AL:AL,0)+AR110</f>
        <v>-269586.92280000006</v>
      </c>
      <c r="AT110" s="57">
        <f>+_xlfn.XLOOKUP(TEXT($C110,"@"),'[2]Tabla BG 2'!$C:$C,'[2]Tabla BG 2'!AM:AM,0)+AS110</f>
        <v>-269586.92280000006</v>
      </c>
      <c r="AU110" s="57">
        <f>+_xlfn.XLOOKUP(TEXT($C110,"@"),'[2]Tabla BG 2'!$C:$C,'[2]Tabla BG 2'!AN:AN,0)+AT110</f>
        <v>-269586.92280000006</v>
      </c>
      <c r="AV110" s="58">
        <f>+_xlfn.XLOOKUP(TEXT($C110,"@"),'[2]Tabla BG 2'!$C:$C,'[2]Tabla BG 2'!AO:AO,0)+AU110</f>
        <v>-269586.92280000006</v>
      </c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</row>
    <row r="111" spans="1:66" x14ac:dyDescent="0.35">
      <c r="A111" s="87"/>
      <c r="B111" s="2" t="str">
        <f t="shared" si="32"/>
        <v>COC2815</v>
      </c>
      <c r="C111" s="36">
        <v>2815</v>
      </c>
      <c r="D111" s="16" t="s">
        <v>92</v>
      </c>
      <c r="E111" s="49"/>
      <c r="F111" s="50"/>
      <c r="G111" s="50"/>
      <c r="H111" s="50"/>
      <c r="I111" s="50"/>
      <c r="J111" s="50"/>
      <c r="K111" s="50"/>
      <c r="L111" s="32">
        <f>+_xlfn.XLOOKUP(C111,'[1]4'!$C:$C,'[1]4'!$I:$I,0)</f>
        <v>0</v>
      </c>
      <c r="M111" s="56">
        <f>+_xlfn.XLOOKUP(TEXT($C111,"@"),'[2]Tabla BG 2'!$C:$C,'[2]Tabla BG 2'!E:E,0)+L111</f>
        <v>0</v>
      </c>
      <c r="N111" s="57">
        <f>+_xlfn.XLOOKUP(TEXT($C111,"@"),'[2]Tabla BG 2'!$C:$C,'[2]Tabla BG 2'!F:F,0)+M111</f>
        <v>0</v>
      </c>
      <c r="O111" s="57">
        <f>+_xlfn.XLOOKUP(TEXT($C111,"@"),'[2]Tabla BG 2'!$C:$C,'[2]Tabla BG 2'!G:G,0)+N111</f>
        <v>0</v>
      </c>
      <c r="P111" s="57">
        <f>+_xlfn.XLOOKUP(TEXT($C111,"@"),'[2]Tabla BG 2'!$C:$C,'[2]Tabla BG 2'!H:H,0)+O111</f>
        <v>0</v>
      </c>
      <c r="Q111" s="57">
        <f>+_xlfn.XLOOKUP(TEXT($C111,"@"),'[2]Tabla BG 2'!$C:$C,'[2]Tabla BG 2'!I:I,0)+P111</f>
        <v>0</v>
      </c>
      <c r="R111" s="57">
        <f>+_xlfn.XLOOKUP(TEXT($C111,"@"),'[2]Tabla BG 2'!$C:$C,'[2]Tabla BG 2'!J:J,0)+Q111</f>
        <v>0</v>
      </c>
      <c r="S111" s="57">
        <f>+_xlfn.XLOOKUP(TEXT($C111,"@"),'[2]Tabla BG 2'!$C:$C,'[2]Tabla BG 2'!K:K,0)+R111</f>
        <v>0</v>
      </c>
      <c r="T111" s="57">
        <f>+_xlfn.XLOOKUP(TEXT($C111,"@"),'[2]Tabla BG 2'!$C:$C,'[2]Tabla BG 2'!L:L,0)+S111</f>
        <v>0</v>
      </c>
      <c r="U111" s="57">
        <f>+_xlfn.XLOOKUP(TEXT($C111,"@"),'[2]Tabla BG 2'!$C:$C,'[2]Tabla BG 2'!M:M,0)+T111</f>
        <v>0</v>
      </c>
      <c r="V111" s="57">
        <f>+_xlfn.XLOOKUP(TEXT($C111,"@"),'[2]Tabla BG 2'!$C:$C,'[2]Tabla BG 2'!N:N,0)+U111</f>
        <v>0</v>
      </c>
      <c r="W111" s="57">
        <f>+_xlfn.XLOOKUP(TEXT($C111,"@"),'[2]Tabla BG 2'!$C:$C,'[2]Tabla BG 2'!O:O,0)+V111</f>
        <v>0</v>
      </c>
      <c r="X111" s="57">
        <f>+_xlfn.XLOOKUP(TEXT($C111,"@"),'[2]Tabla BG 2'!$C:$C,'[2]Tabla BG 2'!P:P,0)+W111</f>
        <v>0</v>
      </c>
      <c r="Y111" s="30">
        <f>+_xlfn.XLOOKUP(TEXT($C111,"@"),'[2]Tabla BG 2'!$C:$C,'[2]Tabla BG 2'!R:R,0)+X111</f>
        <v>0</v>
      </c>
      <c r="Z111" s="31">
        <f>+_xlfn.XLOOKUP(TEXT($C111,"@"),'[2]Tabla BG 2'!$C:$C,'[2]Tabla BG 2'!S:S,0)+Y111</f>
        <v>0</v>
      </c>
      <c r="AA111" s="31">
        <f>+_xlfn.XLOOKUP(TEXT($C111,"@"),'[2]Tabla BG 2'!$C:$C,'[2]Tabla BG 2'!T:T,0)+Z111</f>
        <v>0</v>
      </c>
      <c r="AB111" s="31">
        <f>+_xlfn.XLOOKUP(TEXT($C111,"@"),'[2]Tabla BG 2'!$C:$C,'[2]Tabla BG 2'!U:U,0)+AA111</f>
        <v>0</v>
      </c>
      <c r="AC111" s="31">
        <f>+_xlfn.XLOOKUP(TEXT($C111,"@"),'[2]Tabla BG 2'!$C:$C,'[2]Tabla BG 2'!V:V,0)+AB111</f>
        <v>0</v>
      </c>
      <c r="AD111" s="31">
        <f>+_xlfn.XLOOKUP(TEXT($C111,"@"),'[2]Tabla BG 2'!$C:$C,'[2]Tabla BG 2'!W:W,0)+AC111</f>
        <v>0</v>
      </c>
      <c r="AE111" s="31">
        <f>+_xlfn.XLOOKUP(TEXT($C111,"@"),'[2]Tabla BG 2'!$C:$C,'[2]Tabla BG 2'!X:X,0)+AD111</f>
        <v>0</v>
      </c>
      <c r="AF111" s="31">
        <f>+_xlfn.XLOOKUP(TEXT($C111,"@"),'[2]Tabla BG 2'!$C:$C,'[2]Tabla BG 2'!Y:Y,0)+AE111</f>
        <v>0</v>
      </c>
      <c r="AG111" s="31">
        <f>+_xlfn.XLOOKUP(TEXT($C111,"@"),'[2]Tabla BG 2'!$C:$C,'[2]Tabla BG 2'!Z:Z,0)+AF111</f>
        <v>0</v>
      </c>
      <c r="AH111" s="31">
        <f>+_xlfn.XLOOKUP(TEXT($C111,"@"),'[2]Tabla BG 2'!$C:$C,'[2]Tabla BG 2'!AA:AA,0)+AG111</f>
        <v>0</v>
      </c>
      <c r="AI111" s="31">
        <f>+_xlfn.XLOOKUP(TEXT($C111,"@"),'[2]Tabla BG 2'!$C:$C,'[2]Tabla BG 2'!AB:AB,0)+AH111</f>
        <v>0</v>
      </c>
      <c r="AJ111" s="32">
        <f>+_xlfn.XLOOKUP(TEXT($C111,"@"),'[2]Tabla BG 2'!$C:$C,'[2]Tabla BG 2'!AC:AC,0)+AI111</f>
        <v>0</v>
      </c>
      <c r="AK111" s="56">
        <f>+_xlfn.XLOOKUP(TEXT($C111,"@"),'[2]Tabla BG 2'!$C:$C,'[2]Tabla BG 2'!AE:AE,0)+AJ111</f>
        <v>0</v>
      </c>
      <c r="AL111" s="57">
        <f>+_xlfn.XLOOKUP(TEXT($C111,"@"),'[2]Tabla BG 2'!$C:$C,'[2]Tabla BG 2'!AF:AF,0)+AK111</f>
        <v>0</v>
      </c>
      <c r="AM111" s="57">
        <f>+_xlfn.XLOOKUP(TEXT($C111,"@"),'[2]Tabla BG 2'!$C:$C,'[2]Tabla BG 2'!AG:AG,0)+AL111</f>
        <v>0</v>
      </c>
      <c r="AN111" s="57">
        <f>+_xlfn.XLOOKUP(TEXT($C111,"@"),'[2]Tabla BG 2'!$C:$C,'[2]Tabla BG 2'!AG:AG,0)+AM111</f>
        <v>0</v>
      </c>
      <c r="AO111" s="57">
        <f>+_xlfn.XLOOKUP(TEXT($C111,"@"),'[2]Tabla BG 2'!$C:$C,'[2]Tabla BG 2'!AH:AH,0)+AN111</f>
        <v>0</v>
      </c>
      <c r="AP111" s="57">
        <f>+_xlfn.XLOOKUP(TEXT($C111,"@"),'[2]Tabla BG 2'!$C:$C,'[2]Tabla BG 2'!AI:AI,0)+AO111</f>
        <v>0</v>
      </c>
      <c r="AQ111" s="57">
        <f>+_xlfn.XLOOKUP(TEXT($C111,"@"),'[2]Tabla BG 2'!$C:$C,'[2]Tabla BG 2'!AJ:AJ,0)+AP111</f>
        <v>0</v>
      </c>
      <c r="AR111" s="57">
        <f>+_xlfn.XLOOKUP(TEXT($C111,"@"),'[2]Tabla BG 2'!$C:$C,'[2]Tabla BG 2'!AK:AK,0)+AQ111</f>
        <v>0</v>
      </c>
      <c r="AS111" s="57">
        <f>+_xlfn.XLOOKUP(TEXT($C111,"@"),'[2]Tabla BG 2'!$C:$C,'[2]Tabla BG 2'!AL:AL,0)+AR111</f>
        <v>0</v>
      </c>
      <c r="AT111" s="57">
        <f>+_xlfn.XLOOKUP(TEXT($C111,"@"),'[2]Tabla BG 2'!$C:$C,'[2]Tabla BG 2'!AM:AM,0)+AS111</f>
        <v>0</v>
      </c>
      <c r="AU111" s="57">
        <f>+_xlfn.XLOOKUP(TEXT($C111,"@"),'[2]Tabla BG 2'!$C:$C,'[2]Tabla BG 2'!AN:AN,0)+AT111</f>
        <v>0</v>
      </c>
      <c r="AV111" s="58">
        <f>+_xlfn.XLOOKUP(TEXT($C111,"@"),'[2]Tabla BG 2'!$C:$C,'[2]Tabla BG 2'!AO:AO,0)+AU111</f>
        <v>0</v>
      </c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</row>
    <row r="112" spans="1:66" x14ac:dyDescent="0.35">
      <c r="A112">
        <v>2605</v>
      </c>
      <c r="B112" s="2" t="str">
        <f t="shared" si="32"/>
        <v>COC2360</v>
      </c>
      <c r="C112">
        <v>2360</v>
      </c>
      <c r="D112" s="16" t="s">
        <v>93</v>
      </c>
      <c r="E112" s="49"/>
      <c r="F112" s="50"/>
      <c r="G112" s="50"/>
      <c r="H112" s="50"/>
      <c r="I112" s="50"/>
      <c r="J112" s="50"/>
      <c r="K112" s="50"/>
      <c r="L112" s="32">
        <f>+_xlfn.XLOOKUP(C112,'[1]4'!$C:$C,'[1]4'!$I:$I,0)</f>
        <v>-9488.4586999999992</v>
      </c>
      <c r="M112" s="56">
        <f>+_xlfn.XLOOKUP(TEXT($C112,"@"),'[2]Tabla BG 2'!$C:$C,'[2]Tabla BG 2'!E:E,0)+L112</f>
        <v>-9488.4586999999992</v>
      </c>
      <c r="N112" s="57">
        <f>+_xlfn.XLOOKUP(TEXT($C112,"@"),'[2]Tabla BG 2'!$C:$C,'[2]Tabla BG 2'!F:F,0)+M112</f>
        <v>-9488.4586999999992</v>
      </c>
      <c r="O112" s="57">
        <f>+_xlfn.XLOOKUP(TEXT($C112,"@"),'[2]Tabla BG 2'!$C:$C,'[2]Tabla BG 2'!G:G,0)+N112</f>
        <v>-9488.4586999999992</v>
      </c>
      <c r="P112" s="57">
        <f>+_xlfn.XLOOKUP(TEXT($C112,"@"),'[2]Tabla BG 2'!$C:$C,'[2]Tabla BG 2'!H:H,0)+O112</f>
        <v>-9488.4586999999992</v>
      </c>
      <c r="Q112" s="57">
        <f>+_xlfn.XLOOKUP(TEXT($C112,"@"),'[2]Tabla BG 2'!$C:$C,'[2]Tabla BG 2'!I:I,0)+P112</f>
        <v>-9488.4586999999992</v>
      </c>
      <c r="R112" s="57">
        <f>+_xlfn.XLOOKUP(TEXT($C112,"@"),'[2]Tabla BG 2'!$C:$C,'[2]Tabla BG 2'!J:J,0)+Q112</f>
        <v>-9488.4586999999992</v>
      </c>
      <c r="S112" s="57">
        <f>+_xlfn.XLOOKUP(TEXT($C112,"@"),'[2]Tabla BG 2'!$C:$C,'[2]Tabla BG 2'!K:K,0)+R112</f>
        <v>-9488.4586999999992</v>
      </c>
      <c r="T112" s="57">
        <f>+_xlfn.XLOOKUP(TEXT($C112,"@"),'[2]Tabla BG 2'!$C:$C,'[2]Tabla BG 2'!L:L,0)+S112</f>
        <v>-9488.4586999999992</v>
      </c>
      <c r="U112" s="57">
        <f>+_xlfn.XLOOKUP(TEXT($C112,"@"),'[2]Tabla BG 2'!$C:$C,'[2]Tabla BG 2'!M:M,0)+T112</f>
        <v>-9488.4586999999992</v>
      </c>
      <c r="V112" s="57">
        <f>+_xlfn.XLOOKUP(TEXT($C112,"@"),'[2]Tabla BG 2'!$C:$C,'[2]Tabla BG 2'!N:N,0)+U112</f>
        <v>-4.9999999100691639E-4</v>
      </c>
      <c r="W112" s="57">
        <f>+_xlfn.XLOOKUP(TEXT($C112,"@"),'[2]Tabla BG 2'!$C:$C,'[2]Tabla BG 2'!O:O,0)+V112</f>
        <v>-4.9999999100691639E-4</v>
      </c>
      <c r="X112" s="57">
        <f>+_xlfn.XLOOKUP(TEXT($C112,"@"),'[2]Tabla BG 2'!$C:$C,'[2]Tabla BG 2'!P:P,0)+W112</f>
        <v>8.9930836215390553E-12</v>
      </c>
      <c r="Y112" s="30">
        <f>+_xlfn.XLOOKUP(TEXT($C112,"@"),'[2]Tabla BG 2'!$C:$C,'[2]Tabla BG 2'!R:R,0)+X112</f>
        <v>8.9930836215390553E-12</v>
      </c>
      <c r="Z112" s="31">
        <f>+_xlfn.XLOOKUP(TEXT($C112,"@"),'[2]Tabla BG 2'!$C:$C,'[2]Tabla BG 2'!S:S,0)+Y112</f>
        <v>8.9930836215390553E-12</v>
      </c>
      <c r="AA112" s="31">
        <f>+_xlfn.XLOOKUP(TEXT($C112,"@"),'[2]Tabla BG 2'!$C:$C,'[2]Tabla BG 2'!T:T,0)+Z112</f>
        <v>135642.12700000001</v>
      </c>
      <c r="AB112" s="31">
        <f>+_xlfn.XLOOKUP(TEXT($C112,"@"),'[2]Tabla BG 2'!$C:$C,'[2]Tabla BG 2'!U:U,0)+AA112</f>
        <v>135642.12700000001</v>
      </c>
      <c r="AC112" s="31">
        <f>+_xlfn.XLOOKUP(TEXT($C112,"@"),'[2]Tabla BG 2'!$C:$C,'[2]Tabla BG 2'!V:V,0)+AB112</f>
        <v>129879.44</v>
      </c>
      <c r="AD112" s="31">
        <f>+_xlfn.XLOOKUP(TEXT($C112,"@"),'[2]Tabla BG 2'!$C:$C,'[2]Tabla BG 2'!W:W,0)+AC112</f>
        <v>129879.44</v>
      </c>
      <c r="AE112" s="31">
        <f>+_xlfn.XLOOKUP(TEXT($C112,"@"),'[2]Tabla BG 2'!$C:$C,'[2]Tabla BG 2'!X:X,0)+AD112</f>
        <v>129879.44</v>
      </c>
      <c r="AF112" s="31">
        <f>+_xlfn.XLOOKUP(TEXT($C112,"@"),'[2]Tabla BG 2'!$C:$C,'[2]Tabla BG 2'!Y:Y,0)+AE112</f>
        <v>165579.99100000001</v>
      </c>
      <c r="AG112" s="31">
        <f>+_xlfn.XLOOKUP(TEXT($C112,"@"),'[2]Tabla BG 2'!$C:$C,'[2]Tabla BG 2'!Z:Z,0)+AF112</f>
        <v>422131.64300000004</v>
      </c>
      <c r="AH112" s="31">
        <f>+_xlfn.XLOOKUP(TEXT($C112,"@"),'[2]Tabla BG 2'!$C:$C,'[2]Tabla BG 2'!AA:AA,0)+AG112</f>
        <v>-6762.814000000013</v>
      </c>
      <c r="AI112" s="31">
        <f>+_xlfn.XLOOKUP(TEXT($C112,"@"),'[2]Tabla BG 2'!$C:$C,'[2]Tabla BG 2'!AB:AB,0)+AH112</f>
        <v>-6762.8130000000237</v>
      </c>
      <c r="AJ112" s="32">
        <f>+_xlfn.XLOOKUP(TEXT($C112,"@"),'[2]Tabla BG 2'!$C:$C,'[2]Tabla BG 2'!AC:AC,0)+AI112</f>
        <v>-6762.8130000000237</v>
      </c>
      <c r="AK112" s="56">
        <f>+_xlfn.XLOOKUP(TEXT($C112,"@"),'[2]Tabla BG 2'!$C:$C,'[2]Tabla BG 2'!AE:AE,0)+AJ112</f>
        <v>-6762.8130000000237</v>
      </c>
      <c r="AL112" s="57">
        <f>+_xlfn.XLOOKUP(TEXT($C112,"@"),'[2]Tabla BG 2'!$C:$C,'[2]Tabla BG 2'!AF:AF,0)+AK112</f>
        <v>-6762.8130000000237</v>
      </c>
      <c r="AM112" s="57">
        <f>+_xlfn.XLOOKUP(TEXT($C112,"@"),'[2]Tabla BG 2'!$C:$C,'[2]Tabla BG 2'!AG:AG,0)+AL112</f>
        <v>-6762.8130000000237</v>
      </c>
      <c r="AN112" s="57">
        <f>+_xlfn.XLOOKUP(TEXT($C112,"@"),'[2]Tabla BG 2'!$C:$C,'[2]Tabla BG 2'!AG:AG,0)+AM112</f>
        <v>-6762.8130000000237</v>
      </c>
      <c r="AO112" s="57">
        <f>+_xlfn.XLOOKUP(TEXT($C112,"@"),'[2]Tabla BG 2'!$C:$C,'[2]Tabla BG 2'!AH:AH,0)+AN112</f>
        <v>-6762.8130000000237</v>
      </c>
      <c r="AP112" s="57">
        <f>+_xlfn.XLOOKUP(TEXT($C112,"@"),'[2]Tabla BG 2'!$C:$C,'[2]Tabla BG 2'!AI:AI,0)+AO112</f>
        <v>-4037.1673000000883</v>
      </c>
      <c r="AQ112" s="57">
        <f>+_xlfn.XLOOKUP(TEXT($C112,"@"),'[2]Tabla BG 2'!$C:$C,'[2]Tabla BG 2'!AJ:AJ,0)+AP112</f>
        <v>-4037.1673000000883</v>
      </c>
      <c r="AR112" s="57">
        <f>+_xlfn.XLOOKUP(TEXT($C112,"@"),'[2]Tabla BG 2'!$C:$C,'[2]Tabla BG 2'!AK:AK,0)+AQ112</f>
        <v>-4037.1673000000883</v>
      </c>
      <c r="AS112" s="57">
        <f>+_xlfn.XLOOKUP(TEXT($C112,"@"),'[2]Tabla BG 2'!$C:$C,'[2]Tabla BG 2'!AL:AL,0)+AR112</f>
        <v>-4037.1673000000883</v>
      </c>
      <c r="AT112" s="57">
        <f>+_xlfn.XLOOKUP(TEXT($C112,"@"),'[2]Tabla BG 2'!$C:$C,'[2]Tabla BG 2'!AM:AM,0)+AS112</f>
        <v>-4037.1673000000883</v>
      </c>
      <c r="AU112" s="57">
        <f>+_xlfn.XLOOKUP(TEXT($C112,"@"),'[2]Tabla BG 2'!$C:$C,'[2]Tabla BG 2'!AN:AN,0)+AT112</f>
        <v>-4037.1673000000883</v>
      </c>
      <c r="AV112" s="58">
        <f>+_xlfn.XLOOKUP(TEXT($C112,"@"),'[2]Tabla BG 2'!$C:$C,'[2]Tabla BG 2'!AO:AO,0)+AU112</f>
        <v>-4037.1673000000883</v>
      </c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5"/>
      <c r="BJ112" s="55"/>
      <c r="BK112" s="55"/>
      <c r="BL112" s="55"/>
      <c r="BM112" s="55"/>
      <c r="BN112" s="55"/>
    </row>
    <row r="113" spans="1:66" x14ac:dyDescent="0.35">
      <c r="A113">
        <v>2610</v>
      </c>
      <c r="B113" s="2" t="str">
        <f t="shared" si="32"/>
        <v>COC</v>
      </c>
      <c r="C113"/>
      <c r="D113" s="16"/>
      <c r="E113" s="59"/>
      <c r="F113" s="60"/>
      <c r="G113" s="60"/>
      <c r="H113" s="60"/>
      <c r="I113" s="60"/>
      <c r="J113" s="60"/>
      <c r="K113" s="60"/>
      <c r="L113" s="64"/>
      <c r="M113" s="56">
        <f>+_xlfn.XLOOKUP(TEXT(C113,"@"),'[2]Tabla BG 2'!$C:$C,'[2]Tabla BG 2'!E:E,0)+L113</f>
        <v>0</v>
      </c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9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32"/>
      <c r="AK113" s="56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85"/>
      <c r="AW113" s="61"/>
      <c r="AX113" s="61"/>
      <c r="AY113" s="61"/>
      <c r="AZ113" s="61"/>
      <c r="BA113" s="61"/>
      <c r="BB113" s="61"/>
      <c r="BC113" s="61"/>
      <c r="BD113" s="61"/>
      <c r="BE113" s="61"/>
      <c r="BF113" s="61"/>
      <c r="BG113" s="61"/>
      <c r="BH113" s="61"/>
      <c r="BI113" s="17"/>
      <c r="BJ113" s="17"/>
      <c r="BK113" s="17"/>
      <c r="BL113" s="17"/>
      <c r="BM113" s="17"/>
      <c r="BN113" s="17"/>
    </row>
    <row r="114" spans="1:66" ht="15" thickBot="1" x14ac:dyDescent="0.4">
      <c r="A114" s="87">
        <v>2725</v>
      </c>
      <c r="B114" s="2" t="str">
        <f t="shared" si="32"/>
        <v>COC</v>
      </c>
      <c r="C114"/>
      <c r="D114" s="18" t="s">
        <v>94</v>
      </c>
      <c r="E114" s="89"/>
      <c r="F114" s="90"/>
      <c r="G114" s="90"/>
      <c r="H114" s="90"/>
      <c r="I114" s="90"/>
      <c r="J114" s="90"/>
      <c r="K114" s="90"/>
      <c r="L114" s="91">
        <f t="shared" ref="L114:AV114" si="45">+L78+L71+L60</f>
        <v>1838469.1709500006</v>
      </c>
      <c r="M114" s="92">
        <f t="shared" si="45"/>
        <v>1808136.7748300005</v>
      </c>
      <c r="N114" s="93">
        <f t="shared" si="45"/>
        <v>1864168.9778600007</v>
      </c>
      <c r="O114" s="93">
        <f t="shared" si="45"/>
        <v>1892031.4234900007</v>
      </c>
      <c r="P114" s="93">
        <f t="shared" si="45"/>
        <v>2013610.9810600008</v>
      </c>
      <c r="Q114" s="93">
        <f t="shared" si="45"/>
        <v>1841837.5336000009</v>
      </c>
      <c r="R114" s="93">
        <f t="shared" si="45"/>
        <v>1799333.9996600007</v>
      </c>
      <c r="S114" s="93">
        <f t="shared" si="45"/>
        <v>2124190.8684800006</v>
      </c>
      <c r="T114" s="93">
        <f t="shared" si="45"/>
        <v>2331410.0774700008</v>
      </c>
      <c r="U114" s="93">
        <f t="shared" si="45"/>
        <v>2477225.7062300006</v>
      </c>
      <c r="V114" s="93">
        <f t="shared" si="45"/>
        <v>2593047.0790100009</v>
      </c>
      <c r="W114" s="93">
        <f t="shared" si="45"/>
        <v>2655036.6039000005</v>
      </c>
      <c r="X114" s="93">
        <f t="shared" si="45"/>
        <v>2656000.1373700006</v>
      </c>
      <c r="Y114" s="92">
        <f t="shared" si="45"/>
        <v>2517886.1151700011</v>
      </c>
      <c r="Z114" s="93">
        <f t="shared" si="45"/>
        <v>2688314.088070001</v>
      </c>
      <c r="AA114" s="93">
        <f t="shared" si="45"/>
        <v>2799970.3207400008</v>
      </c>
      <c r="AB114" s="93">
        <f t="shared" si="45"/>
        <v>3053937.0401500007</v>
      </c>
      <c r="AC114" s="93">
        <f t="shared" si="45"/>
        <v>2750067.3916800013</v>
      </c>
      <c r="AD114" s="93">
        <f t="shared" si="45"/>
        <v>2799127.5972100007</v>
      </c>
      <c r="AE114" s="93">
        <f t="shared" si="45"/>
        <v>2755010.7955000005</v>
      </c>
      <c r="AF114" s="93">
        <f t="shared" si="45"/>
        <v>2944478.4400500003</v>
      </c>
      <c r="AG114" s="93">
        <f t="shared" si="45"/>
        <v>2859042.6331700003</v>
      </c>
      <c r="AH114" s="93">
        <f t="shared" si="45"/>
        <v>3006549.6927900007</v>
      </c>
      <c r="AI114" s="93">
        <f t="shared" si="45"/>
        <v>2903234.4829700007</v>
      </c>
      <c r="AJ114" s="91">
        <f t="shared" si="45"/>
        <v>2598750.3144700006</v>
      </c>
      <c r="AK114" s="92">
        <f t="shared" si="45"/>
        <v>2505425.3491400005</v>
      </c>
      <c r="AL114" s="93">
        <f t="shared" si="45"/>
        <v>2464721.6952400003</v>
      </c>
      <c r="AM114" s="93">
        <f t="shared" si="45"/>
        <v>2385931.9864400001</v>
      </c>
      <c r="AN114" s="93">
        <f t="shared" si="45"/>
        <v>2063731.8678100002</v>
      </c>
      <c r="AO114" s="93">
        <f t="shared" si="45"/>
        <v>1417075.01877</v>
      </c>
      <c r="AP114" s="93">
        <f t="shared" si="45"/>
        <v>1198730.2380299997</v>
      </c>
      <c r="AQ114" s="93">
        <f t="shared" si="45"/>
        <v>1198730.2380299997</v>
      </c>
      <c r="AR114" s="93">
        <f t="shared" si="45"/>
        <v>1198730.2380299997</v>
      </c>
      <c r="AS114" s="93">
        <f t="shared" si="45"/>
        <v>1198708.2380299997</v>
      </c>
      <c r="AT114" s="93">
        <f t="shared" si="45"/>
        <v>1198708.2380299997</v>
      </c>
      <c r="AU114" s="93">
        <f t="shared" si="45"/>
        <v>1198708.2380299997</v>
      </c>
      <c r="AV114" s="91">
        <f t="shared" si="45"/>
        <v>90548.238029999833</v>
      </c>
      <c r="AW114" s="24"/>
      <c r="AX114" s="24"/>
      <c r="AY114" s="24"/>
      <c r="AZ114" s="24"/>
      <c r="BA114" s="24"/>
      <c r="BB114" s="24"/>
      <c r="BC114" s="24"/>
      <c r="BD114" s="24"/>
      <c r="BE114" s="24"/>
      <c r="BF114" s="24"/>
      <c r="BG114" s="24"/>
      <c r="BH114" s="24"/>
      <c r="BI114" s="25" t="e">
        <f>+BI78+BI71+BI60</f>
        <v>#REF!</v>
      </c>
      <c r="BJ114" s="25" t="e">
        <f>+BJ78+BJ71+BJ60</f>
        <v>#REF!</v>
      </c>
      <c r="BK114" s="25" t="e">
        <f>+BK78+BK71+BK60</f>
        <v>#REF!</v>
      </c>
      <c r="BL114" s="25"/>
      <c r="BM114" s="25"/>
      <c r="BN114" s="25"/>
    </row>
    <row r="115" spans="1:66" x14ac:dyDescent="0.35">
      <c r="A115" s="87">
        <v>2805</v>
      </c>
      <c r="B115" s="2" t="str">
        <f t="shared" si="32"/>
        <v>COC</v>
      </c>
      <c r="C115"/>
      <c r="E115" s="17"/>
      <c r="F115" s="17"/>
      <c r="G115" s="17"/>
      <c r="H115" s="17"/>
      <c r="I115" s="17"/>
      <c r="J115" s="17"/>
      <c r="K115" s="17"/>
      <c r="L115" s="80"/>
      <c r="M115" s="80"/>
      <c r="N115" s="80"/>
      <c r="O115" s="84"/>
      <c r="P115" s="84"/>
      <c r="Q115" s="84"/>
      <c r="R115" s="84"/>
      <c r="S115" s="84"/>
      <c r="T115" s="84"/>
      <c r="U115" s="84"/>
      <c r="V115" s="84"/>
      <c r="W115" s="84"/>
      <c r="X115" s="79"/>
      <c r="Y115" s="80"/>
      <c r="Z115" s="80"/>
      <c r="AA115" s="84"/>
      <c r="AB115" s="84"/>
      <c r="AC115" s="84"/>
      <c r="AD115" s="84"/>
      <c r="AE115" s="84"/>
      <c r="AF115" s="84"/>
      <c r="AG115" s="84"/>
      <c r="AH115" s="84"/>
      <c r="AI115" s="84"/>
      <c r="AJ115" s="80"/>
      <c r="AL115" s="80"/>
      <c r="AM115" s="84"/>
      <c r="AN115" s="84"/>
      <c r="AO115" s="84"/>
      <c r="AP115" s="84"/>
      <c r="AQ115" s="84"/>
      <c r="AR115" s="84"/>
      <c r="AS115" s="84"/>
      <c r="AT115" s="84"/>
      <c r="AU115" s="84"/>
      <c r="AV115" s="79"/>
      <c r="AW115" s="94"/>
      <c r="AX115" s="94"/>
      <c r="AY115" s="94"/>
      <c r="AZ115" s="94"/>
      <c r="BA115" s="94"/>
      <c r="BB115" s="94"/>
      <c r="BC115" s="94"/>
      <c r="BD115" s="94"/>
      <c r="BE115" s="94"/>
      <c r="BF115" s="94"/>
      <c r="BG115" s="94"/>
      <c r="BH115" s="94"/>
      <c r="BI115" s="17"/>
      <c r="BJ115" s="17"/>
      <c r="BK115" s="17"/>
      <c r="BL115" s="17"/>
      <c r="BM115" s="17"/>
      <c r="BN115" s="17"/>
    </row>
    <row r="116" spans="1:66" x14ac:dyDescent="0.35">
      <c r="A116"/>
      <c r="B116" s="2" t="str">
        <f t="shared" si="32"/>
        <v>COC</v>
      </c>
      <c r="C116"/>
      <c r="D116" s="95" t="s">
        <v>95</v>
      </c>
      <c r="E116" s="96"/>
      <c r="F116" s="96"/>
      <c r="G116" s="96"/>
      <c r="H116" s="96"/>
      <c r="I116" s="96"/>
      <c r="J116" s="96"/>
      <c r="K116" s="96"/>
      <c r="L116" s="97">
        <f t="shared" ref="L116:AV116" si="46">+L114-L56</f>
        <v>0.43000000063329935</v>
      </c>
      <c r="M116" s="97">
        <f t="shared" si="46"/>
        <v>0.43000000063329935</v>
      </c>
      <c r="N116" s="97">
        <f t="shared" si="46"/>
        <v>0.43000000086612999</v>
      </c>
      <c r="O116" s="98">
        <f t="shared" si="46"/>
        <v>0.43000000086612999</v>
      </c>
      <c r="P116" s="98">
        <f t="shared" si="46"/>
        <v>0.43000000086612999</v>
      </c>
      <c r="Q116" s="98">
        <f t="shared" si="46"/>
        <v>0.43000000063329935</v>
      </c>
      <c r="R116" s="98">
        <f t="shared" si="46"/>
        <v>0.43000000063329935</v>
      </c>
      <c r="S116" s="98">
        <f t="shared" si="46"/>
        <v>0.43000000063329935</v>
      </c>
      <c r="T116" s="98">
        <f t="shared" si="46"/>
        <v>0.43000000109896064</v>
      </c>
      <c r="U116" s="98">
        <f t="shared" si="46"/>
        <v>0.43000000063329935</v>
      </c>
      <c r="V116" s="98">
        <f t="shared" si="46"/>
        <v>0.43000000063329935</v>
      </c>
      <c r="W116" s="98">
        <f t="shared" si="46"/>
        <v>0.43000000016763806</v>
      </c>
      <c r="X116" s="99">
        <f t="shared" si="46"/>
        <v>0.43000000063329935</v>
      </c>
      <c r="Y116" s="97">
        <f t="shared" si="46"/>
        <v>0.43000000156462193</v>
      </c>
      <c r="Z116" s="97">
        <f t="shared" si="46"/>
        <v>0.43000000109896064</v>
      </c>
      <c r="AA116" s="98">
        <f t="shared" si="46"/>
        <v>0.43000000109896064</v>
      </c>
      <c r="AB116" s="98">
        <f t="shared" si="46"/>
        <v>0.43000000109896064</v>
      </c>
      <c r="AC116" s="98">
        <f t="shared" si="46"/>
        <v>0.43000000109896064</v>
      </c>
      <c r="AD116" s="98">
        <f t="shared" si="46"/>
        <v>0.43000000063329935</v>
      </c>
      <c r="AE116" s="98">
        <f t="shared" si="46"/>
        <v>0.43000000016763806</v>
      </c>
      <c r="AF116" s="98">
        <f t="shared" si="46"/>
        <v>0.42999999970197678</v>
      </c>
      <c r="AG116" s="98">
        <f t="shared" si="46"/>
        <v>0.15597000019624829</v>
      </c>
      <c r="AH116" s="98">
        <f t="shared" si="46"/>
        <v>0.15597000066190958</v>
      </c>
      <c r="AI116" s="98">
        <f t="shared" si="46"/>
        <v>0.15597000066190958</v>
      </c>
      <c r="AJ116" s="97">
        <f t="shared" si="46"/>
        <v>0.37807000055909157</v>
      </c>
      <c r="AK116" s="97">
        <f t="shared" si="46"/>
        <v>0.37807000055909157</v>
      </c>
      <c r="AL116" s="97">
        <f t="shared" si="46"/>
        <v>0.37807000055909157</v>
      </c>
      <c r="AM116" s="98">
        <f t="shared" si="46"/>
        <v>0.37807000055909157</v>
      </c>
      <c r="AN116" s="98">
        <f t="shared" si="46"/>
        <v>-247940.98935999954</v>
      </c>
      <c r="AO116" s="98">
        <f t="shared" si="46"/>
        <v>-686310.46796999965</v>
      </c>
      <c r="AP116" s="98">
        <f t="shared" si="46"/>
        <v>-1456649.0737300003</v>
      </c>
      <c r="AQ116" s="98">
        <f t="shared" si="46"/>
        <v>-1456649.0737300003</v>
      </c>
      <c r="AR116" s="98">
        <f t="shared" si="46"/>
        <v>-1456649.0737300003</v>
      </c>
      <c r="AS116" s="98">
        <f t="shared" si="46"/>
        <v>-1456671.0737300003</v>
      </c>
      <c r="AT116" s="98">
        <f t="shared" si="46"/>
        <v>-1456671.0737300003</v>
      </c>
      <c r="AU116" s="98">
        <f t="shared" si="46"/>
        <v>-1456671.0737300003</v>
      </c>
      <c r="AV116" s="99">
        <f t="shared" si="46"/>
        <v>-2564831.0737300003</v>
      </c>
      <c r="AW116" s="100"/>
      <c r="AX116" s="100"/>
      <c r="AY116" s="100"/>
      <c r="AZ116" s="100"/>
      <c r="BA116" s="100"/>
      <c r="BB116" s="100"/>
      <c r="BC116" s="100"/>
      <c r="BD116" s="100"/>
      <c r="BE116" s="100"/>
      <c r="BF116" s="100"/>
      <c r="BG116" s="100"/>
      <c r="BH116" s="100"/>
      <c r="BI116" s="96" t="e">
        <f>+BI114-BI56</f>
        <v>#REF!</v>
      </c>
      <c r="BJ116" s="96" t="e">
        <f>+BJ114-BJ56</f>
        <v>#REF!</v>
      </c>
      <c r="BK116" s="96" t="e">
        <f>+BK114-BK56</f>
        <v>#REF!</v>
      </c>
      <c r="BL116" s="96"/>
      <c r="BM116" s="96"/>
      <c r="BN116" s="96"/>
    </row>
    <row r="117" spans="1:66" x14ac:dyDescent="0.35">
      <c r="A117"/>
      <c r="C117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</row>
    <row r="118" spans="1:66" x14ac:dyDescent="0.35">
      <c r="C118"/>
      <c r="L118" s="15">
        <f>+L116/2</f>
        <v>0.21500000031664968</v>
      </c>
      <c r="M118" s="15">
        <f>+L116-M116</f>
        <v>0</v>
      </c>
    </row>
    <row r="119" spans="1:66" x14ac:dyDescent="0.35">
      <c r="C119"/>
    </row>
    <row r="120" spans="1:66" x14ac:dyDescent="0.35">
      <c r="C120"/>
    </row>
    <row r="121" spans="1:66" x14ac:dyDescent="0.35">
      <c r="C121"/>
    </row>
    <row r="122" spans="1:66" x14ac:dyDescent="0.35">
      <c r="C122"/>
    </row>
    <row r="123" spans="1:66" x14ac:dyDescent="0.35">
      <c r="C123"/>
    </row>
    <row r="124" spans="1:66" x14ac:dyDescent="0.35">
      <c r="C124"/>
    </row>
    <row r="125" spans="1:66" x14ac:dyDescent="0.35">
      <c r="C125"/>
    </row>
    <row r="126" spans="1:66" x14ac:dyDescent="0.35">
      <c r="C126"/>
    </row>
    <row r="127" spans="1:66" x14ac:dyDescent="0.35">
      <c r="C127"/>
    </row>
    <row r="128" spans="1:66" x14ac:dyDescent="0.35">
      <c r="C128"/>
    </row>
    <row r="129" spans="3:3" x14ac:dyDescent="0.35">
      <c r="C129"/>
    </row>
    <row r="130" spans="3:3" x14ac:dyDescent="0.35">
      <c r="C130"/>
    </row>
    <row r="131" spans="3:3" x14ac:dyDescent="0.35">
      <c r="C131"/>
    </row>
    <row r="132" spans="3:3" x14ac:dyDescent="0.35">
      <c r="C132"/>
    </row>
    <row r="133" spans="3:3" x14ac:dyDescent="0.35">
      <c r="C133"/>
    </row>
    <row r="134" spans="3:3" x14ac:dyDescent="0.35">
      <c r="C134"/>
    </row>
    <row r="135" spans="3:3" x14ac:dyDescent="0.35">
      <c r="C135"/>
    </row>
    <row r="136" spans="3:3" x14ac:dyDescent="0.35">
      <c r="C136"/>
    </row>
    <row r="137" spans="3:3" x14ac:dyDescent="0.35">
      <c r="C137"/>
    </row>
  </sheetData>
  <autoFilter ref="A5:AK116" xr:uid="{12A3EAEC-43AF-4194-85A6-B65A1C2F38F7}"/>
  <mergeCells count="5">
    <mergeCell ref="E1:L1"/>
    <mergeCell ref="M1:X1"/>
    <mergeCell ref="Y1:AJ1"/>
    <mergeCell ref="AK1:AV1"/>
    <mergeCell ref="BI1:BK1"/>
  </mergeCells>
  <pageMargins left="0.25" right="0.25" top="0.75" bottom="0.75" header="0.3" footer="0.3"/>
  <pageSetup paperSize="7" scale="13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D6AED-0D25-4159-AA3B-4A6D2847D6BA}">
  <sheetPr>
    <tabColor rgb="FF92D050"/>
    <pageSetUpPr fitToPage="1"/>
  </sheetPr>
  <dimension ref="A1:AS1030"/>
  <sheetViews>
    <sheetView showGridLines="0" zoomScaleNormal="100" workbookViewId="0">
      <pane xSplit="4" ySplit="3" topLeftCell="Q4" activePane="bottomRight" state="frozen"/>
      <selection activeCell="D74" sqref="D74"/>
      <selection pane="topRight" activeCell="D74" sqref="D74"/>
      <selection pane="bottomLeft" activeCell="D74" sqref="D74"/>
      <selection pane="bottomRight" activeCell="D74" sqref="D74"/>
    </sheetView>
  </sheetViews>
  <sheetFormatPr defaultColWidth="14.453125" defaultRowHeight="11.5" outlineLevelRow="1" outlineLevelCol="1" x14ac:dyDescent="0.25"/>
  <cols>
    <col min="1" max="1" width="6.36328125" style="101" customWidth="1" outlineLevel="1"/>
    <col min="2" max="2" width="5" style="101" customWidth="1" outlineLevel="1"/>
    <col min="3" max="3" width="5" style="102" customWidth="1" outlineLevel="1"/>
    <col min="4" max="4" width="33.1796875" style="101" customWidth="1"/>
    <col min="5" max="6" width="13.90625" style="101" hidden="1" customWidth="1" outlineLevel="1"/>
    <col min="7" max="7" width="14.08984375" style="101" hidden="1" customWidth="1" outlineLevel="1"/>
    <col min="8" max="9" width="14.90625" style="101" hidden="1" customWidth="1" outlineLevel="1"/>
    <col min="10" max="10" width="14.08984375" style="101" hidden="1" customWidth="1" outlineLevel="1"/>
    <col min="11" max="11" width="13.90625" style="101" hidden="1" customWidth="1" outlineLevel="1"/>
    <col min="12" max="12" width="13.6328125" style="101" hidden="1" customWidth="1" outlineLevel="1"/>
    <col min="13" max="14" width="13.90625" style="101" hidden="1" customWidth="1" outlineLevel="1"/>
    <col min="15" max="15" width="13.54296875" style="101" hidden="1" customWidth="1" outlineLevel="1"/>
    <col min="16" max="16" width="13.453125" style="101" hidden="1" customWidth="1" outlineLevel="1"/>
    <col min="17" max="17" width="16.08984375" style="101" bestFit="1" customWidth="1" collapsed="1"/>
    <col min="18" max="18" width="11.1796875" style="101" bestFit="1" customWidth="1" outlineLevel="1"/>
    <col min="19" max="19" width="10.81640625" style="101" bestFit="1" customWidth="1" outlineLevel="1"/>
    <col min="20" max="20" width="11.453125" style="101" bestFit="1" customWidth="1" outlineLevel="1"/>
    <col min="21" max="21" width="11" style="101" bestFit="1" customWidth="1" outlineLevel="1"/>
    <col min="22" max="22" width="11.6328125" style="101" bestFit="1" customWidth="1" outlineLevel="1"/>
    <col min="23" max="23" width="10.81640625" style="101" bestFit="1" customWidth="1" outlineLevel="1"/>
    <col min="24" max="24" width="10.08984375" style="101" bestFit="1" customWidth="1" outlineLevel="1"/>
    <col min="25" max="25" width="11.36328125" style="101" bestFit="1" customWidth="1" outlineLevel="1"/>
    <col min="26" max="26" width="11.1796875" style="101" customWidth="1" outlineLevel="1"/>
    <col min="27" max="27" width="10.90625" style="101" customWidth="1" outlineLevel="1"/>
    <col min="28" max="28" width="11.36328125" style="101" customWidth="1" outlineLevel="1"/>
    <col min="29" max="29" width="10.81640625" style="101" bestFit="1" customWidth="1" outlineLevel="1"/>
    <col min="30" max="30" width="9.90625" style="101" customWidth="1" outlineLevel="1"/>
    <col min="31" max="31" width="10.81640625" style="101" customWidth="1"/>
    <col min="32" max="32" width="8.90625" style="101" bestFit="1" customWidth="1"/>
    <col min="33" max="33" width="9" style="101" bestFit="1" customWidth="1"/>
    <col min="34" max="34" width="10.453125" style="101" bestFit="1" customWidth="1"/>
    <col min="35" max="35" width="11.453125" style="101" bestFit="1" customWidth="1"/>
    <col min="36" max="41" width="7.6328125" style="101" bestFit="1" customWidth="1"/>
    <col min="42" max="42" width="12.08984375" style="101" bestFit="1" customWidth="1"/>
    <col min="43" max="43" width="12.1796875" style="101" bestFit="1" customWidth="1"/>
    <col min="44" max="16384" width="14.453125" style="101"/>
  </cols>
  <sheetData>
    <row r="1" spans="1:45" ht="15" x14ac:dyDescent="0.3">
      <c r="D1" s="103" t="s">
        <v>96</v>
      </c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5"/>
      <c r="R1" s="106" t="s">
        <v>96</v>
      </c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8"/>
      <c r="AE1" s="106" t="s">
        <v>96</v>
      </c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8"/>
    </row>
    <row r="2" spans="1:45" ht="15" x14ac:dyDescent="0.3">
      <c r="D2" s="103" t="s">
        <v>97</v>
      </c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5"/>
      <c r="R2" s="109" t="s">
        <v>98</v>
      </c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1"/>
      <c r="AE2" s="109" t="s">
        <v>99</v>
      </c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1"/>
    </row>
    <row r="3" spans="1:45" s="112" customFormat="1" ht="34.5" x14ac:dyDescent="0.3">
      <c r="C3" s="113"/>
      <c r="D3" s="114"/>
      <c r="E3" s="12">
        <f>+BCE!M2</f>
        <v>45292</v>
      </c>
      <c r="F3" s="12">
        <f>+BCE!N2</f>
        <v>45323</v>
      </c>
      <c r="G3" s="12">
        <f>+BCE!O2</f>
        <v>45352</v>
      </c>
      <c r="H3" s="12">
        <f>+BCE!P2</f>
        <v>45383</v>
      </c>
      <c r="I3" s="12">
        <f>+BCE!Q2</f>
        <v>45413</v>
      </c>
      <c r="J3" s="12">
        <f>+BCE!R2</f>
        <v>45444</v>
      </c>
      <c r="K3" s="12">
        <f>+BCE!S2</f>
        <v>45474</v>
      </c>
      <c r="L3" s="12">
        <f>+BCE!T2</f>
        <v>45505</v>
      </c>
      <c r="M3" s="12">
        <f>+BCE!U2</f>
        <v>45536</v>
      </c>
      <c r="N3" s="12">
        <f>+BCE!V2</f>
        <v>45566</v>
      </c>
      <c r="O3" s="12">
        <f>+BCE!W2</f>
        <v>45597</v>
      </c>
      <c r="P3" s="12">
        <f>+BCE!X2</f>
        <v>45627</v>
      </c>
      <c r="Q3" s="115" t="s">
        <v>100</v>
      </c>
      <c r="R3" s="12">
        <f>+BCE!Y2</f>
        <v>45658</v>
      </c>
      <c r="S3" s="12">
        <f>+BCE!Z2</f>
        <v>45689</v>
      </c>
      <c r="T3" s="12">
        <f>+BCE!AA2</f>
        <v>45717</v>
      </c>
      <c r="U3" s="12">
        <f>+BCE!AB2</f>
        <v>45748</v>
      </c>
      <c r="V3" s="12">
        <f>+BCE!AC2</f>
        <v>45778</v>
      </c>
      <c r="W3" s="12">
        <f>+BCE!AD2</f>
        <v>45809</v>
      </c>
      <c r="X3" s="12">
        <f>+BCE!AE2</f>
        <v>45839</v>
      </c>
      <c r="Y3" s="12">
        <f>+BCE!AF2</f>
        <v>45870</v>
      </c>
      <c r="Z3" s="12">
        <f>+BCE!AG2</f>
        <v>45901</v>
      </c>
      <c r="AA3" s="12">
        <f>+BCE!AH2</f>
        <v>45931</v>
      </c>
      <c r="AB3" s="12">
        <f>+BCE!AI2</f>
        <v>45962</v>
      </c>
      <c r="AC3" s="12">
        <f>+BCE!AJ2</f>
        <v>45992</v>
      </c>
      <c r="AD3" s="115" t="s">
        <v>101</v>
      </c>
      <c r="AE3" s="12">
        <f>+BCE!AK2</f>
        <v>46023</v>
      </c>
      <c r="AF3" s="12">
        <f>+BCE!AL2</f>
        <v>46054</v>
      </c>
      <c r="AG3" s="12">
        <f>+BCE!AM2</f>
        <v>46082</v>
      </c>
      <c r="AH3" s="12">
        <f>+BCE!AN2</f>
        <v>46113</v>
      </c>
      <c r="AI3" s="12">
        <f>+BCE!AO2</f>
        <v>46143</v>
      </c>
      <c r="AJ3" s="12">
        <f>+BCE!AP2</f>
        <v>46174</v>
      </c>
      <c r="AK3" s="12">
        <f>+BCE!AQ2</f>
        <v>46204</v>
      </c>
      <c r="AL3" s="12">
        <f>+BCE!AR2</f>
        <v>46235</v>
      </c>
      <c r="AM3" s="12">
        <f>+BCE!AS2</f>
        <v>46266</v>
      </c>
      <c r="AN3" s="12">
        <f>+BCE!AT2</f>
        <v>46296</v>
      </c>
      <c r="AO3" s="12">
        <f>+BCE!AU2</f>
        <v>46327</v>
      </c>
      <c r="AP3" s="12">
        <f>+BCE!AV2</f>
        <v>46357</v>
      </c>
      <c r="AQ3" s="115" t="s">
        <v>101</v>
      </c>
      <c r="AS3" s="101"/>
    </row>
    <row r="4" spans="1:45" x14ac:dyDescent="0.25">
      <c r="D4" s="116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8"/>
      <c r="R4" s="119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8"/>
      <c r="AE4" s="119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8"/>
    </row>
    <row r="5" spans="1:45" x14ac:dyDescent="0.25">
      <c r="D5" s="120" t="s">
        <v>102</v>
      </c>
      <c r="E5" s="121">
        <f t="shared" ref="E5:F5" si="0">SUM(E6:E12)</f>
        <v>713957.2048699999</v>
      </c>
      <c r="F5" s="121">
        <f t="shared" si="0"/>
        <v>644286.96058000007</v>
      </c>
      <c r="G5" s="121">
        <f>SUM(G6:G12)</f>
        <v>621165.80728000007</v>
      </c>
      <c r="H5" s="121">
        <f t="shared" ref="H5:M5" si="1">SUM(H6:H12)</f>
        <v>637464.68571000011</v>
      </c>
      <c r="I5" s="121">
        <f t="shared" si="1"/>
        <v>670650.60957999993</v>
      </c>
      <c r="J5" s="121">
        <f t="shared" si="1"/>
        <v>606598.96486000007</v>
      </c>
      <c r="K5" s="121">
        <f t="shared" si="1"/>
        <v>785537.38095999998</v>
      </c>
      <c r="L5" s="121">
        <f t="shared" si="1"/>
        <v>900635.21837999998</v>
      </c>
      <c r="M5" s="121">
        <f t="shared" si="1"/>
        <v>827076.67207000009</v>
      </c>
      <c r="N5" s="121">
        <f>SUM(N6:N12)</f>
        <v>867977.59351000004</v>
      </c>
      <c r="O5" s="121">
        <f>SUM(O6:O12)</f>
        <v>843429.7141499999</v>
      </c>
      <c r="P5" s="121">
        <f>SUM(P6:P11)</f>
        <v>853222.48270999989</v>
      </c>
      <c r="Q5" s="122">
        <f>SUM(E5:P5)</f>
        <v>8972003.294660002</v>
      </c>
      <c r="R5" s="121">
        <f t="shared" ref="R5:S5" si="2">SUM(R6:R12)</f>
        <v>925060.72324000008</v>
      </c>
      <c r="S5" s="121">
        <f t="shared" si="2"/>
        <v>927817.01523000002</v>
      </c>
      <c r="T5" s="121">
        <f>SUM(T6:T12)</f>
        <v>851329.97828000004</v>
      </c>
      <c r="U5" s="121">
        <f t="shared" ref="U5:AC5" si="3">SUM(U6:U12)</f>
        <v>858288.61375999998</v>
      </c>
      <c r="V5" s="121">
        <f t="shared" si="3"/>
        <v>918656.25714</v>
      </c>
      <c r="W5" s="121">
        <f t="shared" si="3"/>
        <v>844552.12072999997</v>
      </c>
      <c r="X5" s="121">
        <f t="shared" si="3"/>
        <v>1028220.0728099999</v>
      </c>
      <c r="Y5" s="121">
        <f t="shared" si="3"/>
        <v>947917.77690000006</v>
      </c>
      <c r="Z5" s="121">
        <f t="shared" si="3"/>
        <v>930479.03442000004</v>
      </c>
      <c r="AA5" s="121">
        <f t="shared" si="3"/>
        <v>929415.37393999996</v>
      </c>
      <c r="AB5" s="121">
        <f t="shared" si="3"/>
        <v>903160.21380999987</v>
      </c>
      <c r="AC5" s="121">
        <f t="shared" si="3"/>
        <v>974873.08798999991</v>
      </c>
      <c r="AD5" s="122">
        <f>SUM(R5:AC5)</f>
        <v>11039770.26825</v>
      </c>
      <c r="AE5" s="121">
        <f t="shared" ref="AE5:AF5" si="4">SUM(AE6:AE12)</f>
        <v>970990.94377000001</v>
      </c>
      <c r="AF5" s="121">
        <f t="shared" si="4"/>
        <v>816517.46596000006</v>
      </c>
      <c r="AG5" s="121">
        <f>SUM(AG6:AG12)</f>
        <v>1109223.6378600001</v>
      </c>
      <c r="AH5" s="121">
        <f t="shared" ref="AH5:AP5" si="5">SUM(AH6:AH12)</f>
        <v>0</v>
      </c>
      <c r="AI5" s="121">
        <f t="shared" si="5"/>
        <v>0</v>
      </c>
      <c r="AJ5" s="121">
        <f t="shared" si="5"/>
        <v>0</v>
      </c>
      <c r="AK5" s="121">
        <f t="shared" si="5"/>
        <v>0</v>
      </c>
      <c r="AL5" s="121">
        <f t="shared" si="5"/>
        <v>0</v>
      </c>
      <c r="AM5" s="121">
        <f t="shared" si="5"/>
        <v>0</v>
      </c>
      <c r="AN5" s="121">
        <f t="shared" si="5"/>
        <v>0</v>
      </c>
      <c r="AO5" s="121">
        <f t="shared" si="5"/>
        <v>0</v>
      </c>
      <c r="AP5" s="121">
        <f t="shared" si="5"/>
        <v>0</v>
      </c>
      <c r="AQ5" s="122">
        <f>SUM(AE5:AP5)</f>
        <v>2896732.0475900001</v>
      </c>
    </row>
    <row r="6" spans="1:45" ht="12.5" outlineLevel="1" x14ac:dyDescent="0.25">
      <c r="A6" s="48">
        <v>4135</v>
      </c>
      <c r="B6" s="2" t="str">
        <f>+"PAN"&amp;C6</f>
        <v>PAN4135</v>
      </c>
      <c r="C6" s="1">
        <v>4135</v>
      </c>
      <c r="D6" s="123" t="s">
        <v>103</v>
      </c>
      <c r="E6" s="124">
        <f>-VLOOKUP($B6,'[2]TBG G Cuenta'!$A$6:$AA$1000,COLUMN('[2]TBG G Cuenta'!B172),FALSE)</f>
        <v>722457.97399999993</v>
      </c>
      <c r="F6" s="124">
        <f>-VLOOKUP($B6,'[2]TBG G Cuenta'!$A$6:$AA$1000,COLUMN('[2]TBG G Cuenta'!C172),FALSE)</f>
        <v>650315.04200000002</v>
      </c>
      <c r="G6" s="124">
        <f>-VLOOKUP($B6,'[2]TBG G Cuenta'!$A$6:$AA$1000,COLUMN('[2]TBG G Cuenta'!D172),FALSE)</f>
        <v>630033.80100000009</v>
      </c>
      <c r="H6" s="124">
        <f>-VLOOKUP($B6,'[2]TBG G Cuenta'!$A$6:$AA$1000,COLUMN('[2]TBG G Cuenta'!E172),FALSE)</f>
        <v>641743.76610000012</v>
      </c>
      <c r="I6" s="124">
        <f>-VLOOKUP($B6,'[2]TBG G Cuenta'!$A$6:$AA$1000,COLUMN('[2]TBG G Cuenta'!F172),FALSE)</f>
        <v>682649.36153999995</v>
      </c>
      <c r="J6" s="124">
        <f>-VLOOKUP($B6,'[2]TBG G Cuenta'!$A$6:$AA$1000,COLUMN('[2]TBG G Cuenta'!G172),FALSE)</f>
        <v>615542.71770000004</v>
      </c>
      <c r="K6" s="124">
        <f>-VLOOKUP($B6,'[2]TBG G Cuenta'!$A$6:$AA$1000,COLUMN('[2]TBG G Cuenta'!H172),FALSE)</f>
        <v>808047.50049000001</v>
      </c>
      <c r="L6" s="124">
        <f>-VLOOKUP($B6,'[2]TBG G Cuenta'!$A$6:$AA$1000,COLUMN('[2]TBG G Cuenta'!I172),FALSE)</f>
        <v>915608.86684999999</v>
      </c>
      <c r="M6" s="124">
        <f>-VLOOKUP($B6,'[2]TBG G Cuenta'!$A$6:$AA$1000,COLUMN('[2]TBG G Cuenta'!J172),FALSE)</f>
        <v>835221.13683000009</v>
      </c>
      <c r="N6" s="124">
        <f>-VLOOKUP($B6,'[2]TBG G Cuenta'!$A$6:$AA$1000,COLUMN('[2]TBG G Cuenta'!K172),FALSE)</f>
        <v>875098.18660000002</v>
      </c>
      <c r="O6" s="124">
        <f>-VLOOKUP($B6,'[2]TBG G Cuenta'!$A$6:$AA$1000,COLUMN('[2]TBG G Cuenta'!L172),FALSE)</f>
        <v>853052.43965999992</v>
      </c>
      <c r="P6" s="124">
        <f>-VLOOKUP($B6,'[2]TBG G Cuenta'!$A$6:$AA$1000,COLUMN('[2]TBG G Cuenta'!M172),FALSE)</f>
        <v>865472.96549999993</v>
      </c>
      <c r="Q6" s="125">
        <f>SUM(E6:P6)</f>
        <v>9095243.7582699992</v>
      </c>
      <c r="R6" s="124">
        <f>-VLOOKUP($B6,'[2]TBG G Cuenta'!$A$6:$AA$1000,COLUMN('[2]TBG G Cuenta'!O172),FALSE)</f>
        <v>933689.50563000003</v>
      </c>
      <c r="S6" s="124">
        <f>-VLOOKUP($B6,'[2]TBG G Cuenta'!$A$6:$AA$1000,COLUMN('[2]TBG G Cuenta'!P172),FALSE)</f>
        <v>932836.41865999997</v>
      </c>
      <c r="T6" s="124">
        <f>-VLOOKUP($B6,'[2]TBG G Cuenta'!$A$6:$AA$1000,COLUMN('[2]TBG G Cuenta'!Q172),FALSE)</f>
        <v>861031.96295000007</v>
      </c>
      <c r="U6" s="124">
        <f>-VLOOKUP($B6,'[2]TBG G Cuenta'!$A$6:$AA$1000,COLUMN('[2]TBG G Cuenta'!R172),FALSE)</f>
        <v>865981.33141999994</v>
      </c>
      <c r="V6" s="124">
        <f>-VLOOKUP($B6,'[2]TBG G Cuenta'!$A$6:$AA$1000,COLUMN('[2]TBG G Cuenta'!S172),FALSE)</f>
        <v>936386.60115</v>
      </c>
      <c r="W6" s="124">
        <f>-VLOOKUP($B6,'[2]TBG G Cuenta'!$A$6:$AA$1000,COLUMN('[2]TBG G Cuenta'!T172),FALSE)</f>
        <v>852576.12136999995</v>
      </c>
      <c r="X6" s="124">
        <f>-VLOOKUP($B6,'[2]TBG G Cuenta'!$A$6:$AA$1000,COLUMN('[2]TBG G Cuenta'!U172),FALSE)</f>
        <v>1031787.9863099999</v>
      </c>
      <c r="Y6" s="124">
        <f>-VLOOKUP($B6,'[2]TBG G Cuenta'!$A$6:$AA$1000,COLUMN('[2]TBG G Cuenta'!V172),FALSE)</f>
        <v>951273.07585000002</v>
      </c>
      <c r="Z6" s="124">
        <f>-VLOOKUP($B6,'[2]TBG G Cuenta'!$A$6:$AA$1000,COLUMN('[2]TBG G Cuenta'!W172),FALSE)</f>
        <v>935660.11744000006</v>
      </c>
      <c r="AA6" s="124">
        <f>-VLOOKUP($B6,'[2]TBG G Cuenta'!$A$6:$AA$1000,COLUMN('[2]TBG G Cuenta'!X172),FALSE)</f>
        <v>952932.35120999999</v>
      </c>
      <c r="AB6" s="124">
        <f>-VLOOKUP($B6,'[2]TBG G Cuenta'!$A$6:$AA$1000,COLUMN('[2]TBG G Cuenta'!Y172),FALSE)</f>
        <v>911431.1749199999</v>
      </c>
      <c r="AC6" s="124">
        <f>-VLOOKUP($B6,'[2]TBG G Cuenta'!$A$6:$AA$1000,COLUMN('[2]TBG G Cuenta'!Z172),FALSE)</f>
        <v>983753.16192999994</v>
      </c>
      <c r="AD6" s="125">
        <f>SUM(R6:AC6)</f>
        <v>11149339.808839999</v>
      </c>
      <c r="AE6" s="124">
        <f>-VLOOKUP($B6,'[2]TBG G Cuenta'!$A$6:$AZ$1000,COLUMN('[2]TBG G Cuenta'!AB172),FALSE)</f>
        <v>978224.64124000003</v>
      </c>
      <c r="AF6" s="124">
        <f>-VLOOKUP($B6,'[2]TBG G Cuenta'!$A$6:$AZ$1000,COLUMN('[2]TBG G Cuenta'!AC172),FALSE)</f>
        <v>820453.54327000002</v>
      </c>
      <c r="AG6" s="124">
        <f>-VLOOKUP($B6,'[2]TBG G Cuenta'!$A$6:$AZ$1000,COLUMN('[2]TBG G Cuenta'!AD172),FALSE)</f>
        <v>1113710.5429000002</v>
      </c>
      <c r="AH6" s="124"/>
      <c r="AI6" s="124"/>
      <c r="AJ6" s="124"/>
      <c r="AK6" s="124"/>
      <c r="AL6" s="124"/>
      <c r="AM6" s="124"/>
      <c r="AN6" s="124"/>
      <c r="AO6" s="124"/>
      <c r="AP6" s="124"/>
      <c r="AQ6" s="125">
        <f>SUM(AE6:AP6)</f>
        <v>2912388.7274100003</v>
      </c>
    </row>
    <row r="7" spans="1:45" ht="14.5" outlineLevel="1" x14ac:dyDescent="0.35">
      <c r="A7" s="48">
        <v>4175</v>
      </c>
      <c r="B7" s="2" t="str">
        <f t="shared" ref="B7:B70" si="6">+"PAN"&amp;C7</f>
        <v>PAN</v>
      </c>
      <c r="C7" s="36"/>
      <c r="D7" s="123"/>
      <c r="E7" s="124"/>
      <c r="F7" s="124"/>
      <c r="G7" s="124"/>
      <c r="H7" s="124"/>
      <c r="I7" s="124"/>
      <c r="J7" s="124"/>
      <c r="K7" s="124"/>
      <c r="L7" s="124"/>
      <c r="M7" s="124"/>
      <c r="N7" s="124"/>
      <c r="O7" s="124"/>
      <c r="P7" s="124"/>
      <c r="Q7" s="125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5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5"/>
    </row>
    <row r="8" spans="1:45" ht="14.5" outlineLevel="1" x14ac:dyDescent="0.35">
      <c r="A8" s="1">
        <v>4210</v>
      </c>
      <c r="B8" s="2" t="str">
        <f t="shared" si="6"/>
        <v>PAN</v>
      </c>
      <c r="C8" s="36"/>
      <c r="D8" s="123"/>
      <c r="E8" s="124"/>
      <c r="F8" s="124"/>
      <c r="G8" s="124"/>
      <c r="H8" s="124"/>
      <c r="I8" s="124"/>
      <c r="J8" s="124"/>
      <c r="K8" s="124"/>
      <c r="L8" s="124"/>
      <c r="M8" s="124"/>
      <c r="N8" s="124"/>
      <c r="O8" s="124"/>
      <c r="P8" s="124"/>
      <c r="Q8" s="125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  <c r="AD8" s="125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5"/>
    </row>
    <row r="9" spans="1:45" ht="14.5" outlineLevel="1" x14ac:dyDescent="0.35">
      <c r="A9" s="1">
        <v>4250</v>
      </c>
      <c r="B9" s="2" t="str">
        <f t="shared" si="6"/>
        <v>PAN</v>
      </c>
      <c r="C9" s="36"/>
      <c r="D9" s="123"/>
      <c r="E9" s="124"/>
      <c r="F9" s="124"/>
      <c r="G9" s="124"/>
      <c r="H9" s="124"/>
      <c r="I9" s="124"/>
      <c r="J9" s="124"/>
      <c r="K9" s="124"/>
      <c r="L9" s="124"/>
      <c r="M9" s="124"/>
      <c r="N9" s="124"/>
      <c r="O9" s="124"/>
      <c r="P9" s="124"/>
      <c r="Q9" s="125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  <c r="AD9" s="125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5"/>
    </row>
    <row r="10" spans="1:45" ht="12.5" outlineLevel="1" x14ac:dyDescent="0.25">
      <c r="A10" s="1">
        <v>4255</v>
      </c>
      <c r="B10" s="2" t="str">
        <f t="shared" si="6"/>
        <v>PAN4175</v>
      </c>
      <c r="C10" s="101">
        <v>4175</v>
      </c>
      <c r="D10" s="126" t="s">
        <v>104</v>
      </c>
      <c r="E10" s="127">
        <f>-VLOOKUP($B10,'[2]TBG G Cuenta'!$A$6:$AA$1000,COLUMN('[2]TBG G Cuenta'!B176),FALSE)</f>
        <v>-8500.7691300000006</v>
      </c>
      <c r="F10" s="127">
        <f>-VLOOKUP($B10,'[2]TBG G Cuenta'!$A$6:$AA$1000,COLUMN('[2]TBG G Cuenta'!C176),FALSE)</f>
        <v>-6028.0814199999995</v>
      </c>
      <c r="G10" s="127">
        <f>-VLOOKUP($B10,'[2]TBG G Cuenta'!$A$6:$AA$1000,COLUMN('[2]TBG G Cuenta'!D176),FALSE)</f>
        <v>-8867.9937200000004</v>
      </c>
      <c r="H10" s="127">
        <f>-VLOOKUP($B10,'[2]TBG G Cuenta'!$A$6:$AA$1000,COLUMN('[2]TBG G Cuenta'!E176),FALSE)</f>
        <v>-4279.0803900000001</v>
      </c>
      <c r="I10" s="127">
        <f>-VLOOKUP($B10,'[2]TBG G Cuenta'!$A$6:$AA$1000,COLUMN('[2]TBG G Cuenta'!F176),FALSE)</f>
        <v>-11998.751960000001</v>
      </c>
      <c r="J10" s="127">
        <f>-VLOOKUP($B10,'[2]TBG G Cuenta'!$A$6:$AA$1000,COLUMN('[2]TBG G Cuenta'!G176),FALSE)</f>
        <v>-8943.7528399999992</v>
      </c>
      <c r="K10" s="127">
        <f>-VLOOKUP($B10,'[2]TBG G Cuenta'!$A$6:$AA$1000,COLUMN('[2]TBG G Cuenta'!H176),FALSE)</f>
        <v>-22510.11953</v>
      </c>
      <c r="L10" s="127">
        <f>-VLOOKUP($B10,'[2]TBG G Cuenta'!$A$6:$AA$1000,COLUMN('[2]TBG G Cuenta'!I176),FALSE)</f>
        <v>-14973.64847</v>
      </c>
      <c r="M10" s="127">
        <f>-VLOOKUP($B10,'[2]TBG G Cuenta'!$A$6:$AA$1000,COLUMN('[2]TBG G Cuenta'!J176),FALSE)</f>
        <v>-8144.4647599999998</v>
      </c>
      <c r="N10" s="127">
        <f>-VLOOKUP($B10,'[2]TBG G Cuenta'!$A$6:$AA$1000,COLUMN('[2]TBG G Cuenta'!K176),FALSE)</f>
        <v>-7120.5930900000003</v>
      </c>
      <c r="O10" s="127">
        <f>-VLOOKUP($B10,'[2]TBG G Cuenta'!$A$6:$AA$1000,COLUMN('[2]TBG G Cuenta'!L176),FALSE)</f>
        <v>-9622.7255100000002</v>
      </c>
      <c r="P10" s="127">
        <f>-VLOOKUP($B10,'[2]TBG G Cuenta'!$A$6:$AA$1000,COLUMN('[2]TBG G Cuenta'!M176),FALSE)</f>
        <v>-12250.482789999998</v>
      </c>
      <c r="Q10" s="128">
        <f>SUM(E10:P10)</f>
        <v>-123240.46360999999</v>
      </c>
      <c r="R10" s="127">
        <f>-VLOOKUP($B10,'[2]TBG G Cuenta'!$A$6:$AA$1000,COLUMN('[2]TBG G Cuenta'!O176),FALSE)</f>
        <v>-8628.7823900000003</v>
      </c>
      <c r="S10" s="127">
        <f>-VLOOKUP($B10,'[2]TBG G Cuenta'!$A$6:$AA$1000,COLUMN('[2]TBG G Cuenta'!P176),FALSE)</f>
        <v>-5019.4034299999994</v>
      </c>
      <c r="T10" s="127">
        <f>-VLOOKUP($B10,'[2]TBG G Cuenta'!$A$6:$AA$1000,COLUMN('[2]TBG G Cuenta'!Q176),FALSE)</f>
        <v>-9701.9846699999998</v>
      </c>
      <c r="U10" s="127">
        <f>-VLOOKUP($B10,'[2]TBG G Cuenta'!$A$6:$AA$1000,COLUMN('[2]TBG G Cuenta'!R176),FALSE)</f>
        <v>-7692.7176600000003</v>
      </c>
      <c r="V10" s="127">
        <f>-VLOOKUP($B10,'[2]TBG G Cuenta'!$A$6:$AA$1000,COLUMN('[2]TBG G Cuenta'!S176),FALSE)</f>
        <v>-17730.344010000001</v>
      </c>
      <c r="W10" s="127">
        <f>-VLOOKUP($B10,'[2]TBG G Cuenta'!$A$6:$AA$1000,COLUMN('[2]TBG G Cuenta'!T176),FALSE)</f>
        <v>-8024.0006399999993</v>
      </c>
      <c r="X10" s="127">
        <f>-VLOOKUP($B10,'[2]TBG G Cuenta'!$A$6:$AA$1000,COLUMN('[2]TBG G Cuenta'!U176),FALSE)</f>
        <v>-3567.9135000000001</v>
      </c>
      <c r="Y10" s="127">
        <f>-VLOOKUP($B10,'[2]TBG G Cuenta'!$A$6:$AA$1000,COLUMN('[2]TBG G Cuenta'!V176),FALSE)</f>
        <v>-3355.2989500000003</v>
      </c>
      <c r="Z10" s="127">
        <f>-VLOOKUP($B10,'[2]TBG G Cuenta'!$A$6:$AA$1000,COLUMN('[2]TBG G Cuenta'!W176),FALSE)</f>
        <v>-5181.0830199999991</v>
      </c>
      <c r="AA10" s="127">
        <f>-VLOOKUP($B10,'[2]TBG G Cuenta'!$A$6:$AA$1000,COLUMN('[2]TBG G Cuenta'!X176),FALSE)</f>
        <v>-23516.977269999999</v>
      </c>
      <c r="AB10" s="127">
        <f>-VLOOKUP($B10,'[2]TBG G Cuenta'!$A$6:$AA$1000,COLUMN('[2]TBG G Cuenta'!Y176),FALSE)</f>
        <v>-8270.9611100000002</v>
      </c>
      <c r="AC10" s="127">
        <f>-VLOOKUP($B10,'[2]TBG G Cuenta'!$A$6:$AA$1000,COLUMN('[2]TBG G Cuenta'!Z176),FALSE)</f>
        <v>-8880.0739400000002</v>
      </c>
      <c r="AD10" s="128">
        <f>SUM(R10:AC10)</f>
        <v>-109569.54059000002</v>
      </c>
      <c r="AE10" s="127">
        <f>-VLOOKUP($B10,'[2]TBG G Cuenta'!$A$6:$AZ$1000,COLUMN('[2]TBG G Cuenta'!AB176),FALSE)</f>
        <v>-7233.6974700000001</v>
      </c>
      <c r="AF10" s="127">
        <f>-VLOOKUP($B10,'[2]TBG G Cuenta'!$A$6:$AZ$1000,COLUMN('[2]TBG G Cuenta'!AC176),FALSE)</f>
        <v>-3936.0773100000001</v>
      </c>
      <c r="AG10" s="127">
        <f>-VLOOKUP($B10,'[2]TBG G Cuenta'!$A$6:$AZ$1000,COLUMN('[2]TBG G Cuenta'!AD176),FALSE)</f>
        <v>-4486.9050399999996</v>
      </c>
      <c r="AH10" s="127"/>
      <c r="AI10" s="127"/>
      <c r="AJ10" s="127"/>
      <c r="AK10" s="127"/>
      <c r="AL10" s="127"/>
      <c r="AM10" s="127"/>
      <c r="AN10" s="127"/>
      <c r="AO10" s="127"/>
      <c r="AP10" s="127"/>
      <c r="AQ10" s="128">
        <f>SUM(AE10:AP10)</f>
        <v>-15656.679819999999</v>
      </c>
    </row>
    <row r="11" spans="1:45" ht="12.5" outlineLevel="1" x14ac:dyDescent="0.25">
      <c r="A11" s="1">
        <v>4295</v>
      </c>
      <c r="B11" s="2" t="str">
        <f t="shared" si="6"/>
        <v>PAN</v>
      </c>
      <c r="D11" s="123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5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5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5"/>
    </row>
    <row r="12" spans="1:45" ht="12.5" outlineLevel="1" x14ac:dyDescent="0.25">
      <c r="A12" s="48">
        <v>5105</v>
      </c>
      <c r="B12" s="2" t="str">
        <f t="shared" si="6"/>
        <v>PAN</v>
      </c>
      <c r="D12" s="129"/>
      <c r="E12" s="130">
        <v>0</v>
      </c>
      <c r="F12" s="130">
        <v>0</v>
      </c>
      <c r="G12" s="130">
        <v>0</v>
      </c>
      <c r="H12" s="130"/>
      <c r="I12" s="130"/>
      <c r="J12" s="130"/>
      <c r="K12" s="130"/>
      <c r="L12" s="130">
        <v>0</v>
      </c>
      <c r="M12" s="130">
        <v>0</v>
      </c>
      <c r="N12" s="130">
        <v>0</v>
      </c>
      <c r="O12" s="130">
        <v>0</v>
      </c>
      <c r="P12" s="130"/>
      <c r="Q12" s="131">
        <f>SUM(E12:P12)</f>
        <v>0</v>
      </c>
      <c r="R12" s="130">
        <v>0</v>
      </c>
      <c r="S12" s="130">
        <v>0</v>
      </c>
      <c r="T12" s="130">
        <v>0</v>
      </c>
      <c r="U12" s="130"/>
      <c r="V12" s="130"/>
      <c r="W12" s="130"/>
      <c r="X12" s="130"/>
      <c r="Y12" s="130"/>
      <c r="Z12" s="130"/>
      <c r="AA12" s="130"/>
      <c r="AB12" s="130"/>
      <c r="AC12" s="130"/>
      <c r="AD12" s="131">
        <f>SUM(R12:AC12)</f>
        <v>0</v>
      </c>
      <c r="AE12" s="130">
        <v>0</v>
      </c>
      <c r="AF12" s="130">
        <v>0</v>
      </c>
      <c r="AG12" s="130">
        <v>0</v>
      </c>
      <c r="AH12" s="130"/>
      <c r="AI12" s="130"/>
      <c r="AJ12" s="130"/>
      <c r="AK12" s="130"/>
      <c r="AL12" s="130"/>
      <c r="AM12" s="130"/>
      <c r="AN12" s="130"/>
      <c r="AO12" s="130"/>
      <c r="AP12" s="130"/>
      <c r="AQ12" s="131">
        <f>SUM(AE12:AP12)</f>
        <v>0</v>
      </c>
    </row>
    <row r="13" spans="1:45" ht="12.5" x14ac:dyDescent="0.25">
      <c r="A13" s="48">
        <v>5110</v>
      </c>
      <c r="B13" s="2" t="str">
        <f t="shared" si="6"/>
        <v>PAN</v>
      </c>
      <c r="D13" s="132" t="s">
        <v>105</v>
      </c>
      <c r="E13" s="133">
        <f>+SUM(E14:E16)</f>
        <v>359826.66200000001</v>
      </c>
      <c r="F13" s="133">
        <f t="shared" ref="F13:AQ13" si="7">+SUM(F14:F16)</f>
        <v>319366.16800000001</v>
      </c>
      <c r="G13" s="133">
        <f t="shared" si="7"/>
        <v>280596.82500000001</v>
      </c>
      <c r="H13" s="133">
        <f t="shared" si="7"/>
        <v>336068.30799999996</v>
      </c>
      <c r="I13" s="133">
        <f t="shared" si="7"/>
        <v>326383.32399999996</v>
      </c>
      <c r="J13" s="133">
        <f t="shared" si="7"/>
        <v>288176.91599999997</v>
      </c>
      <c r="K13" s="133">
        <f t="shared" si="7"/>
        <v>397459.52833</v>
      </c>
      <c r="L13" s="133">
        <f t="shared" si="7"/>
        <v>410492.353</v>
      </c>
      <c r="M13" s="133">
        <f t="shared" si="7"/>
        <v>384694.79499999998</v>
      </c>
      <c r="N13" s="133">
        <f t="shared" si="7"/>
        <v>412347.81367</v>
      </c>
      <c r="O13" s="133">
        <f t="shared" si="7"/>
        <v>402691.11233999999</v>
      </c>
      <c r="P13" s="133">
        <f t="shared" si="7"/>
        <v>381621.47169999999</v>
      </c>
      <c r="Q13" s="134">
        <f t="shared" si="7"/>
        <v>4299725.2770400001</v>
      </c>
      <c r="R13" s="133">
        <f t="shared" si="7"/>
        <v>420538.44315000001</v>
      </c>
      <c r="S13" s="133">
        <f t="shared" si="7"/>
        <v>415932.924</v>
      </c>
      <c r="T13" s="133">
        <f t="shared" si="7"/>
        <v>404770.83703</v>
      </c>
      <c r="U13" s="133">
        <f t="shared" si="7"/>
        <v>410195.02635</v>
      </c>
      <c r="V13" s="133">
        <f t="shared" si="7"/>
        <v>398166.46218999999</v>
      </c>
      <c r="W13" s="133">
        <f t="shared" si="7"/>
        <v>386868.65841999999</v>
      </c>
      <c r="X13" s="133">
        <f t="shared" si="7"/>
        <v>499563.99296</v>
      </c>
      <c r="Y13" s="133">
        <f t="shared" si="7"/>
        <v>418709.18197999999</v>
      </c>
      <c r="Z13" s="133">
        <f t="shared" si="7"/>
        <v>457058.48106999998</v>
      </c>
      <c r="AA13" s="133">
        <f t="shared" si="7"/>
        <v>435270.79742000002</v>
      </c>
      <c r="AB13" s="133">
        <f t="shared" si="7"/>
        <v>441603.44550000003</v>
      </c>
      <c r="AC13" s="133">
        <f t="shared" si="7"/>
        <v>443269.37849999999</v>
      </c>
      <c r="AD13" s="134">
        <f t="shared" si="7"/>
        <v>5131947.6285699997</v>
      </c>
      <c r="AE13" s="133">
        <f t="shared" si="7"/>
        <v>427550.739</v>
      </c>
      <c r="AF13" s="133">
        <f t="shared" si="7"/>
        <v>393181.56261000002</v>
      </c>
      <c r="AG13" s="133">
        <f t="shared" si="7"/>
        <v>498374.79842000001</v>
      </c>
      <c r="AH13" s="133">
        <f t="shared" si="7"/>
        <v>0</v>
      </c>
      <c r="AI13" s="133">
        <f t="shared" si="7"/>
        <v>0</v>
      </c>
      <c r="AJ13" s="133">
        <f t="shared" si="7"/>
        <v>0</v>
      </c>
      <c r="AK13" s="133">
        <f t="shared" si="7"/>
        <v>0</v>
      </c>
      <c r="AL13" s="133">
        <f t="shared" si="7"/>
        <v>0</v>
      </c>
      <c r="AM13" s="133">
        <f t="shared" si="7"/>
        <v>0</v>
      </c>
      <c r="AN13" s="133">
        <f t="shared" si="7"/>
        <v>0</v>
      </c>
      <c r="AO13" s="133">
        <f t="shared" si="7"/>
        <v>0</v>
      </c>
      <c r="AP13" s="133">
        <f t="shared" si="7"/>
        <v>0</v>
      </c>
      <c r="AQ13" s="134">
        <f t="shared" si="7"/>
        <v>1319107.1000299999</v>
      </c>
    </row>
    <row r="14" spans="1:45" ht="12.5" outlineLevel="1" x14ac:dyDescent="0.25">
      <c r="A14" s="48">
        <v>5120</v>
      </c>
      <c r="B14" s="2" t="str">
        <f t="shared" si="6"/>
        <v>PAN</v>
      </c>
      <c r="C14" s="135"/>
      <c r="D14" s="136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25">
        <f t="shared" ref="Q14:Q18" si="8">SUM(E14:P14)</f>
        <v>0</v>
      </c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25">
        <f t="shared" ref="AD14" si="9">SUM(R14:AC14)</f>
        <v>0</v>
      </c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25">
        <f t="shared" ref="AQ14" si="10">SUM(AE14:AP14)</f>
        <v>0</v>
      </c>
    </row>
    <row r="15" spans="1:45" ht="12.5" outlineLevel="1" x14ac:dyDescent="0.25">
      <c r="A15" s="48">
        <v>5125</v>
      </c>
      <c r="B15" s="2" t="str">
        <f t="shared" si="6"/>
        <v>PAN6135</v>
      </c>
      <c r="C15" s="1">
        <v>6135</v>
      </c>
      <c r="D15" s="123" t="s">
        <v>106</v>
      </c>
      <c r="E15" s="124">
        <f>VLOOKUP($B15,'[2]TBG G Cuenta'!$A$6:$AA$1000,COLUMN('[2]TBG G Cuenta'!B181),FALSE)</f>
        <v>359826.66200000001</v>
      </c>
      <c r="F15" s="124">
        <f>VLOOKUP($B15,'[2]TBG G Cuenta'!$A$6:$AA$1000,COLUMN('[2]TBG G Cuenta'!C181),FALSE)</f>
        <v>319366.16800000001</v>
      </c>
      <c r="G15" s="124">
        <f>VLOOKUP($B15,'[2]TBG G Cuenta'!$A$6:$AA$1000,COLUMN('[2]TBG G Cuenta'!D181),FALSE)</f>
        <v>280596.82500000001</v>
      </c>
      <c r="H15" s="124">
        <f>VLOOKUP($B15,'[2]TBG G Cuenta'!$A$6:$AA$1000,COLUMN('[2]TBG G Cuenta'!E181),FALSE)</f>
        <v>336068.30799999996</v>
      </c>
      <c r="I15" s="124">
        <f>VLOOKUP($B15,'[2]TBG G Cuenta'!$A$6:$AA$1000,COLUMN('[2]TBG G Cuenta'!F181),FALSE)</f>
        <v>326383.32399999996</v>
      </c>
      <c r="J15" s="124">
        <f>VLOOKUP($B15,'[2]TBG G Cuenta'!$A$6:$AA$1000,COLUMN('[2]TBG G Cuenta'!G181),FALSE)</f>
        <v>288176.91599999997</v>
      </c>
      <c r="K15" s="124">
        <f>VLOOKUP($B15,'[2]TBG G Cuenta'!$A$6:$AA$1000,COLUMN('[2]TBG G Cuenta'!H181),FALSE)</f>
        <v>397459.52833</v>
      </c>
      <c r="L15" s="124">
        <f>VLOOKUP($B15,'[2]TBG G Cuenta'!$A$6:$AA$1000,COLUMN('[2]TBG G Cuenta'!I181),FALSE)</f>
        <v>410492.353</v>
      </c>
      <c r="M15" s="124">
        <f>VLOOKUP($B15,'[2]TBG G Cuenta'!$A$6:$AA$1000,COLUMN('[2]TBG G Cuenta'!J181),FALSE)</f>
        <v>384694.79499999998</v>
      </c>
      <c r="N15" s="124">
        <f>VLOOKUP($B15,'[2]TBG G Cuenta'!$A$6:$AA$1000,COLUMN('[2]TBG G Cuenta'!K181),FALSE)</f>
        <v>412347.81367</v>
      </c>
      <c r="O15" s="124">
        <f>VLOOKUP($B15,'[2]TBG G Cuenta'!$A$6:$AA$1000,COLUMN('[2]TBG G Cuenta'!L181),FALSE)</f>
        <v>402691.11233999999</v>
      </c>
      <c r="P15" s="124">
        <f>VLOOKUP($B15,'[2]TBG G Cuenta'!$A$6:$AA$1000,COLUMN('[2]TBG G Cuenta'!M181),FALSE)</f>
        <v>381621.47169999999</v>
      </c>
      <c r="Q15" s="125">
        <f>SUM(E15:P15)</f>
        <v>4299725.2770400001</v>
      </c>
      <c r="R15" s="124">
        <f>VLOOKUP($B15,'[2]TBG G Cuenta'!$A$6:$AA$1000,COLUMN('[2]TBG G Cuenta'!O181),FALSE)</f>
        <v>420538.44315000001</v>
      </c>
      <c r="S15" s="124">
        <f>VLOOKUP($B15,'[2]TBG G Cuenta'!$A$6:$AA$1000,COLUMN('[2]TBG G Cuenta'!P181),FALSE)</f>
        <v>415932.924</v>
      </c>
      <c r="T15" s="124">
        <f>VLOOKUP($B15,'[2]TBG G Cuenta'!$A$6:$AA$1000,COLUMN('[2]TBG G Cuenta'!Q181),FALSE)</f>
        <v>404770.83703</v>
      </c>
      <c r="U15" s="124">
        <f>VLOOKUP($B15,'[2]TBG G Cuenta'!$A$6:$AA$1000,COLUMN('[2]TBG G Cuenta'!R181),FALSE)</f>
        <v>410195.02635</v>
      </c>
      <c r="V15" s="124">
        <f>VLOOKUP($B15,'[2]TBG G Cuenta'!$A$6:$AA$1000,COLUMN('[2]TBG G Cuenta'!S181),FALSE)</f>
        <v>398166.46218999999</v>
      </c>
      <c r="W15" s="124">
        <f>VLOOKUP($B15,'[2]TBG G Cuenta'!$A$6:$AA$1000,COLUMN('[2]TBG G Cuenta'!T181),FALSE)</f>
        <v>386868.65841999999</v>
      </c>
      <c r="X15" s="124">
        <f>VLOOKUP($B15,'[2]TBG G Cuenta'!$A$6:$AA$1000,COLUMN('[2]TBG G Cuenta'!U181),FALSE)</f>
        <v>499563.99296</v>
      </c>
      <c r="Y15" s="124">
        <f>VLOOKUP($B15,'[2]TBG G Cuenta'!$A$6:$AA$1000,COLUMN('[2]TBG G Cuenta'!V181),FALSE)</f>
        <v>418709.18197999999</v>
      </c>
      <c r="Z15" s="124">
        <f>VLOOKUP($B15,'[2]TBG G Cuenta'!$A$6:$AA$1000,COLUMN('[2]TBG G Cuenta'!W181),FALSE)</f>
        <v>457058.48106999998</v>
      </c>
      <c r="AA15" s="124">
        <f>VLOOKUP($B15,'[2]TBG G Cuenta'!$A$6:$AA$1000,COLUMN('[2]TBG G Cuenta'!X181),FALSE)</f>
        <v>435270.79742000002</v>
      </c>
      <c r="AB15" s="124">
        <f>VLOOKUP($B15,'[2]TBG G Cuenta'!$A$6:$AA$1000,COLUMN('[2]TBG G Cuenta'!Y181),FALSE)</f>
        <v>441603.44550000003</v>
      </c>
      <c r="AC15" s="124">
        <f>VLOOKUP($B15,'[2]TBG G Cuenta'!$A$6:$AA$1000,COLUMN('[2]TBG G Cuenta'!Z181),FALSE)</f>
        <v>443269.37849999999</v>
      </c>
      <c r="AD15" s="125">
        <f>SUM(R15:AC15)</f>
        <v>5131947.6285699997</v>
      </c>
      <c r="AE15" s="124">
        <f>VLOOKUP($B15,'[2]TBG G Cuenta'!$A$6:$AZ$1000,COLUMN('[2]TBG G Cuenta'!AB181),FALSE)</f>
        <v>427550.739</v>
      </c>
      <c r="AF15" s="124">
        <f>VLOOKUP($B15,'[2]TBG G Cuenta'!$A$6:$AZ$1000,COLUMN('[2]TBG G Cuenta'!AC181),FALSE)</f>
        <v>393181.56261000002</v>
      </c>
      <c r="AG15" s="124">
        <f>VLOOKUP($B15,'[2]TBG G Cuenta'!$A$6:$AZ$1000,COLUMN('[2]TBG G Cuenta'!AD181),FALSE)</f>
        <v>498374.79842000001</v>
      </c>
      <c r="AH15" s="124"/>
      <c r="AI15" s="124"/>
      <c r="AJ15" s="124"/>
      <c r="AK15" s="124"/>
      <c r="AL15" s="124"/>
      <c r="AM15" s="124"/>
      <c r="AN15" s="124"/>
      <c r="AO15" s="124"/>
      <c r="AP15" s="124"/>
      <c r="AQ15" s="125">
        <f>SUM(AE15:AP15)</f>
        <v>1319107.1000299999</v>
      </c>
    </row>
    <row r="16" spans="1:45" ht="12.5" outlineLevel="1" x14ac:dyDescent="0.25">
      <c r="A16" s="48">
        <v>5130</v>
      </c>
      <c r="B16" s="2" t="str">
        <f t="shared" si="6"/>
        <v>PAN</v>
      </c>
      <c r="C16" s="135"/>
      <c r="D16" s="123"/>
      <c r="E16" s="124"/>
      <c r="F16" s="124"/>
      <c r="G16" s="124"/>
      <c r="H16" s="124"/>
      <c r="I16" s="124"/>
      <c r="J16" s="124"/>
      <c r="K16" s="124"/>
      <c r="L16" s="124"/>
      <c r="M16" s="124"/>
      <c r="N16" s="124"/>
      <c r="O16" s="124"/>
      <c r="P16" s="124"/>
      <c r="Q16" s="125">
        <f t="shared" si="8"/>
        <v>0</v>
      </c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  <c r="AD16" s="125">
        <f t="shared" ref="AD16" si="11">SUM(R16:AC16)</f>
        <v>0</v>
      </c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5">
        <f t="shared" ref="AQ16" si="12">SUM(AE16:AP16)</f>
        <v>0</v>
      </c>
    </row>
    <row r="17" spans="1:43" ht="13" x14ac:dyDescent="0.3">
      <c r="A17" s="48">
        <v>5135</v>
      </c>
      <c r="B17" s="2" t="str">
        <f t="shared" si="6"/>
        <v>PAN</v>
      </c>
      <c r="C17" s="135"/>
      <c r="D17" s="138" t="s">
        <v>107</v>
      </c>
      <c r="E17" s="139">
        <f>+E5-E13</f>
        <v>354130.54286999989</v>
      </c>
      <c r="F17" s="139">
        <f t="shared" ref="F17:AQ17" si="13">+F5-F13</f>
        <v>324920.79258000007</v>
      </c>
      <c r="G17" s="139">
        <f t="shared" si="13"/>
        <v>340568.98228000005</v>
      </c>
      <c r="H17" s="139">
        <f t="shared" si="13"/>
        <v>301396.37771000015</v>
      </c>
      <c r="I17" s="139">
        <f t="shared" si="13"/>
        <v>344267.28557999997</v>
      </c>
      <c r="J17" s="139">
        <f t="shared" si="13"/>
        <v>318422.0488600001</v>
      </c>
      <c r="K17" s="139">
        <f t="shared" si="13"/>
        <v>388077.85262999998</v>
      </c>
      <c r="L17" s="139">
        <f t="shared" si="13"/>
        <v>490142.86537999997</v>
      </c>
      <c r="M17" s="139">
        <f t="shared" si="13"/>
        <v>442381.8770700001</v>
      </c>
      <c r="N17" s="139">
        <f t="shared" si="13"/>
        <v>455629.77984000003</v>
      </c>
      <c r="O17" s="139">
        <f t="shared" si="13"/>
        <v>440738.60180999991</v>
      </c>
      <c r="P17" s="139">
        <f t="shared" si="13"/>
        <v>471601.0110099999</v>
      </c>
      <c r="Q17" s="73">
        <f t="shared" si="13"/>
        <v>4672278.0176200019</v>
      </c>
      <c r="R17" s="139">
        <f t="shared" si="13"/>
        <v>504522.28009000007</v>
      </c>
      <c r="S17" s="139">
        <f t="shared" si="13"/>
        <v>511884.09123000002</v>
      </c>
      <c r="T17" s="139">
        <f t="shared" si="13"/>
        <v>446559.14125000004</v>
      </c>
      <c r="U17" s="139">
        <f t="shared" si="13"/>
        <v>448093.58740999998</v>
      </c>
      <c r="V17" s="139">
        <f t="shared" si="13"/>
        <v>520489.79495000001</v>
      </c>
      <c r="W17" s="139">
        <f t="shared" si="13"/>
        <v>457683.46230999997</v>
      </c>
      <c r="X17" s="139">
        <f t="shared" si="13"/>
        <v>528656.07984999986</v>
      </c>
      <c r="Y17" s="139">
        <f t="shared" si="13"/>
        <v>529208.59492000006</v>
      </c>
      <c r="Z17" s="139">
        <f t="shared" si="13"/>
        <v>473420.55335000006</v>
      </c>
      <c r="AA17" s="139">
        <f t="shared" si="13"/>
        <v>494144.57651999994</v>
      </c>
      <c r="AB17" s="139">
        <f t="shared" si="13"/>
        <v>461556.76830999984</v>
      </c>
      <c r="AC17" s="139">
        <f t="shared" si="13"/>
        <v>531603.70948999992</v>
      </c>
      <c r="AD17" s="73">
        <f t="shared" si="13"/>
        <v>5907822.63968</v>
      </c>
      <c r="AE17" s="139">
        <f t="shared" si="13"/>
        <v>543440.20476999995</v>
      </c>
      <c r="AF17" s="139">
        <f t="shared" si="13"/>
        <v>423335.90335000004</v>
      </c>
      <c r="AG17" s="139">
        <f t="shared" si="13"/>
        <v>610848.83944000013</v>
      </c>
      <c r="AH17" s="139">
        <f t="shared" si="13"/>
        <v>0</v>
      </c>
      <c r="AI17" s="139">
        <f t="shared" si="13"/>
        <v>0</v>
      </c>
      <c r="AJ17" s="139">
        <f t="shared" si="13"/>
        <v>0</v>
      </c>
      <c r="AK17" s="139">
        <f t="shared" si="13"/>
        <v>0</v>
      </c>
      <c r="AL17" s="139">
        <f t="shared" si="13"/>
        <v>0</v>
      </c>
      <c r="AM17" s="139">
        <f t="shared" si="13"/>
        <v>0</v>
      </c>
      <c r="AN17" s="139">
        <f t="shared" si="13"/>
        <v>0</v>
      </c>
      <c r="AO17" s="139">
        <f t="shared" si="13"/>
        <v>0</v>
      </c>
      <c r="AP17" s="139">
        <f t="shared" si="13"/>
        <v>0</v>
      </c>
      <c r="AQ17" s="73">
        <f t="shared" si="13"/>
        <v>1577624.9475600002</v>
      </c>
    </row>
    <row r="18" spans="1:43" ht="12.5" x14ac:dyDescent="0.25">
      <c r="A18" s="48">
        <v>5140</v>
      </c>
      <c r="B18" s="2" t="str">
        <f t="shared" si="6"/>
        <v>PAN</v>
      </c>
      <c r="C18" s="135"/>
      <c r="D18" s="123"/>
      <c r="E18" s="137"/>
      <c r="F18" s="137"/>
      <c r="G18" s="137"/>
      <c r="H18" s="137"/>
      <c r="I18" s="137"/>
      <c r="J18" s="137"/>
      <c r="K18" s="137"/>
      <c r="L18" s="137"/>
      <c r="M18" s="124"/>
      <c r="N18" s="137"/>
      <c r="O18" s="137"/>
      <c r="P18" s="137"/>
      <c r="Q18" s="125">
        <f t="shared" si="8"/>
        <v>0</v>
      </c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25">
        <f t="shared" ref="AD18" si="14">SUM(R18:AC18)</f>
        <v>0</v>
      </c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25">
        <f t="shared" ref="AQ18" si="15">SUM(AE18:AP18)</f>
        <v>0</v>
      </c>
    </row>
    <row r="19" spans="1:43" ht="12.5" x14ac:dyDescent="0.25">
      <c r="A19" s="48">
        <v>5145</v>
      </c>
      <c r="B19" s="2" t="str">
        <f t="shared" si="6"/>
        <v>PAN</v>
      </c>
      <c r="C19" s="135"/>
      <c r="D19" s="120" t="s">
        <v>108</v>
      </c>
      <c r="E19" s="121">
        <f t="shared" ref="E19:AC19" si="16">SUM(E20:E35)</f>
        <v>221256.60043999995</v>
      </c>
      <c r="F19" s="121">
        <f t="shared" si="16"/>
        <v>248243.72125999999</v>
      </c>
      <c r="G19" s="121">
        <f t="shared" si="16"/>
        <v>242287.84815000001</v>
      </c>
      <c r="H19" s="121">
        <f t="shared" si="16"/>
        <v>233755.30614999999</v>
      </c>
      <c r="I19" s="121">
        <f t="shared" si="16"/>
        <v>240069.36714999995</v>
      </c>
      <c r="J19" s="121">
        <f t="shared" si="16"/>
        <v>238685.82214999999</v>
      </c>
      <c r="K19" s="121">
        <f t="shared" si="16"/>
        <v>248428.37401</v>
      </c>
      <c r="L19" s="121">
        <f t="shared" si="16"/>
        <v>270995.79431999999</v>
      </c>
      <c r="M19" s="121">
        <f t="shared" si="16"/>
        <v>262362.22798000003</v>
      </c>
      <c r="N19" s="121">
        <f t="shared" si="16"/>
        <v>269713.02741000004</v>
      </c>
      <c r="O19" s="121">
        <f t="shared" si="16"/>
        <v>279139.16201000003</v>
      </c>
      <c r="P19" s="121">
        <f t="shared" si="16"/>
        <v>420653.61658999999</v>
      </c>
      <c r="Q19" s="122">
        <f t="shared" si="16"/>
        <v>3175590.8676200002</v>
      </c>
      <c r="R19" s="121">
        <f t="shared" si="16"/>
        <v>108470.76506000001</v>
      </c>
      <c r="S19" s="121">
        <f t="shared" si="16"/>
        <v>111021.96141999998</v>
      </c>
      <c r="T19" s="121">
        <f t="shared" si="16"/>
        <v>117919.72708999999</v>
      </c>
      <c r="U19" s="121">
        <f t="shared" si="16"/>
        <v>111903.33308999999</v>
      </c>
      <c r="V19" s="121">
        <f t="shared" si="16"/>
        <v>108232.28876</v>
      </c>
      <c r="W19" s="121">
        <f t="shared" si="16"/>
        <v>172838.98842000001</v>
      </c>
      <c r="X19" s="121">
        <f t="shared" si="16"/>
        <v>177498.33975999997</v>
      </c>
      <c r="Y19" s="121">
        <f t="shared" si="16"/>
        <v>177973.09986000007</v>
      </c>
      <c r="Z19" s="121">
        <f t="shared" si="16"/>
        <v>191070.42731999999</v>
      </c>
      <c r="AA19" s="121">
        <f t="shared" si="16"/>
        <v>179993.63991000003</v>
      </c>
      <c r="AB19" s="121">
        <f t="shared" si="16"/>
        <v>183571.27888000003</v>
      </c>
      <c r="AC19" s="121">
        <f t="shared" si="16"/>
        <v>180532.65403000003</v>
      </c>
      <c r="AD19" s="122">
        <f>SUM(AD20:AD35)</f>
        <v>1821026.5035999999</v>
      </c>
      <c r="AE19" s="121">
        <f t="shared" ref="AE19:AP19" si="17">SUM(AE20:AE35)</f>
        <v>126755.44746</v>
      </c>
      <c r="AF19" s="121">
        <f t="shared" si="17"/>
        <v>160463.46383999998</v>
      </c>
      <c r="AG19" s="121">
        <f t="shared" si="17"/>
        <v>165887.62605999998</v>
      </c>
      <c r="AH19" s="121">
        <f t="shared" si="17"/>
        <v>0</v>
      </c>
      <c r="AI19" s="121">
        <f t="shared" si="17"/>
        <v>0</v>
      </c>
      <c r="AJ19" s="121">
        <f t="shared" si="17"/>
        <v>0</v>
      </c>
      <c r="AK19" s="121">
        <f t="shared" si="17"/>
        <v>0</v>
      </c>
      <c r="AL19" s="121">
        <f t="shared" si="17"/>
        <v>0</v>
      </c>
      <c r="AM19" s="121">
        <f t="shared" si="17"/>
        <v>0</v>
      </c>
      <c r="AN19" s="121">
        <f t="shared" si="17"/>
        <v>0</v>
      </c>
      <c r="AO19" s="121">
        <f t="shared" si="17"/>
        <v>0</v>
      </c>
      <c r="AP19" s="121">
        <f t="shared" si="17"/>
        <v>0</v>
      </c>
      <c r="AQ19" s="122">
        <f>SUM(AQ20:AQ35)</f>
        <v>453106.53735999996</v>
      </c>
    </row>
    <row r="20" spans="1:43" ht="12.5" outlineLevel="1" x14ac:dyDescent="0.25">
      <c r="A20" s="48">
        <v>5150</v>
      </c>
      <c r="B20" s="2" t="str">
        <f t="shared" si="6"/>
        <v>PAN5105</v>
      </c>
      <c r="C20" s="101">
        <v>5105</v>
      </c>
      <c r="D20" s="123" t="s">
        <v>109</v>
      </c>
      <c r="E20" s="124">
        <f>VLOOKUP($B20,'[2]TBG G Cuenta'!$A$6:$AA$1000,COLUMN('[2]TBG G Cuenta'!B172),FALSE)</f>
        <v>50427.11</v>
      </c>
      <c r="F20" s="124">
        <f>VLOOKUP($B20,'[2]TBG G Cuenta'!$A$6:$AA$1000,COLUMN('[2]TBG G Cuenta'!C172),FALSE)</f>
        <v>55106.536</v>
      </c>
      <c r="G20" s="124">
        <f>VLOOKUP($B20,'[2]TBG G Cuenta'!$A$6:$AA$1000,COLUMN('[2]TBG G Cuenta'!D172),FALSE)</f>
        <v>57178.184000000001</v>
      </c>
      <c r="H20" s="124">
        <f>VLOOKUP($B20,'[2]TBG G Cuenta'!$A$6:$AA$1000,COLUMN('[2]TBG G Cuenta'!E172),FALSE)</f>
        <v>56799.368000000002</v>
      </c>
      <c r="I20" s="124">
        <f>VLOOKUP($B20,'[2]TBG G Cuenta'!$A$6:$AA$1000,COLUMN('[2]TBG G Cuenta'!F172),FALSE)</f>
        <v>62499.451000000001</v>
      </c>
      <c r="J20" s="124">
        <f>VLOOKUP($B20,'[2]TBG G Cuenta'!$A$6:$AA$1000,COLUMN('[2]TBG G Cuenta'!G172),FALSE)</f>
        <v>65767.611999999994</v>
      </c>
      <c r="K20" s="124">
        <f>VLOOKUP($B20,'[2]TBG G Cuenta'!$A$6:$AA$1000,COLUMN('[2]TBG G Cuenta'!H172),FALSE)</f>
        <v>59598.118000000002</v>
      </c>
      <c r="L20" s="124">
        <f>VLOOKUP($B20,'[2]TBG G Cuenta'!$A$6:$AA$1000,COLUMN('[2]TBG G Cuenta'!I172),FALSE)</f>
        <v>76355.569000000003</v>
      </c>
      <c r="M20" s="124">
        <f>VLOOKUP($B20,'[2]TBG G Cuenta'!$A$6:$AA$1000,COLUMN('[2]TBG G Cuenta'!J172),FALSE)</f>
        <v>68921.036000000007</v>
      </c>
      <c r="N20" s="124">
        <f>VLOOKUP($B20,'[2]TBG G Cuenta'!$A$6:$AA$1000,COLUMN('[2]TBG G Cuenta'!K172),FALSE)</f>
        <v>65078.486000000004</v>
      </c>
      <c r="O20" s="124">
        <f>VLOOKUP($B20,'[2]TBG G Cuenta'!$A$6:$AA$1000,COLUMN('[2]TBG G Cuenta'!L172),FALSE)</f>
        <v>64060.192999999992</v>
      </c>
      <c r="P20" s="124">
        <f>VLOOKUP($B20,'[2]TBG G Cuenta'!$A$6:$AA$1000,COLUMN('[2]TBG G Cuenta'!M172),FALSE)</f>
        <v>72643.560649999999</v>
      </c>
      <c r="Q20" s="125">
        <f>SUM(E20:P20)</f>
        <v>754435.22365000006</v>
      </c>
      <c r="R20" s="124">
        <f>VLOOKUP($B20,'[2]TBG G Cuenta'!$A$6:$AA$1000,COLUMN('[2]TBG G Cuenta'!O186),FALSE)</f>
        <v>6401.4839999999995</v>
      </c>
      <c r="S20" s="124">
        <f>VLOOKUP($B20,'[2]TBG G Cuenta'!$A$6:$AA$1000,COLUMN('[2]TBG G Cuenta'!P186),FALSE)</f>
        <v>7759.2359999999999</v>
      </c>
      <c r="T20" s="124">
        <f>VLOOKUP($B20,'[2]TBG G Cuenta'!$A$6:$AA$1000,COLUMN('[2]TBG G Cuenta'!Q186),FALSE)</f>
        <v>7303.5050000000001</v>
      </c>
      <c r="U20" s="124">
        <f>VLOOKUP($B20,'[2]TBG G Cuenta'!$A$6:$AA$1000,COLUMN('[2]TBG G Cuenta'!R186),FALSE)</f>
        <v>6506.2760000000007</v>
      </c>
      <c r="V20" s="124">
        <f>VLOOKUP($B20,'[2]TBG G Cuenta'!$A$6:$AA$1000,COLUMN('[2]TBG G Cuenta'!S186),FALSE)</f>
        <v>7271.7830000000004</v>
      </c>
      <c r="W20" s="124">
        <f>VLOOKUP($B20,'[2]TBG G Cuenta'!$A$6:$AA$1000,COLUMN('[2]TBG G Cuenta'!T186),FALSE)</f>
        <v>7291.2510000000002</v>
      </c>
      <c r="X20" s="124">
        <f>VLOOKUP($B20,'[2]TBG G Cuenta'!$A$6:$AA$1000,COLUMN('[2]TBG G Cuenta'!U186),FALSE)</f>
        <v>7078.6949999999997</v>
      </c>
      <c r="Y20" s="124">
        <f>VLOOKUP($B20,'[2]TBG G Cuenta'!$A$6:$AA$1000,COLUMN('[2]TBG G Cuenta'!V186),FALSE)</f>
        <v>7349.7269999999999</v>
      </c>
      <c r="Z20" s="124">
        <f>VLOOKUP($B20,'[2]TBG G Cuenta'!$A$6:$AA$1000,COLUMN('[2]TBG G Cuenta'!W186),FALSE)</f>
        <v>10460.951010000001</v>
      </c>
      <c r="AA20" s="124">
        <f>VLOOKUP($B20,'[2]TBG G Cuenta'!$A$6:$AA$1000,COLUMN('[2]TBG G Cuenta'!X186),FALSE)</f>
        <v>8553.2729999999992</v>
      </c>
      <c r="AB20" s="124">
        <f>VLOOKUP($B20,'[2]TBG G Cuenta'!$A$6:$AA$1000,COLUMN('[2]TBG G Cuenta'!Y186),FALSE)</f>
        <v>7528.7280000000001</v>
      </c>
      <c r="AC20" s="124">
        <f>VLOOKUP($B20,'[2]TBG G Cuenta'!$A$6:$AA$1000,COLUMN('[2]TBG G Cuenta'!Z186),FALSE)</f>
        <v>12600.0036</v>
      </c>
      <c r="AD20" s="125">
        <f>SUM(R20:AC20)</f>
        <v>96104.912609999999</v>
      </c>
      <c r="AE20" s="124">
        <f>VLOOKUP($B20,'[2]TBG G Cuenta'!$A$6:$AZ$1000,COLUMN('[2]TBG G Cuenta'!AB186),FALSE)</f>
        <v>6793.9709999999995</v>
      </c>
      <c r="AF20" s="124">
        <f>VLOOKUP($B20,'[2]TBG G Cuenta'!$A$6:$AZ$1000,COLUMN('[2]TBG G Cuenta'!AC186),FALSE)</f>
        <v>8426.9339999999993</v>
      </c>
      <c r="AG20" s="124">
        <f>VLOOKUP($B20,'[2]TBG G Cuenta'!$A$6:$AZ$1000,COLUMN('[2]TBG G Cuenta'!AD186),FALSE)</f>
        <v>8984.8359499999988</v>
      </c>
      <c r="AH20" s="124"/>
      <c r="AI20" s="124"/>
      <c r="AJ20" s="124"/>
      <c r="AK20" s="124"/>
      <c r="AL20" s="124"/>
      <c r="AM20" s="124"/>
      <c r="AN20" s="124"/>
      <c r="AO20" s="124"/>
      <c r="AP20" s="124"/>
      <c r="AQ20" s="125">
        <f>SUM(AE20:AP20)</f>
        <v>24205.740949999999</v>
      </c>
    </row>
    <row r="21" spans="1:43" ht="12.5" outlineLevel="1" x14ac:dyDescent="0.25">
      <c r="A21" s="48">
        <v>5155</v>
      </c>
      <c r="B21" s="2" t="str">
        <f t="shared" si="6"/>
        <v>PAN5110</v>
      </c>
      <c r="C21" s="101">
        <v>5110</v>
      </c>
      <c r="D21" s="123" t="s">
        <v>110</v>
      </c>
      <c r="E21" s="124">
        <f>VLOOKUP($B21,'[2]TBG G Cuenta'!$A$6:$AA$1000,COLUMN('[2]TBG G Cuenta'!B173),FALSE)</f>
        <v>66040.09</v>
      </c>
      <c r="F21" s="124">
        <f>VLOOKUP($B21,'[2]TBG G Cuenta'!$A$6:$AA$1000,COLUMN('[2]TBG G Cuenta'!C173),FALSE)</f>
        <v>67249.8</v>
      </c>
      <c r="G21" s="124">
        <f>VLOOKUP($B21,'[2]TBG G Cuenta'!$A$6:$AA$1000,COLUMN('[2]TBG G Cuenta'!D173),FALSE)</f>
        <v>66010</v>
      </c>
      <c r="H21" s="124">
        <f>VLOOKUP($B21,'[2]TBG G Cuenta'!$A$6:$AA$1000,COLUMN('[2]TBG G Cuenta'!E173),FALSE)</f>
        <v>67071.460000000006</v>
      </c>
      <c r="I21" s="124">
        <f>VLOOKUP($B21,'[2]TBG G Cuenta'!$A$6:$AA$1000,COLUMN('[2]TBG G Cuenta'!F173),FALSE)</f>
        <v>66532.899999999994</v>
      </c>
      <c r="J21" s="124">
        <f>VLOOKUP($B21,'[2]TBG G Cuenta'!$A$6:$AA$1000,COLUMN('[2]TBG G Cuenta'!G173),FALSE)</f>
        <v>70037</v>
      </c>
      <c r="K21" s="124">
        <f>VLOOKUP($B21,'[2]TBG G Cuenta'!$A$6:$AA$1000,COLUMN('[2]TBG G Cuenta'!H173),FALSE)</f>
        <v>67152.800000000003</v>
      </c>
      <c r="L21" s="124">
        <f>VLOOKUP($B21,'[2]TBG G Cuenta'!$A$6:$AA$1000,COLUMN('[2]TBG G Cuenta'!I173),FALSE)</f>
        <v>66532.899999999994</v>
      </c>
      <c r="M21" s="124">
        <f>VLOOKUP($B21,'[2]TBG G Cuenta'!$A$6:$AA$1000,COLUMN('[2]TBG G Cuenta'!J173),FALSE)</f>
        <v>67014.866999999998</v>
      </c>
      <c r="N21" s="124">
        <f>VLOOKUP($B21,'[2]TBG G Cuenta'!$A$6:$AA$1000,COLUMN('[2]TBG G Cuenta'!K173),FALSE)</f>
        <v>67293.767000000007</v>
      </c>
      <c r="O21" s="124">
        <f>VLOOKUP($B21,'[2]TBG G Cuenta'!$A$6:$AA$1000,COLUMN('[2]TBG G Cuenta'!L173),FALSE)</f>
        <v>67152.800000000003</v>
      </c>
      <c r="P21" s="124">
        <f>VLOOKUP($B21,'[2]TBG G Cuenta'!$A$6:$AA$1000,COLUMN('[2]TBG G Cuenta'!M173),FALSE)</f>
        <v>190967.867</v>
      </c>
      <c r="Q21" s="125">
        <f>SUM(E21:P21)</f>
        <v>929056.25099999993</v>
      </c>
      <c r="R21" s="124">
        <f>VLOOKUP($B21,'[2]TBG G Cuenta'!$A$6:$AA$1000,COLUMN('[2]TBG G Cuenta'!O187),FALSE)</f>
        <v>67349.8</v>
      </c>
      <c r="S21" s="124">
        <f>VLOOKUP($B21,'[2]TBG G Cuenta'!$A$6:$AA$1000,COLUMN('[2]TBG G Cuenta'!P187),FALSE)</f>
        <v>66926.899999999994</v>
      </c>
      <c r="T21" s="124">
        <f>VLOOKUP($B21,'[2]TBG G Cuenta'!$A$6:$AA$1000,COLUMN('[2]TBG G Cuenta'!Q187),FALSE)</f>
        <v>66726.899999999994</v>
      </c>
      <c r="U21" s="124">
        <f>VLOOKUP($B21,'[2]TBG G Cuenta'!$A$6:$AA$1000,COLUMN('[2]TBG G Cuenta'!R187),FALSE)</f>
        <v>66726.899999999994</v>
      </c>
      <c r="V21" s="124">
        <f>VLOOKUP($B21,'[2]TBG G Cuenta'!$A$6:$AA$1000,COLUMN('[2]TBG G Cuenta'!S187),FALSE)</f>
        <v>68046.899999999994</v>
      </c>
      <c r="W21" s="124">
        <f>VLOOKUP($B21,'[2]TBG G Cuenta'!$A$6:$AA$1000,COLUMN('[2]TBG G Cuenta'!T187),FALSE)</f>
        <v>130650.9</v>
      </c>
      <c r="X21" s="124">
        <f>VLOOKUP($B21,'[2]TBG G Cuenta'!$A$6:$AA$1000,COLUMN('[2]TBG G Cuenta'!U187),FALSE)</f>
        <v>136787.23699999999</v>
      </c>
      <c r="Y21" s="124">
        <f>VLOOKUP($B21,'[2]TBG G Cuenta'!$A$6:$AA$1000,COLUMN('[2]TBG G Cuenta'!V187),FALSE)</f>
        <v>134446.90000000002</v>
      </c>
      <c r="Z21" s="124">
        <f>VLOOKUP($B21,'[2]TBG G Cuenta'!$A$6:$AA$1000,COLUMN('[2]TBG G Cuenta'!W187),FALSE)</f>
        <v>134966.90000000002</v>
      </c>
      <c r="AA21" s="124">
        <f>VLOOKUP($B21,'[2]TBG G Cuenta'!$A$6:$AA$1000,COLUMN('[2]TBG G Cuenta'!X187),FALSE)</f>
        <v>134446.90000000002</v>
      </c>
      <c r="AB21" s="124">
        <f>VLOOKUP($B21,'[2]TBG G Cuenta'!$A$6:$AA$1000,COLUMN('[2]TBG G Cuenta'!Y187),FALSE)</f>
        <v>138646.9</v>
      </c>
      <c r="AC21" s="124">
        <f>VLOOKUP($B21,'[2]TBG G Cuenta'!$A$6:$AA$1000,COLUMN('[2]TBG G Cuenta'!Z187),FALSE)</f>
        <v>135321.90000000002</v>
      </c>
      <c r="AD21" s="125">
        <f t="shared" ref="AD21:AD50" si="18">SUM(R21:AC21)</f>
        <v>1281045.037</v>
      </c>
      <c r="AE21" s="124">
        <f>VLOOKUP($B21,'[2]TBG G Cuenta'!$A$6:$AZ$1000,COLUMN('[2]TBG G Cuenta'!AB187),FALSE)</f>
        <v>85146.9</v>
      </c>
      <c r="AF21" s="124">
        <f>VLOOKUP($B21,'[2]TBG G Cuenta'!$A$6:$AZ$1000,COLUMN('[2]TBG G Cuenta'!AC187),FALSE)</f>
        <v>110536.13445</v>
      </c>
      <c r="AG21" s="124">
        <f>VLOOKUP($B21,'[2]TBG G Cuenta'!$A$6:$AZ$1000,COLUMN('[2]TBG G Cuenta'!AD187),FALSE)</f>
        <v>109700</v>
      </c>
      <c r="AH21" s="124"/>
      <c r="AI21" s="124"/>
      <c r="AJ21" s="124"/>
      <c r="AK21" s="124"/>
      <c r="AL21" s="124"/>
      <c r="AM21" s="124"/>
      <c r="AN21" s="124"/>
      <c r="AO21" s="124"/>
      <c r="AP21" s="124"/>
      <c r="AQ21" s="125">
        <f t="shared" ref="AQ21:AQ34" si="19">SUM(AE21:AP21)</f>
        <v>305383.03444999998</v>
      </c>
    </row>
    <row r="22" spans="1:43" ht="12.5" outlineLevel="1" x14ac:dyDescent="0.25">
      <c r="A22" s="48">
        <v>5160</v>
      </c>
      <c r="B22" s="2" t="str">
        <f t="shared" si="6"/>
        <v>PAN5115</v>
      </c>
      <c r="C22" s="101">
        <v>5115</v>
      </c>
      <c r="D22" s="123" t="s">
        <v>111</v>
      </c>
      <c r="E22" s="124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5">
        <f t="shared" ref="Q22:Q24" si="20">SUM(E22:N22)</f>
        <v>0</v>
      </c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  <c r="AD22" s="125">
        <f t="shared" si="18"/>
        <v>0</v>
      </c>
      <c r="AE22" s="124"/>
      <c r="AF22" s="124"/>
      <c r="AG22" s="124"/>
      <c r="AH22" s="124"/>
      <c r="AI22" s="124"/>
      <c r="AJ22" s="124"/>
      <c r="AK22" s="124"/>
      <c r="AL22" s="124"/>
      <c r="AM22" s="124"/>
      <c r="AN22" s="124"/>
      <c r="AO22" s="124"/>
      <c r="AP22" s="124"/>
      <c r="AQ22" s="125">
        <f t="shared" si="19"/>
        <v>0</v>
      </c>
    </row>
    <row r="23" spans="1:43" ht="12.5" outlineLevel="1" x14ac:dyDescent="0.25">
      <c r="A23" s="48">
        <v>5195</v>
      </c>
      <c r="B23" s="2" t="str">
        <f t="shared" si="6"/>
        <v>PAN5120</v>
      </c>
      <c r="C23" s="101">
        <v>5120</v>
      </c>
      <c r="D23" s="123" t="s">
        <v>112</v>
      </c>
      <c r="E23" s="124">
        <f>VLOOKUP($B23,'[2]TBG G Cuenta'!$A$6:$AA$1000,COLUMN('[2]TBG G Cuenta'!B175),FALSE)</f>
        <v>51114.466999999997</v>
      </c>
      <c r="F23" s="124">
        <f>VLOOKUP($B23,'[2]TBG G Cuenta'!$A$6:$AA$1000,COLUMN('[2]TBG G Cuenta'!C175),FALSE)</f>
        <v>63570.561000000002</v>
      </c>
      <c r="G23" s="124">
        <f>VLOOKUP($B23,'[2]TBG G Cuenta'!$A$6:$AA$1000,COLUMN('[2]TBG G Cuenta'!D175),FALSE)</f>
        <v>54314.786999999997</v>
      </c>
      <c r="H23" s="124">
        <f>VLOOKUP($B23,'[2]TBG G Cuenta'!$A$6:$AA$1000,COLUMN('[2]TBG G Cuenta'!E175),FALSE)</f>
        <v>54314.786999999997</v>
      </c>
      <c r="I23" s="124">
        <f>VLOOKUP($B23,'[2]TBG G Cuenta'!$A$6:$AA$1000,COLUMN('[2]TBG G Cuenta'!F175),FALSE)</f>
        <v>54314.786999999997</v>
      </c>
      <c r="J23" s="124">
        <f>VLOOKUP($B23,'[2]TBG G Cuenta'!$A$6:$AA$1000,COLUMN('[2]TBG G Cuenta'!G175),FALSE)</f>
        <v>54314.786999999997</v>
      </c>
      <c r="K23" s="124">
        <f>VLOOKUP($B23,'[2]TBG G Cuenta'!$A$6:$AA$1000,COLUMN('[2]TBG G Cuenta'!H175),FALSE)</f>
        <v>54314.786999999997</v>
      </c>
      <c r="L23" s="124">
        <f>VLOOKUP($B23,'[2]TBG G Cuenta'!$A$6:$AA$1000,COLUMN('[2]TBG G Cuenta'!I175),FALSE)</f>
        <v>55495.133999999998</v>
      </c>
      <c r="M23" s="124">
        <f>VLOOKUP($B23,'[2]TBG G Cuenta'!$A$6:$AA$1000,COLUMN('[2]TBG G Cuenta'!J175),FALSE)</f>
        <v>56335.775999999998</v>
      </c>
      <c r="N23" s="124">
        <f>VLOOKUP($B23,'[2]TBG G Cuenta'!$A$6:$AA$1000,COLUMN('[2]TBG G Cuenta'!K175),FALSE)</f>
        <v>56335.775999999998</v>
      </c>
      <c r="O23" s="124">
        <f>VLOOKUP($B23,'[2]TBG G Cuenta'!$A$6:$AA$1000,COLUMN('[2]TBG G Cuenta'!L175),FALSE)</f>
        <v>58896.406999999999</v>
      </c>
      <c r="P23" s="124">
        <f>VLOOKUP($B23,'[2]TBG G Cuenta'!$A$6:$AA$1000,COLUMN('[2]TBG G Cuenta'!M175),FALSE)</f>
        <v>58896.406999999999</v>
      </c>
      <c r="Q23" s="125">
        <f>SUM(E23:P23)</f>
        <v>672218.46300000011</v>
      </c>
      <c r="R23" s="124">
        <f>VLOOKUP($B23,'[2]TBG G Cuenta'!$A$6:$AA$1000,COLUMN('[2]TBG G Cuenta'!O189),FALSE)</f>
        <v>0</v>
      </c>
      <c r="S23" s="124">
        <f>VLOOKUP($B23,'[2]TBG G Cuenta'!$A$6:$AA$1000,COLUMN('[2]TBG G Cuenta'!P189),FALSE)</f>
        <v>0</v>
      </c>
      <c r="T23" s="124">
        <f>VLOOKUP($B23,'[2]TBG G Cuenta'!$A$6:$AA$1000,COLUMN('[2]TBG G Cuenta'!Q189),FALSE)</f>
        <v>0</v>
      </c>
      <c r="U23" s="124">
        <f>VLOOKUP($B23,'[2]TBG G Cuenta'!$A$6:$AA$1000,COLUMN('[2]TBG G Cuenta'!R189),FALSE)</f>
        <v>0</v>
      </c>
      <c r="V23" s="124">
        <f>VLOOKUP($B23,'[2]TBG G Cuenta'!$A$6:$AA$1000,COLUMN('[2]TBG G Cuenta'!S189),FALSE)</f>
        <v>0</v>
      </c>
      <c r="W23" s="124">
        <f>VLOOKUP($B23,'[2]TBG G Cuenta'!$A$6:$AA$1000,COLUMN('[2]TBG G Cuenta'!T189),FALSE)</f>
        <v>0</v>
      </c>
      <c r="X23" s="124">
        <f>VLOOKUP($B23,'[2]TBG G Cuenta'!$A$6:$AA$1000,COLUMN('[2]TBG G Cuenta'!U189),FALSE)</f>
        <v>0</v>
      </c>
      <c r="Y23" s="124">
        <f>VLOOKUP($B23,'[2]TBG G Cuenta'!$A$6:$AA$1000,COLUMN('[2]TBG G Cuenta'!V189),FALSE)</f>
        <v>0</v>
      </c>
      <c r="Z23" s="124">
        <f>VLOOKUP($B23,'[2]TBG G Cuenta'!$A$6:$AA$1000,COLUMN('[2]TBG G Cuenta'!W189),FALSE)</f>
        <v>0</v>
      </c>
      <c r="AA23" s="124">
        <f>VLOOKUP($B23,'[2]TBG G Cuenta'!$A$6:$AA$1000,COLUMN('[2]TBG G Cuenta'!X189),FALSE)</f>
        <v>0</v>
      </c>
      <c r="AB23" s="124">
        <f>VLOOKUP($B23,'[2]TBG G Cuenta'!$A$6:$AA$1000,COLUMN('[2]TBG G Cuenta'!Y189),FALSE)</f>
        <v>0</v>
      </c>
      <c r="AC23" s="124">
        <f>VLOOKUP($B23,'[2]TBG G Cuenta'!$A$6:$AA$1000,COLUMN('[2]TBG G Cuenta'!Z189),FALSE)</f>
        <v>0</v>
      </c>
      <c r="AD23" s="125">
        <f t="shared" si="18"/>
        <v>0</v>
      </c>
      <c r="AE23" s="124">
        <f>VLOOKUP($B23,'[2]TBG G Cuenta'!$A$6:$AZ$1000,COLUMN('[2]TBG G Cuenta'!AB189),FALSE)</f>
        <v>0</v>
      </c>
      <c r="AF23" s="124">
        <f>VLOOKUP($B23,'[2]TBG G Cuenta'!$A$6:$AZ$1000,COLUMN('[2]TBG G Cuenta'!AC189),FALSE)</f>
        <v>0</v>
      </c>
      <c r="AG23" s="124">
        <f>VLOOKUP($B23,'[2]TBG G Cuenta'!$A$6:$AZ$1000,COLUMN('[2]TBG G Cuenta'!AD189),FALSE)</f>
        <v>0</v>
      </c>
      <c r="AH23" s="124"/>
      <c r="AI23" s="124"/>
      <c r="AJ23" s="124"/>
      <c r="AK23" s="124"/>
      <c r="AL23" s="124"/>
      <c r="AM23" s="124"/>
      <c r="AN23" s="124"/>
      <c r="AO23" s="124"/>
      <c r="AP23" s="124"/>
      <c r="AQ23" s="125">
        <f t="shared" si="19"/>
        <v>0</v>
      </c>
    </row>
    <row r="24" spans="1:43" ht="12.5" outlineLevel="1" x14ac:dyDescent="0.25">
      <c r="A24" s="48">
        <v>5205</v>
      </c>
      <c r="B24" s="2" t="str">
        <f t="shared" si="6"/>
        <v>PAN5125</v>
      </c>
      <c r="C24" s="101">
        <v>5125</v>
      </c>
      <c r="D24" s="123" t="s">
        <v>113</v>
      </c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5">
        <f t="shared" si="20"/>
        <v>0</v>
      </c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5">
        <f t="shared" si="18"/>
        <v>0</v>
      </c>
      <c r="AE24" s="124"/>
      <c r="AF24" s="124"/>
      <c r="AG24" s="124"/>
      <c r="AH24" s="124"/>
      <c r="AI24" s="124"/>
      <c r="AJ24" s="124"/>
      <c r="AK24" s="124"/>
      <c r="AL24" s="124"/>
      <c r="AM24" s="124"/>
      <c r="AN24" s="124"/>
      <c r="AO24" s="124"/>
      <c r="AP24" s="124"/>
      <c r="AQ24" s="125">
        <f t="shared" si="19"/>
        <v>0</v>
      </c>
    </row>
    <row r="25" spans="1:43" ht="12.5" outlineLevel="1" x14ac:dyDescent="0.25">
      <c r="A25" s="48">
        <v>5210</v>
      </c>
      <c r="B25" s="2" t="str">
        <f t="shared" si="6"/>
        <v>PAN5130</v>
      </c>
      <c r="C25" s="101">
        <v>5130</v>
      </c>
      <c r="D25" s="123" t="s">
        <v>114</v>
      </c>
      <c r="E25" s="124">
        <f>VLOOKUP($B25,'[2]TBG G Cuenta'!$A$6:$AA$1000,COLUMN('[2]TBG G Cuenta'!B177),FALSE)</f>
        <v>554.91600000000005</v>
      </c>
      <c r="F25" s="124">
        <f>VLOOKUP($B25,'[2]TBG G Cuenta'!$A$6:$AA$1000,COLUMN('[2]TBG G Cuenta'!C177),FALSE)</f>
        <v>554.91600000000005</v>
      </c>
      <c r="G25" s="124">
        <f>VLOOKUP($B25,'[2]TBG G Cuenta'!$A$6:$AA$1000,COLUMN('[2]TBG G Cuenta'!D177),FALSE)</f>
        <v>554.91600000000005</v>
      </c>
      <c r="H25" s="124">
        <f>VLOOKUP($B25,'[2]TBG G Cuenta'!$A$6:$AA$1000,COLUMN('[2]TBG G Cuenta'!E177),FALSE)</f>
        <v>554.91600000000005</v>
      </c>
      <c r="I25" s="124">
        <f>VLOOKUP($B25,'[2]TBG G Cuenta'!$A$6:$AA$1000,COLUMN('[2]TBG G Cuenta'!F177),FALSE)</f>
        <v>554.91600000000005</v>
      </c>
      <c r="J25" s="124">
        <f>VLOOKUP($B25,'[2]TBG G Cuenta'!$A$6:$AA$1000,COLUMN('[2]TBG G Cuenta'!G177),FALSE)</f>
        <v>1092.7159999999999</v>
      </c>
      <c r="K25" s="124">
        <f>VLOOKUP($B25,'[2]TBG G Cuenta'!$A$6:$AA$1000,COLUMN('[2]TBG G Cuenta'!H177),FALSE)</f>
        <v>554.91600000000005</v>
      </c>
      <c r="L25" s="124">
        <f>VLOOKUP($B25,'[2]TBG G Cuenta'!$A$6:$AA$1000,COLUMN('[2]TBG G Cuenta'!I177),FALSE)</f>
        <v>3629.4639999999999</v>
      </c>
      <c r="M25" s="124">
        <f>VLOOKUP($B25,'[2]TBG G Cuenta'!$A$6:$AA$1000,COLUMN('[2]TBG G Cuenta'!J177),FALSE)</f>
        <v>554.91600000000005</v>
      </c>
      <c r="N25" s="124">
        <f>VLOOKUP($B25,'[2]TBG G Cuenta'!$A$6:$AA$1000,COLUMN('[2]TBG G Cuenta'!K177),FALSE)</f>
        <v>616.58199999999999</v>
      </c>
      <c r="O25" s="124">
        <f>VLOOKUP($B25,'[2]TBG G Cuenta'!$A$6:$AA$1000,COLUMN('[2]TBG G Cuenta'!L177),FALSE)</f>
        <v>3209.9929999999999</v>
      </c>
      <c r="P25" s="124">
        <f>VLOOKUP($B25,'[2]TBG G Cuenta'!$A$6:$AA$1000,COLUMN('[2]TBG G Cuenta'!M177),FALSE)</f>
        <v>1079.836</v>
      </c>
      <c r="Q25" s="125">
        <f t="shared" ref="Q25:Q50" si="21">SUM(E25:P25)</f>
        <v>13513.003000000001</v>
      </c>
      <c r="R25" s="124">
        <f>VLOOKUP($B25,'[2]TBG G Cuenta'!$A$6:$AA$1000,COLUMN('[2]TBG G Cuenta'!O191),FALSE)</f>
        <v>298.697</v>
      </c>
      <c r="S25" s="124">
        <f>VLOOKUP($B25,'[2]TBG G Cuenta'!$A$6:$AA$1000,COLUMN('[2]TBG G Cuenta'!P191),FALSE)</f>
        <v>73.203000000000003</v>
      </c>
      <c r="T25" s="124">
        <f>VLOOKUP($B25,'[2]TBG G Cuenta'!$A$6:$AA$1000,COLUMN('[2]TBG G Cuenta'!Q191),FALSE)</f>
        <v>28.236999999999998</v>
      </c>
      <c r="U25" s="124">
        <f>VLOOKUP($B25,'[2]TBG G Cuenta'!$A$6:$AA$1000,COLUMN('[2]TBG G Cuenta'!R191),FALSE)</f>
        <v>0</v>
      </c>
      <c r="V25" s="124">
        <f>VLOOKUP($B25,'[2]TBG G Cuenta'!$A$6:$AA$1000,COLUMN('[2]TBG G Cuenta'!S191),FALSE)</f>
        <v>0</v>
      </c>
      <c r="W25" s="124">
        <f>VLOOKUP($B25,'[2]TBG G Cuenta'!$A$6:$AA$1000,COLUMN('[2]TBG G Cuenta'!T191),FALSE)</f>
        <v>0</v>
      </c>
      <c r="X25" s="124">
        <f>VLOOKUP($B25,'[2]TBG G Cuenta'!$A$6:$AA$1000,COLUMN('[2]TBG G Cuenta'!U191),FALSE)</f>
        <v>0</v>
      </c>
      <c r="Y25" s="124">
        <f>VLOOKUP($B25,'[2]TBG G Cuenta'!$A$6:$AA$1000,COLUMN('[2]TBG G Cuenta'!V191),FALSE)</f>
        <v>0</v>
      </c>
      <c r="Z25" s="124">
        <f>VLOOKUP($B25,'[2]TBG G Cuenta'!$A$6:$AA$1000,COLUMN('[2]TBG G Cuenta'!W191),FALSE)</f>
        <v>0</v>
      </c>
      <c r="AA25" s="124">
        <f>VLOOKUP($B25,'[2]TBG G Cuenta'!$A$6:$AA$1000,COLUMN('[2]TBG G Cuenta'!X191),FALSE)</f>
        <v>0</v>
      </c>
      <c r="AB25" s="124">
        <f>VLOOKUP($B25,'[2]TBG G Cuenta'!$A$6:$AA$1000,COLUMN('[2]TBG G Cuenta'!Y191),FALSE)</f>
        <v>0</v>
      </c>
      <c r="AC25" s="124">
        <f>VLOOKUP($B25,'[2]TBG G Cuenta'!$A$6:$AA$1000,COLUMN('[2]TBG G Cuenta'!Z191),FALSE)</f>
        <v>-400.137</v>
      </c>
      <c r="AD25" s="125">
        <f t="shared" si="18"/>
        <v>0</v>
      </c>
      <c r="AE25" s="124">
        <f>VLOOKUP($B25,'[2]TBG G Cuenta'!$A$6:$AZ$1000,COLUMN('[2]TBG G Cuenta'!AB191),FALSE)</f>
        <v>0</v>
      </c>
      <c r="AF25" s="124">
        <f>VLOOKUP($B25,'[2]TBG G Cuenta'!$A$6:$AZ$1000,COLUMN('[2]TBG G Cuenta'!AC191),FALSE)</f>
        <v>0</v>
      </c>
      <c r="AG25" s="124">
        <f>VLOOKUP($B25,'[2]TBG G Cuenta'!$A$6:$AZ$1000,COLUMN('[2]TBG G Cuenta'!AD191),FALSE)</f>
        <v>0</v>
      </c>
      <c r="AH25" s="124"/>
      <c r="AI25" s="124"/>
      <c r="AJ25" s="124"/>
      <c r="AK25" s="124"/>
      <c r="AL25" s="124"/>
      <c r="AM25" s="124"/>
      <c r="AN25" s="124"/>
      <c r="AO25" s="124"/>
      <c r="AP25" s="124"/>
      <c r="AQ25" s="125">
        <f t="shared" si="19"/>
        <v>0</v>
      </c>
    </row>
    <row r="26" spans="1:43" ht="12.5" outlineLevel="1" x14ac:dyDescent="0.25">
      <c r="A26" s="48">
        <v>5215</v>
      </c>
      <c r="B26" s="2" t="str">
        <f t="shared" si="6"/>
        <v>PAN5135</v>
      </c>
      <c r="C26" s="101">
        <v>5135</v>
      </c>
      <c r="D26" s="123" t="s">
        <v>115</v>
      </c>
      <c r="E26" s="124">
        <f>VLOOKUP($B26,'[2]TBG G Cuenta'!$A$6:$AA$1000,COLUMN('[2]TBG G Cuenta'!B178),FALSE)</f>
        <v>39703.561000000002</v>
      </c>
      <c r="F26" s="124">
        <f>VLOOKUP($B26,'[2]TBG G Cuenta'!$A$6:$AA$1000,COLUMN('[2]TBG G Cuenta'!C178),FALSE)</f>
        <v>48506.726999999999</v>
      </c>
      <c r="G26" s="124">
        <f>VLOOKUP($B26,'[2]TBG G Cuenta'!$A$6:$AA$1000,COLUMN('[2]TBG G Cuenta'!D178),FALSE)</f>
        <v>48396.483999999997</v>
      </c>
      <c r="H26" s="124">
        <f>VLOOKUP($B26,'[2]TBG G Cuenta'!$A$6:$AA$1000,COLUMN('[2]TBG G Cuenta'!E178),FALSE)</f>
        <v>45782.339</v>
      </c>
      <c r="I26" s="124">
        <f>VLOOKUP($B26,'[2]TBG G Cuenta'!$A$6:$AA$1000,COLUMN('[2]TBG G Cuenta'!F178),FALSE)</f>
        <v>43323.152000000002</v>
      </c>
      <c r="J26" s="124">
        <f>VLOOKUP($B26,'[2]TBG G Cuenta'!$A$6:$AA$1000,COLUMN('[2]TBG G Cuenta'!G178),FALSE)</f>
        <v>38321.006999999998</v>
      </c>
      <c r="K26" s="124">
        <f>VLOOKUP($B26,'[2]TBG G Cuenta'!$A$6:$AA$1000,COLUMN('[2]TBG G Cuenta'!H178),FALSE)</f>
        <v>47014.834999999999</v>
      </c>
      <c r="L26" s="124">
        <f>VLOOKUP($B26,'[2]TBG G Cuenta'!$A$6:$AA$1000,COLUMN('[2]TBG G Cuenta'!I178),FALSE)</f>
        <v>48978.665000000001</v>
      </c>
      <c r="M26" s="124">
        <f>VLOOKUP($B26,'[2]TBG G Cuenta'!$A$6:$AA$1000,COLUMN('[2]TBG G Cuenta'!J178),FALSE)</f>
        <v>51694.04</v>
      </c>
      <c r="N26" s="124">
        <f>VLOOKUP($B26,'[2]TBG G Cuenta'!$A$6:$AA$1000,COLUMN('[2]TBG G Cuenta'!K178),FALSE)</f>
        <v>63723.262999999999</v>
      </c>
      <c r="O26" s="124">
        <f>VLOOKUP($B26,'[2]TBG G Cuenta'!$A$6:$AA$1000,COLUMN('[2]TBG G Cuenta'!L178),FALSE)</f>
        <v>67049.210999999996</v>
      </c>
      <c r="P26" s="124">
        <f>VLOOKUP($B26,'[2]TBG G Cuenta'!$A$6:$AA$1000,COLUMN('[2]TBG G Cuenta'!M178),FALSE)</f>
        <v>69982.808000000005</v>
      </c>
      <c r="Q26" s="125">
        <f t="shared" si="21"/>
        <v>612476.09199999995</v>
      </c>
      <c r="R26" s="124">
        <f>VLOOKUP($B26,'[2]TBG G Cuenta'!$A$6:$AA$1000,COLUMN('[2]TBG G Cuenta'!O192),FALSE)</f>
        <v>26484.190999999999</v>
      </c>
      <c r="S26" s="124">
        <f>VLOOKUP($B26,'[2]TBG G Cuenta'!$A$6:$AA$1000,COLUMN('[2]TBG G Cuenta'!P192),FALSE)</f>
        <v>30332.502</v>
      </c>
      <c r="T26" s="124">
        <f>VLOOKUP($B26,'[2]TBG G Cuenta'!$A$6:$AA$1000,COLUMN('[2]TBG G Cuenta'!Q192),FALSE)</f>
        <v>28989.524000000001</v>
      </c>
      <c r="U26" s="124">
        <f>VLOOKUP($B26,'[2]TBG G Cuenta'!$A$6:$AA$1000,COLUMN('[2]TBG G Cuenta'!R192),FALSE)</f>
        <v>28254.69</v>
      </c>
      <c r="V26" s="124">
        <f>VLOOKUP($B26,'[2]TBG G Cuenta'!$A$6:$AA$1000,COLUMN('[2]TBG G Cuenta'!S192),FALSE)</f>
        <v>28177.269</v>
      </c>
      <c r="W26" s="124">
        <f>VLOOKUP($B26,'[2]TBG G Cuenta'!$A$6:$AA$1000,COLUMN('[2]TBG G Cuenta'!T192),FALSE)</f>
        <v>28158.269</v>
      </c>
      <c r="X26" s="124">
        <f>VLOOKUP($B26,'[2]TBG G Cuenta'!$A$6:$AA$1000,COLUMN('[2]TBG G Cuenta'!U192),FALSE)</f>
        <v>28200.868999999999</v>
      </c>
      <c r="Y26" s="124">
        <f>VLOOKUP($B26,'[2]TBG G Cuenta'!$A$6:$AA$1000,COLUMN('[2]TBG G Cuenta'!V192),FALSE)</f>
        <v>28254.368999999999</v>
      </c>
      <c r="Z26" s="124">
        <f>VLOOKUP($B26,'[2]TBG G Cuenta'!$A$6:$AA$1000,COLUMN('[2]TBG G Cuenta'!W192),FALSE)</f>
        <v>30786.766</v>
      </c>
      <c r="AA26" s="124">
        <f>VLOOKUP($B26,'[2]TBG G Cuenta'!$A$6:$AA$1000,COLUMN('[2]TBG G Cuenta'!X192),FALSE)</f>
        <v>28436.969000000001</v>
      </c>
      <c r="AB26" s="124">
        <f>VLOOKUP($B26,'[2]TBG G Cuenta'!$A$6:$AA$1000,COLUMN('[2]TBG G Cuenta'!Y192),FALSE)</f>
        <v>28520.868999999999</v>
      </c>
      <c r="AC26" s="124">
        <f>VLOOKUP($B26,'[2]TBG G Cuenta'!$A$6:$AA$1000,COLUMN('[2]TBG G Cuenta'!Z192),FALSE)</f>
        <v>26619.841</v>
      </c>
      <c r="AD26" s="125">
        <f t="shared" si="18"/>
        <v>341216.12800000003</v>
      </c>
      <c r="AE26" s="124">
        <f>VLOOKUP($B26,'[2]TBG G Cuenta'!$A$6:$AZ$1000,COLUMN('[2]TBG G Cuenta'!AB192),FALSE)</f>
        <v>27553.041000000001</v>
      </c>
      <c r="AF26" s="124">
        <f>VLOOKUP($B26,'[2]TBG G Cuenta'!$A$6:$AZ$1000,COLUMN('[2]TBG G Cuenta'!AC192),FALSE)</f>
        <v>33650.894999999997</v>
      </c>
      <c r="AG26" s="124">
        <f>VLOOKUP($B26,'[2]TBG G Cuenta'!$A$6:$AZ$1000,COLUMN('[2]TBG G Cuenta'!AD192),FALSE)</f>
        <v>31557.622000000003</v>
      </c>
      <c r="AH26" s="124"/>
      <c r="AI26" s="124"/>
      <c r="AJ26" s="124"/>
      <c r="AK26" s="124"/>
      <c r="AL26" s="124"/>
      <c r="AM26" s="124"/>
      <c r="AN26" s="124"/>
      <c r="AO26" s="124"/>
      <c r="AP26" s="124"/>
      <c r="AQ26" s="125">
        <f t="shared" si="19"/>
        <v>92761.558000000005</v>
      </c>
    </row>
    <row r="27" spans="1:43" ht="12.5" outlineLevel="1" x14ac:dyDescent="0.25">
      <c r="A27" s="48">
        <v>5220</v>
      </c>
      <c r="B27" s="2" t="str">
        <f t="shared" si="6"/>
        <v>PAN5140</v>
      </c>
      <c r="C27" s="101">
        <v>5140</v>
      </c>
      <c r="D27" s="123" t="s">
        <v>116</v>
      </c>
      <c r="E27" s="124">
        <f>VLOOKUP($B27,'[2]TBG G Cuenta'!$A$6:$AA$1000,COLUMN('[2]TBG G Cuenta'!B179),FALSE)</f>
        <v>15.8</v>
      </c>
      <c r="F27" s="124">
        <f>VLOOKUP($B27,'[2]TBG G Cuenta'!$A$6:$AA$1000,COLUMN('[2]TBG G Cuenta'!C179),FALSE)</f>
        <v>3.7</v>
      </c>
      <c r="G27" s="124">
        <f>VLOOKUP($B27,'[2]TBG G Cuenta'!$A$6:$AA$1000,COLUMN('[2]TBG G Cuenta'!D179),FALSE)</f>
        <v>3471.4</v>
      </c>
      <c r="H27" s="124">
        <f>VLOOKUP($B27,'[2]TBG G Cuenta'!$A$6:$AA$1000,COLUMN('[2]TBG G Cuenta'!E179),FALSE)</f>
        <v>0</v>
      </c>
      <c r="I27" s="124">
        <f>VLOOKUP($B27,'[2]TBG G Cuenta'!$A$6:$AA$1000,COLUMN('[2]TBG G Cuenta'!F179),FALSE)</f>
        <v>7.9</v>
      </c>
      <c r="J27" s="124">
        <f>VLOOKUP($B27,'[2]TBG G Cuenta'!$A$6:$AA$1000,COLUMN('[2]TBG G Cuenta'!G179),FALSE)</f>
        <v>0</v>
      </c>
      <c r="K27" s="124">
        <f>VLOOKUP($B27,'[2]TBG G Cuenta'!$A$6:$AA$1000,COLUMN('[2]TBG G Cuenta'!H179),FALSE)</f>
        <v>403.3</v>
      </c>
      <c r="L27" s="124">
        <f>VLOOKUP($B27,'[2]TBG G Cuenta'!$A$6:$AA$1000,COLUMN('[2]TBG G Cuenta'!I179),FALSE)</f>
        <v>7.9</v>
      </c>
      <c r="M27" s="124">
        <f>VLOOKUP($B27,'[2]TBG G Cuenta'!$A$6:$AA$1000,COLUMN('[2]TBG G Cuenta'!J179),FALSE)</f>
        <v>7.9</v>
      </c>
      <c r="N27" s="124">
        <f>VLOOKUP($B27,'[2]TBG G Cuenta'!$A$6:$AA$1000,COLUMN('[2]TBG G Cuenta'!K179),FALSE)</f>
        <v>0</v>
      </c>
      <c r="O27" s="124">
        <f>VLOOKUP($B27,'[2]TBG G Cuenta'!$A$6:$AA$1000,COLUMN('[2]TBG G Cuenta'!L179),FALSE)</f>
        <v>7.9</v>
      </c>
      <c r="P27" s="124">
        <f>VLOOKUP($B27,'[2]TBG G Cuenta'!$A$6:$AA$1000,COLUMN('[2]TBG G Cuenta'!M179),FALSE)</f>
        <v>0</v>
      </c>
      <c r="Q27" s="125">
        <f t="shared" si="21"/>
        <v>3925.8000000000006</v>
      </c>
      <c r="R27" s="124">
        <f>VLOOKUP($B27,'[2]TBG G Cuenta'!$A$6:$AA$1000,COLUMN('[2]TBG G Cuenta'!O193),FALSE)</f>
        <v>11.6</v>
      </c>
      <c r="S27" s="124">
        <f>VLOOKUP($B27,'[2]TBG G Cuenta'!$A$6:$AA$1000,COLUMN('[2]TBG G Cuenta'!P193),FALSE)</f>
        <v>0</v>
      </c>
      <c r="T27" s="124">
        <f>VLOOKUP($B27,'[2]TBG G Cuenta'!$A$6:$AA$1000,COLUMN('[2]TBG G Cuenta'!Q193),FALSE)</f>
        <v>7714.9</v>
      </c>
      <c r="U27" s="124">
        <f>VLOOKUP($B27,'[2]TBG G Cuenta'!$A$6:$AA$1000,COLUMN('[2]TBG G Cuenta'!R193),FALSE)</f>
        <v>527.70000000000005</v>
      </c>
      <c r="V27" s="124">
        <f>VLOOKUP($B27,'[2]TBG G Cuenta'!$A$6:$AA$1000,COLUMN('[2]TBG G Cuenta'!S193),FALSE)</f>
        <v>11.6</v>
      </c>
      <c r="W27" s="124">
        <f>VLOOKUP($B27,'[2]TBG G Cuenta'!$A$6:$AA$1000,COLUMN('[2]TBG G Cuenta'!T193),FALSE)</f>
        <v>1038.375</v>
      </c>
      <c r="X27" s="124">
        <f>VLOOKUP($B27,'[2]TBG G Cuenta'!$A$6:$AA$1000,COLUMN('[2]TBG G Cuenta'!U193),FALSE)</f>
        <v>11.6</v>
      </c>
      <c r="Y27" s="124">
        <f>VLOOKUP($B27,'[2]TBG G Cuenta'!$A$6:$AA$1000,COLUMN('[2]TBG G Cuenta'!V193),FALSE)</f>
        <v>11.6</v>
      </c>
      <c r="Z27" s="124">
        <f>VLOOKUP($B27,'[2]TBG G Cuenta'!$A$6:$AA$1000,COLUMN('[2]TBG G Cuenta'!W193),FALSE)</f>
        <v>11.6</v>
      </c>
      <c r="AA27" s="124">
        <f>VLOOKUP($B27,'[2]TBG G Cuenta'!$A$6:$AA$1000,COLUMN('[2]TBG G Cuenta'!X193),FALSE)</f>
        <v>11.6</v>
      </c>
      <c r="AB27" s="124">
        <f>VLOOKUP($B27,'[2]TBG G Cuenta'!$A$6:$AA$1000,COLUMN('[2]TBG G Cuenta'!Y193),FALSE)</f>
        <v>0</v>
      </c>
      <c r="AC27" s="124">
        <f>VLOOKUP($B27,'[2]TBG G Cuenta'!$A$6:$AA$1000,COLUMN('[2]TBG G Cuenta'!Z193),FALSE)</f>
        <v>0</v>
      </c>
      <c r="AD27" s="125">
        <f t="shared" si="18"/>
        <v>9350.5750000000025</v>
      </c>
      <c r="AE27" s="124">
        <f>VLOOKUP($B27,'[2]TBG G Cuenta'!$A$6:$AZ$1000,COLUMN('[2]TBG G Cuenta'!AB193),FALSE)</f>
        <v>14.8</v>
      </c>
      <c r="AF27" s="124">
        <f>VLOOKUP($B27,'[2]TBG G Cuenta'!$A$6:$AZ$1000,COLUMN('[2]TBG G Cuenta'!AC193),FALSE)</f>
        <v>0</v>
      </c>
      <c r="AG27" s="124">
        <f>VLOOKUP($B27,'[2]TBG G Cuenta'!$A$6:$AZ$1000,COLUMN('[2]TBG G Cuenta'!AD193),FALSE)</f>
        <v>8604.7999999999993</v>
      </c>
      <c r="AH27" s="124"/>
      <c r="AI27" s="124"/>
      <c r="AJ27" s="124"/>
      <c r="AK27" s="124"/>
      <c r="AL27" s="124"/>
      <c r="AM27" s="124"/>
      <c r="AN27" s="124"/>
      <c r="AO27" s="124"/>
      <c r="AP27" s="124"/>
      <c r="AQ27" s="125">
        <f t="shared" si="19"/>
        <v>8619.5999999999985</v>
      </c>
    </row>
    <row r="28" spans="1:43" ht="12.5" outlineLevel="1" x14ac:dyDescent="0.25">
      <c r="A28" s="48">
        <v>5235</v>
      </c>
      <c r="B28" s="2" t="str">
        <f t="shared" si="6"/>
        <v>PAN5145</v>
      </c>
      <c r="C28" s="101">
        <v>5145</v>
      </c>
      <c r="D28" s="123" t="s">
        <v>117</v>
      </c>
      <c r="E28" s="124">
        <f>VLOOKUP($B28,'[2]TBG G Cuenta'!$A$6:$AA$1000,COLUMN('[2]TBG G Cuenta'!B180),FALSE)</f>
        <v>0</v>
      </c>
      <c r="F28" s="124">
        <f>VLOOKUP($B28,'[2]TBG G Cuenta'!$A$6:$AA$1000,COLUMN('[2]TBG G Cuenta'!C180),FALSE)</f>
        <v>0</v>
      </c>
      <c r="G28" s="124">
        <f>VLOOKUP($B28,'[2]TBG G Cuenta'!$A$6:$AA$1000,COLUMN('[2]TBG G Cuenta'!D180),FALSE)</f>
        <v>0</v>
      </c>
      <c r="H28" s="124">
        <f>VLOOKUP($B28,'[2]TBG G Cuenta'!$A$6:$AA$1000,COLUMN('[2]TBG G Cuenta'!E180),FALSE)</f>
        <v>0</v>
      </c>
      <c r="I28" s="124">
        <f>VLOOKUP($B28,'[2]TBG G Cuenta'!$A$6:$AA$1000,COLUMN('[2]TBG G Cuenta'!F180),FALSE)</f>
        <v>0</v>
      </c>
      <c r="J28" s="124">
        <f>VLOOKUP($B28,'[2]TBG G Cuenta'!$A$6:$AA$1000,COLUMN('[2]TBG G Cuenta'!G180),FALSE)</f>
        <v>700</v>
      </c>
      <c r="K28" s="124">
        <f>VLOOKUP($B28,'[2]TBG G Cuenta'!$A$6:$AA$1000,COLUMN('[2]TBG G Cuenta'!H180),FALSE)</f>
        <v>0</v>
      </c>
      <c r="L28" s="124">
        <f>VLOOKUP($B28,'[2]TBG G Cuenta'!$A$6:$AA$1000,COLUMN('[2]TBG G Cuenta'!I180),FALSE)</f>
        <v>0</v>
      </c>
      <c r="M28" s="124">
        <f>VLOOKUP($B28,'[2]TBG G Cuenta'!$A$6:$AA$1000,COLUMN('[2]TBG G Cuenta'!J180),FALSE)</f>
        <v>0</v>
      </c>
      <c r="N28" s="124">
        <f>VLOOKUP($B28,'[2]TBG G Cuenta'!$A$6:$AA$1000,COLUMN('[2]TBG G Cuenta'!K180),FALSE)</f>
        <v>0</v>
      </c>
      <c r="O28" s="124">
        <f>VLOOKUP($B28,'[2]TBG G Cuenta'!$A$6:$AA$1000,COLUMN('[2]TBG G Cuenta'!L180),FALSE)</f>
        <v>0</v>
      </c>
      <c r="P28" s="124">
        <f>VLOOKUP($B28,'[2]TBG G Cuenta'!$A$6:$AA$1000,COLUMN('[2]TBG G Cuenta'!M180),FALSE)</f>
        <v>40.167999999999999</v>
      </c>
      <c r="Q28" s="125">
        <f t="shared" si="21"/>
        <v>740.16800000000001</v>
      </c>
      <c r="R28" s="124">
        <f>VLOOKUP($B28,'[2]TBG G Cuenta'!$A$6:$AA$1000,COLUMN('[2]TBG G Cuenta'!O194),FALSE)</f>
        <v>0</v>
      </c>
      <c r="S28" s="124">
        <f>VLOOKUP($B28,'[2]TBG G Cuenta'!$A$6:$AA$1000,COLUMN('[2]TBG G Cuenta'!P194),FALSE)</f>
        <v>0</v>
      </c>
      <c r="T28" s="124">
        <f>VLOOKUP($B28,'[2]TBG G Cuenta'!$A$6:$AA$1000,COLUMN('[2]TBG G Cuenta'!Q194),FALSE)</f>
        <v>0</v>
      </c>
      <c r="U28" s="124">
        <f>VLOOKUP($B28,'[2]TBG G Cuenta'!$A$6:$AA$1000,COLUMN('[2]TBG G Cuenta'!R194),FALSE)</f>
        <v>80</v>
      </c>
      <c r="V28" s="124">
        <f>VLOOKUP($B28,'[2]TBG G Cuenta'!$A$6:$AA$1000,COLUMN('[2]TBG G Cuenta'!S194),FALSE)</f>
        <v>0</v>
      </c>
      <c r="W28" s="124">
        <f>VLOOKUP($B28,'[2]TBG G Cuenta'!$A$6:$AA$1000,COLUMN('[2]TBG G Cuenta'!T194),FALSE)</f>
        <v>789.78800000000001</v>
      </c>
      <c r="X28" s="124">
        <f>VLOOKUP($B28,'[2]TBG G Cuenta'!$A$6:$AA$1000,COLUMN('[2]TBG G Cuenta'!U194),FALSE)</f>
        <v>0</v>
      </c>
      <c r="Y28" s="124">
        <f>VLOOKUP($B28,'[2]TBG G Cuenta'!$A$6:$AA$1000,COLUMN('[2]TBG G Cuenta'!V194),FALSE)</f>
        <v>549.10599999999999</v>
      </c>
      <c r="Z28" s="124">
        <f>VLOOKUP($B28,'[2]TBG G Cuenta'!$A$6:$AA$1000,COLUMN('[2]TBG G Cuenta'!W194),FALSE)</f>
        <v>0</v>
      </c>
      <c r="AA28" s="124">
        <f>VLOOKUP($B28,'[2]TBG G Cuenta'!$A$6:$AA$1000,COLUMN('[2]TBG G Cuenta'!X194),FALSE)</f>
        <v>0</v>
      </c>
      <c r="AB28" s="124">
        <f>VLOOKUP($B28,'[2]TBG G Cuenta'!$A$6:$AA$1000,COLUMN('[2]TBG G Cuenta'!Y194),FALSE)</f>
        <v>0</v>
      </c>
      <c r="AC28" s="124">
        <f>VLOOKUP($B28,'[2]TBG G Cuenta'!$A$6:$AA$1000,COLUMN('[2]TBG G Cuenta'!Z194),FALSE)</f>
        <v>0</v>
      </c>
      <c r="AD28" s="125">
        <f t="shared" si="18"/>
        <v>1418.894</v>
      </c>
      <c r="AE28" s="124">
        <f>VLOOKUP($B28,'[2]TBG G Cuenta'!$A$6:$AZ$1000,COLUMN('[2]TBG G Cuenta'!AB194),FALSE)</f>
        <v>46.890999999999998</v>
      </c>
      <c r="AF28" s="124">
        <f>VLOOKUP($B28,'[2]TBG G Cuenta'!$A$6:$AZ$1000,COLUMN('[2]TBG G Cuenta'!AC194),FALSE)</f>
        <v>0</v>
      </c>
      <c r="AG28" s="124">
        <f>VLOOKUP($B28,'[2]TBG G Cuenta'!$A$6:$AZ$1000,COLUMN('[2]TBG G Cuenta'!AD194),FALSE)</f>
        <v>0</v>
      </c>
      <c r="AH28" s="124"/>
      <c r="AI28" s="124"/>
      <c r="AJ28" s="124"/>
      <c r="AK28" s="124"/>
      <c r="AL28" s="124"/>
      <c r="AM28" s="124"/>
      <c r="AN28" s="124"/>
      <c r="AO28" s="124"/>
      <c r="AP28" s="124"/>
      <c r="AQ28" s="125">
        <f t="shared" si="19"/>
        <v>46.890999999999998</v>
      </c>
    </row>
    <row r="29" spans="1:43" ht="12.5" outlineLevel="1" x14ac:dyDescent="0.25">
      <c r="A29" s="48">
        <v>5245</v>
      </c>
      <c r="B29" s="2" t="str">
        <f t="shared" si="6"/>
        <v>PAN5150</v>
      </c>
      <c r="C29" s="101">
        <v>5150</v>
      </c>
      <c r="D29" s="123" t="s">
        <v>118</v>
      </c>
      <c r="E29" s="124">
        <f>VLOOKUP($B29,'[2]TBG G Cuenta'!$A$6:$AA$1000,COLUMN('[2]TBG G Cuenta'!B181),FALSE)</f>
        <v>4010.3</v>
      </c>
      <c r="F29" s="124">
        <f>VLOOKUP($B29,'[2]TBG G Cuenta'!$A$6:$AA$1000,COLUMN('[2]TBG G Cuenta'!C181),FALSE)</f>
        <v>1470</v>
      </c>
      <c r="G29" s="124">
        <f>VLOOKUP($B29,'[2]TBG G Cuenta'!$A$6:$AA$1000,COLUMN('[2]TBG G Cuenta'!D181),FALSE)</f>
        <v>988</v>
      </c>
      <c r="H29" s="124">
        <f>VLOOKUP($B29,'[2]TBG G Cuenta'!$A$6:$AA$1000,COLUMN('[2]TBG G Cuenta'!E181),FALSE)</f>
        <v>0</v>
      </c>
      <c r="I29" s="124">
        <f>VLOOKUP($B29,'[2]TBG G Cuenta'!$A$6:$AA$1000,COLUMN('[2]TBG G Cuenta'!F181),FALSE)</f>
        <v>2440.0039999999999</v>
      </c>
      <c r="J29" s="124">
        <f>VLOOKUP($B29,'[2]TBG G Cuenta'!$A$6:$AA$1000,COLUMN('[2]TBG G Cuenta'!G181),FALSE)</f>
        <v>0</v>
      </c>
      <c r="K29" s="124">
        <f>VLOOKUP($B29,'[2]TBG G Cuenta'!$A$6:$AA$1000,COLUMN('[2]TBG G Cuenta'!H181),FALSE)</f>
        <v>8700</v>
      </c>
      <c r="L29" s="124">
        <f>VLOOKUP($B29,'[2]TBG G Cuenta'!$A$6:$AA$1000,COLUMN('[2]TBG G Cuenta'!I181),FALSE)</f>
        <v>240</v>
      </c>
      <c r="M29" s="124">
        <f>VLOOKUP($B29,'[2]TBG G Cuenta'!$A$6:$AA$1000,COLUMN('[2]TBG G Cuenta'!J181),FALSE)</f>
        <v>350</v>
      </c>
      <c r="N29" s="124">
        <f>VLOOKUP($B29,'[2]TBG G Cuenta'!$A$6:$AA$1000,COLUMN('[2]TBG G Cuenta'!K181),FALSE)</f>
        <v>0</v>
      </c>
      <c r="O29" s="124">
        <f>VLOOKUP($B29,'[2]TBG G Cuenta'!$A$6:$AA$1000,COLUMN('[2]TBG G Cuenta'!L181),FALSE)</f>
        <v>4105.43</v>
      </c>
      <c r="P29" s="124">
        <f>VLOOKUP($B29,'[2]TBG G Cuenta'!$A$6:$AA$1000,COLUMN('[2]TBG G Cuenta'!M181),FALSE)</f>
        <v>0</v>
      </c>
      <c r="Q29" s="125">
        <f t="shared" si="21"/>
        <v>22303.734</v>
      </c>
      <c r="R29" s="124">
        <f>VLOOKUP($B29,'[2]TBG G Cuenta'!$A$6:$AA$1000,COLUMN('[2]TBG G Cuenta'!O195),FALSE)</f>
        <v>0</v>
      </c>
      <c r="S29" s="124">
        <f>VLOOKUP($B29,'[2]TBG G Cuenta'!$A$6:$AA$1000,COLUMN('[2]TBG G Cuenta'!P195),FALSE)</f>
        <v>0</v>
      </c>
      <c r="T29" s="124">
        <f>VLOOKUP($B29,'[2]TBG G Cuenta'!$A$6:$AA$1000,COLUMN('[2]TBG G Cuenta'!Q195),FALSE)</f>
        <v>0</v>
      </c>
      <c r="U29" s="124">
        <f>VLOOKUP($B29,'[2]TBG G Cuenta'!$A$6:$AA$1000,COLUMN('[2]TBG G Cuenta'!R195),FALSE)</f>
        <v>950</v>
      </c>
      <c r="V29" s="124">
        <f>VLOOKUP($B29,'[2]TBG G Cuenta'!$A$6:$AA$1000,COLUMN('[2]TBG G Cuenta'!S195),FALSE)</f>
        <v>0</v>
      </c>
      <c r="W29" s="124">
        <f>VLOOKUP($B29,'[2]TBG G Cuenta'!$A$6:$AA$1000,COLUMN('[2]TBG G Cuenta'!T195),FALSE)</f>
        <v>0</v>
      </c>
      <c r="X29" s="124">
        <f>VLOOKUP($B29,'[2]TBG G Cuenta'!$A$6:$AA$1000,COLUMN('[2]TBG G Cuenta'!U195),FALSE)</f>
        <v>0</v>
      </c>
      <c r="Y29" s="124">
        <f>VLOOKUP($B29,'[2]TBG G Cuenta'!$A$6:$AA$1000,COLUMN('[2]TBG G Cuenta'!V195),FALSE)</f>
        <v>0</v>
      </c>
      <c r="Z29" s="124">
        <f>VLOOKUP($B29,'[2]TBG G Cuenta'!$A$6:$AA$1000,COLUMN('[2]TBG G Cuenta'!W195),FALSE)</f>
        <v>0</v>
      </c>
      <c r="AA29" s="124">
        <f>VLOOKUP($B29,'[2]TBG G Cuenta'!$A$6:$AA$1000,COLUMN('[2]TBG G Cuenta'!X195),FALSE)</f>
        <v>0</v>
      </c>
      <c r="AB29" s="124">
        <f>VLOOKUP($B29,'[2]TBG G Cuenta'!$A$6:$AA$1000,COLUMN('[2]TBG G Cuenta'!Y195),FALSE)</f>
        <v>0</v>
      </c>
      <c r="AC29" s="124">
        <f>VLOOKUP($B29,'[2]TBG G Cuenta'!$A$6:$AA$1000,COLUMN('[2]TBG G Cuenta'!Z195),FALSE)</f>
        <v>0</v>
      </c>
      <c r="AD29" s="125">
        <f t="shared" si="18"/>
        <v>950</v>
      </c>
      <c r="AE29" s="124">
        <f>VLOOKUP($B29,'[2]TBG G Cuenta'!$A$6:$AZ$1000,COLUMN('[2]TBG G Cuenta'!AB195),FALSE)</f>
        <v>0</v>
      </c>
      <c r="AF29" s="124">
        <f>VLOOKUP($B29,'[2]TBG G Cuenta'!$A$6:$AZ$1000,COLUMN('[2]TBG G Cuenta'!AC195),FALSE)</f>
        <v>0</v>
      </c>
      <c r="AG29" s="124">
        <f>VLOOKUP($B29,'[2]TBG G Cuenta'!$A$6:$AZ$1000,COLUMN('[2]TBG G Cuenta'!AD195),FALSE)</f>
        <v>0</v>
      </c>
      <c r="AH29" s="124"/>
      <c r="AI29" s="124"/>
      <c r="AJ29" s="124"/>
      <c r="AK29" s="124"/>
      <c r="AL29" s="124"/>
      <c r="AM29" s="124"/>
      <c r="AN29" s="124"/>
      <c r="AO29" s="124"/>
      <c r="AP29" s="124"/>
      <c r="AQ29" s="125">
        <f t="shared" si="19"/>
        <v>0</v>
      </c>
    </row>
    <row r="30" spans="1:43" ht="12.5" outlineLevel="1" x14ac:dyDescent="0.25">
      <c r="A30" s="48">
        <v>5250</v>
      </c>
      <c r="B30" s="2" t="str">
        <f t="shared" si="6"/>
        <v>PAN5155</v>
      </c>
      <c r="C30" s="101">
        <v>5155</v>
      </c>
      <c r="D30" s="123" t="s">
        <v>119</v>
      </c>
      <c r="E30" s="124">
        <f>VLOOKUP($B30,'[2]TBG G Cuenta'!$A$6:$AA$1000,COLUMN('[2]TBG G Cuenta'!B182),FALSE)</f>
        <v>0</v>
      </c>
      <c r="F30" s="124">
        <f>VLOOKUP($B30,'[2]TBG G Cuenta'!$A$6:$AA$1000,COLUMN('[2]TBG G Cuenta'!C182),FALSE)</f>
        <v>141.19999999999999</v>
      </c>
      <c r="G30" s="124">
        <f>VLOOKUP($B30,'[2]TBG G Cuenta'!$A$6:$AA$1000,COLUMN('[2]TBG G Cuenta'!D182),FALSE)</f>
        <v>465.5</v>
      </c>
      <c r="H30" s="124">
        <f>VLOOKUP($B30,'[2]TBG G Cuenta'!$A$6:$AA$1000,COLUMN('[2]TBG G Cuenta'!E182),FALSE)</f>
        <v>907.56299999999999</v>
      </c>
      <c r="I30" s="124">
        <f>VLOOKUP($B30,'[2]TBG G Cuenta'!$A$6:$AA$1000,COLUMN('[2]TBG G Cuenta'!F182),FALSE)</f>
        <v>0</v>
      </c>
      <c r="J30" s="124">
        <f>VLOOKUP($B30,'[2]TBG G Cuenta'!$A$6:$AA$1000,COLUMN('[2]TBG G Cuenta'!G182),FALSE)</f>
        <v>71.2</v>
      </c>
      <c r="K30" s="124">
        <f>VLOOKUP($B30,'[2]TBG G Cuenta'!$A$6:$AA$1000,COLUMN('[2]TBG G Cuenta'!H182),FALSE)</f>
        <v>425.69400000000002</v>
      </c>
      <c r="L30" s="124">
        <f>VLOOKUP($B30,'[2]TBG G Cuenta'!$A$6:$AA$1000,COLUMN('[2]TBG G Cuenta'!I182),FALSE)</f>
        <v>436.93099999999998</v>
      </c>
      <c r="M30" s="124">
        <f>VLOOKUP($B30,'[2]TBG G Cuenta'!$A$6:$AA$1000,COLUMN('[2]TBG G Cuenta'!J182),FALSE)</f>
        <v>566.94799999999998</v>
      </c>
      <c r="N30" s="124">
        <f>VLOOKUP($B30,'[2]TBG G Cuenta'!$A$6:$AA$1000,COLUMN('[2]TBG G Cuenta'!K182),FALSE)</f>
        <v>1767.2850000000001</v>
      </c>
      <c r="O30" s="124">
        <f>VLOOKUP($B30,'[2]TBG G Cuenta'!$A$6:$AA$1000,COLUMN('[2]TBG G Cuenta'!L182),FALSE)</f>
        <v>476.17399999999998</v>
      </c>
      <c r="P30" s="124">
        <f>VLOOKUP($B30,'[2]TBG G Cuenta'!$A$6:$AA$1000,COLUMN('[2]TBG G Cuenta'!M182),FALSE)</f>
        <v>120</v>
      </c>
      <c r="Q30" s="125">
        <f t="shared" si="21"/>
        <v>5378.4949999999999</v>
      </c>
      <c r="R30" s="124">
        <f>VLOOKUP($B30,'[2]TBG G Cuenta'!$A$6:$AA$1000,COLUMN('[2]TBG G Cuenta'!O196),FALSE)</f>
        <v>0</v>
      </c>
      <c r="S30" s="124">
        <f>VLOOKUP($B30,'[2]TBG G Cuenta'!$A$6:$AA$1000,COLUMN('[2]TBG G Cuenta'!P196),FALSE)</f>
        <v>252.101</v>
      </c>
      <c r="T30" s="124">
        <f>VLOOKUP($B30,'[2]TBG G Cuenta'!$A$6:$AA$1000,COLUMN('[2]TBG G Cuenta'!Q196),FALSE)</f>
        <v>240</v>
      </c>
      <c r="U30" s="124">
        <f>VLOOKUP($B30,'[2]TBG G Cuenta'!$A$6:$AA$1000,COLUMN('[2]TBG G Cuenta'!R196),FALSE)</f>
        <v>0</v>
      </c>
      <c r="V30" s="124">
        <f>VLOOKUP($B30,'[2]TBG G Cuenta'!$A$6:$AA$1000,COLUMN('[2]TBG G Cuenta'!S196),FALSE)</f>
        <v>0</v>
      </c>
      <c r="W30" s="124">
        <f>VLOOKUP($B30,'[2]TBG G Cuenta'!$A$6:$AA$1000,COLUMN('[2]TBG G Cuenta'!T196),FALSE)</f>
        <v>81.599999999999994</v>
      </c>
      <c r="X30" s="124">
        <f>VLOOKUP($B30,'[2]TBG G Cuenta'!$A$6:$AA$1000,COLUMN('[2]TBG G Cuenta'!U196),FALSE)</f>
        <v>87.8</v>
      </c>
      <c r="Y30" s="124">
        <f>VLOOKUP($B30,'[2]TBG G Cuenta'!$A$6:$AA$1000,COLUMN('[2]TBG G Cuenta'!V196),FALSE)</f>
        <v>426.2</v>
      </c>
      <c r="Z30" s="124">
        <f>VLOOKUP($B30,'[2]TBG G Cuenta'!$A$6:$AA$1000,COLUMN('[2]TBG G Cuenta'!W196),FALSE)</f>
        <v>3357.8387799999996</v>
      </c>
      <c r="AA30" s="124">
        <f>VLOOKUP($B30,'[2]TBG G Cuenta'!$A$6:$AA$1000,COLUMN('[2]TBG G Cuenta'!X196),FALSE)</f>
        <v>2053.64237</v>
      </c>
      <c r="AB30" s="124">
        <f>VLOOKUP($B30,'[2]TBG G Cuenta'!$A$6:$AA$1000,COLUMN('[2]TBG G Cuenta'!Y196),FALSE)</f>
        <v>2934.1094800000001</v>
      </c>
      <c r="AC30" s="124">
        <f>VLOOKUP($B30,'[2]TBG G Cuenta'!$A$6:$AA$1000,COLUMN('[2]TBG G Cuenta'!Z196),FALSE)</f>
        <v>466.60507000000001</v>
      </c>
      <c r="AD30" s="125">
        <f t="shared" si="18"/>
        <v>9899.8966999999993</v>
      </c>
      <c r="AE30" s="124">
        <f>VLOOKUP($B30,'[2]TBG G Cuenta'!$A$6:$AZ$1000,COLUMN('[2]TBG G Cuenta'!AB196),FALSE)</f>
        <v>1814.7</v>
      </c>
      <c r="AF30" s="124">
        <f>VLOOKUP($B30,'[2]TBG G Cuenta'!$A$6:$AZ$1000,COLUMN('[2]TBG G Cuenta'!AC196),FALSE)</f>
        <v>2933.54279</v>
      </c>
      <c r="AG30" s="124">
        <f>VLOOKUP($B30,'[2]TBG G Cuenta'!$A$6:$AZ$1000,COLUMN('[2]TBG G Cuenta'!AD196),FALSE)</f>
        <v>1515.6037900000001</v>
      </c>
      <c r="AH30" s="124"/>
      <c r="AI30" s="124"/>
      <c r="AJ30" s="124"/>
      <c r="AK30" s="124"/>
      <c r="AL30" s="124"/>
      <c r="AM30" s="124"/>
      <c r="AN30" s="124"/>
      <c r="AO30" s="124"/>
      <c r="AP30" s="124"/>
      <c r="AQ30" s="125">
        <f t="shared" si="19"/>
        <v>6263.8465800000004</v>
      </c>
    </row>
    <row r="31" spans="1:43" ht="12.5" outlineLevel="1" x14ac:dyDescent="0.25">
      <c r="A31" s="48">
        <v>5255</v>
      </c>
      <c r="B31" s="2" t="str">
        <f t="shared" si="6"/>
        <v>PAN5160</v>
      </c>
      <c r="C31" s="101">
        <v>5160</v>
      </c>
      <c r="D31" s="123" t="s">
        <v>120</v>
      </c>
      <c r="E31" s="124">
        <f>VLOOKUP($B31,'[2]TBG G Cuenta'!$A$6:$AA$1000,COLUMN('[2]TBG G Cuenta'!B183),FALSE)</f>
        <v>4580.421440000001</v>
      </c>
      <c r="F31" s="124">
        <f>VLOOKUP($B31,'[2]TBG G Cuenta'!$A$6:$AA$1000,COLUMN('[2]TBG G Cuenta'!C183),FALSE)</f>
        <v>4143.2452600000006</v>
      </c>
      <c r="G31" s="124">
        <f>VLOOKUP($B31,'[2]TBG G Cuenta'!$A$6:$AA$1000,COLUMN('[2]TBG G Cuenta'!D183),FALSE)</f>
        <v>4476.9191500000006</v>
      </c>
      <c r="H31" s="124">
        <f>VLOOKUP($B31,'[2]TBG G Cuenta'!$A$6:$AA$1000,COLUMN('[2]TBG G Cuenta'!E183),FALSE)</f>
        <v>4476.9191500000006</v>
      </c>
      <c r="I31" s="124">
        <f>VLOOKUP($B31,'[2]TBG G Cuenta'!$A$6:$AA$1000,COLUMN('[2]TBG G Cuenta'!F183),FALSE)</f>
        <v>4486.4191500000006</v>
      </c>
      <c r="J31" s="124">
        <f>VLOOKUP($B31,'[2]TBG G Cuenta'!$A$6:$AA$1000,COLUMN('[2]TBG G Cuenta'!G183),FALSE)</f>
        <v>4486.4191500000006</v>
      </c>
      <c r="K31" s="124">
        <f>VLOOKUP($B31,'[2]TBG G Cuenta'!$A$6:$AA$1000,COLUMN('[2]TBG G Cuenta'!H183),FALSE)</f>
        <v>4471.4380099999998</v>
      </c>
      <c r="L31" s="124">
        <f>VLOOKUP($B31,'[2]TBG G Cuenta'!$A$6:$AA$1000,COLUMN('[2]TBG G Cuenta'!I183),FALSE)</f>
        <v>4618.4423200000001</v>
      </c>
      <c r="M31" s="124">
        <f>VLOOKUP($B31,'[2]TBG G Cuenta'!$A$6:$AA$1000,COLUMN('[2]TBG G Cuenta'!J183),FALSE)</f>
        <v>4646.8389800000004</v>
      </c>
      <c r="N31" s="124">
        <f>VLOOKUP($B31,'[2]TBG G Cuenta'!$A$6:$AA$1000,COLUMN('[2]TBG G Cuenta'!K183),FALSE)</f>
        <v>4994.9454100000012</v>
      </c>
      <c r="O31" s="124">
        <f>VLOOKUP($B31,'[2]TBG G Cuenta'!$A$6:$AA$1000,COLUMN('[2]TBG G Cuenta'!L183),FALSE)</f>
        <v>5187.7330099999999</v>
      </c>
      <c r="P31" s="124">
        <f>VLOOKUP($B31,'[2]TBG G Cuenta'!$A$6:$AA$1000,COLUMN('[2]TBG G Cuenta'!M183),FALSE)</f>
        <v>5209.4039400000011</v>
      </c>
      <c r="Q31" s="125">
        <f t="shared" si="21"/>
        <v>55779.144970000008</v>
      </c>
      <c r="R31" s="124">
        <f>VLOOKUP($B31,'[2]TBG G Cuenta'!$A$6:$AA$1000,COLUMN('[2]TBG G Cuenta'!O197),FALSE)</f>
        <v>4333.2990599999994</v>
      </c>
      <c r="S31" s="124">
        <f>VLOOKUP($B31,'[2]TBG G Cuenta'!$A$6:$AA$1000,COLUMN('[2]TBG G Cuenta'!P197),FALSE)</f>
        <v>4380.3184199999996</v>
      </c>
      <c r="T31" s="124">
        <f>VLOOKUP($B31,'[2]TBG G Cuenta'!$A$6:$AA$1000,COLUMN('[2]TBG G Cuenta'!Q197),FALSE)</f>
        <v>4383.1280900000002</v>
      </c>
      <c r="U31" s="124">
        <f>VLOOKUP($B31,'[2]TBG G Cuenta'!$A$6:$AA$1000,COLUMN('[2]TBG G Cuenta'!R197),FALSE)</f>
        <v>4443.1280900000002</v>
      </c>
      <c r="V31" s="124">
        <f>VLOOKUP($B31,'[2]TBG G Cuenta'!$A$6:$AA$1000,COLUMN('[2]TBG G Cuenta'!S197),FALSE)</f>
        <v>4541.5447599999989</v>
      </c>
      <c r="W31" s="124">
        <f>VLOOKUP($B31,'[2]TBG G Cuenta'!$A$6:$AA$1000,COLUMN('[2]TBG G Cuenta'!T197),FALSE)</f>
        <v>4563.2114199999996</v>
      </c>
      <c r="X31" s="124">
        <f>VLOOKUP($B31,'[2]TBG G Cuenta'!$A$6:$AA$1000,COLUMN('[2]TBG G Cuenta'!U197),FALSE)</f>
        <v>4646.509759999999</v>
      </c>
      <c r="Y31" s="124">
        <f>VLOOKUP($B31,'[2]TBG G Cuenta'!$A$6:$AA$1000,COLUMN('[2]TBG G Cuenta'!V197),FALSE)</f>
        <v>4773.8758600000001</v>
      </c>
      <c r="Z31" s="124">
        <f>VLOOKUP($B31,'[2]TBG G Cuenta'!$A$6:$AA$1000,COLUMN('[2]TBG G Cuenta'!W197),FALSE)</f>
        <v>9868.5500000000029</v>
      </c>
      <c r="AA31" s="124">
        <f>VLOOKUP($B31,'[2]TBG G Cuenta'!$A$6:$AA$1000,COLUMN('[2]TBG G Cuenta'!X197),FALSE)</f>
        <v>5318.0823600000003</v>
      </c>
      <c r="AB31" s="124">
        <f>VLOOKUP($B31,'[2]TBG G Cuenta'!$A$6:$AA$1000,COLUMN('[2]TBG G Cuenta'!Y197),FALSE)</f>
        <v>5318.0823600000003</v>
      </c>
      <c r="AC31" s="124">
        <f>VLOOKUP($B31,'[2]TBG G Cuenta'!$A$6:$AA$1000,COLUMN('[2]TBG G Cuenta'!Z197),FALSE)</f>
        <v>5323.4083600000004</v>
      </c>
      <c r="AD31" s="125">
        <f t="shared" si="18"/>
        <v>61893.13854</v>
      </c>
      <c r="AE31" s="124">
        <f>VLOOKUP($B31,'[2]TBG G Cuenta'!$A$6:$AZ$1000,COLUMN('[2]TBG G Cuenta'!AB197),FALSE)</f>
        <v>4517.6245999999992</v>
      </c>
      <c r="AF31" s="124">
        <f>VLOOKUP($B31,'[2]TBG G Cuenta'!$A$6:$AZ$1000,COLUMN('[2]TBG G Cuenta'!AC197),FALSE)</f>
        <v>4530.9575999999997</v>
      </c>
      <c r="AG31" s="140">
        <f>+AF31</f>
        <v>4530.9575999999997</v>
      </c>
      <c r="AH31" s="124"/>
      <c r="AI31" s="124"/>
      <c r="AJ31" s="124"/>
      <c r="AK31" s="124"/>
      <c r="AL31" s="124"/>
      <c r="AM31" s="124"/>
      <c r="AN31" s="124"/>
      <c r="AO31" s="124"/>
      <c r="AP31" s="124"/>
      <c r="AQ31" s="125">
        <f t="shared" si="19"/>
        <v>13579.539799999999</v>
      </c>
    </row>
    <row r="32" spans="1:43" ht="12.5" outlineLevel="1" x14ac:dyDescent="0.25">
      <c r="A32" s="48">
        <v>5295</v>
      </c>
      <c r="B32" s="2" t="str">
        <f t="shared" si="6"/>
        <v>PAN5165</v>
      </c>
      <c r="C32" s="101">
        <v>5165</v>
      </c>
      <c r="D32" s="123" t="s">
        <v>121</v>
      </c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5">
        <f t="shared" si="21"/>
        <v>0</v>
      </c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5">
        <f t="shared" si="18"/>
        <v>0</v>
      </c>
      <c r="AE32" s="124"/>
      <c r="AF32" s="124"/>
      <c r="AG32" s="124"/>
      <c r="AH32" s="124"/>
      <c r="AI32" s="124"/>
      <c r="AJ32" s="124"/>
      <c r="AK32" s="124"/>
      <c r="AL32" s="124"/>
      <c r="AM32" s="124"/>
      <c r="AN32" s="124"/>
      <c r="AO32" s="124"/>
      <c r="AP32" s="124"/>
      <c r="AQ32" s="125">
        <f t="shared" si="19"/>
        <v>0</v>
      </c>
    </row>
    <row r="33" spans="1:43" ht="12.5" outlineLevel="1" x14ac:dyDescent="0.25">
      <c r="A33" s="48">
        <v>5305</v>
      </c>
      <c r="B33" s="2" t="str">
        <f t="shared" si="6"/>
        <v>PAN5195</v>
      </c>
      <c r="C33" s="101">
        <v>5195</v>
      </c>
      <c r="D33" s="123" t="s">
        <v>122</v>
      </c>
      <c r="E33" s="124">
        <f>VLOOKUP($B33,'[2]TBG G Cuenta'!$A$6:$AA$1000,COLUMN('[2]TBG G Cuenta'!B185),FALSE)</f>
        <v>4809.9350000000004</v>
      </c>
      <c r="F33" s="124">
        <f>VLOOKUP($B33,'[2]TBG G Cuenta'!$A$6:$AA$1000,COLUMN('[2]TBG G Cuenta'!C185),FALSE)</f>
        <v>7497.0360000000001</v>
      </c>
      <c r="G33" s="124">
        <f>VLOOKUP($B33,'[2]TBG G Cuenta'!$A$6:$AA$1000,COLUMN('[2]TBG G Cuenta'!D185),FALSE)</f>
        <v>6431.6580000000004</v>
      </c>
      <c r="H33" s="124">
        <f>VLOOKUP($B33,'[2]TBG G Cuenta'!$A$6:$AA$1000,COLUMN('[2]TBG G Cuenta'!E185),FALSE)</f>
        <v>3847.9540000000002</v>
      </c>
      <c r="I33" s="124">
        <f>VLOOKUP($B33,'[2]TBG G Cuenta'!$A$6:$AA$1000,COLUMN('[2]TBG G Cuenta'!F185),FALSE)</f>
        <v>5909.8380000000006</v>
      </c>
      <c r="J33" s="124">
        <f>VLOOKUP($B33,'[2]TBG G Cuenta'!$A$6:$AA$1000,COLUMN('[2]TBG G Cuenta'!G185),FALSE)</f>
        <v>3895.0810000000001</v>
      </c>
      <c r="K33" s="124">
        <f>VLOOKUP($B33,'[2]TBG G Cuenta'!$A$6:$AA$1000,COLUMN('[2]TBG G Cuenta'!H185),FALSE)</f>
        <v>5792.4859999999999</v>
      </c>
      <c r="L33" s="124">
        <f>VLOOKUP($B33,'[2]TBG G Cuenta'!$A$6:$AA$1000,COLUMN('[2]TBG G Cuenta'!I185),FALSE)</f>
        <v>14700.789000000001</v>
      </c>
      <c r="M33" s="124">
        <f>VLOOKUP($B33,'[2]TBG G Cuenta'!$A$6:$AA$1000,COLUMN('[2]TBG G Cuenta'!J185),FALSE)</f>
        <v>12269.906000000001</v>
      </c>
      <c r="N33" s="124">
        <f>VLOOKUP($B33,'[2]TBG G Cuenta'!$A$6:$AA$1000,COLUMN('[2]TBG G Cuenta'!K185),FALSE)</f>
        <v>9902.9230000000007</v>
      </c>
      <c r="O33" s="124">
        <f>VLOOKUP($B33,'[2]TBG G Cuenta'!$A$6:$AA$1000,COLUMN('[2]TBG G Cuenta'!L185),FALSE)</f>
        <v>8993.3209999999999</v>
      </c>
      <c r="P33" s="124">
        <f>VLOOKUP($B33,'[2]TBG G Cuenta'!$A$6:$AA$1000,COLUMN('[2]TBG G Cuenta'!M185),FALSE)</f>
        <v>21713.565999999999</v>
      </c>
      <c r="Q33" s="125">
        <f>SUM(E33:P33)</f>
        <v>105764.49299999999</v>
      </c>
      <c r="R33" s="124">
        <f>VLOOKUP($B33,'[2]TBG G Cuenta'!$A$6:$AA$1000,COLUMN('[2]TBG G Cuenta'!O199),FALSE)</f>
        <v>3591.694</v>
      </c>
      <c r="S33" s="124">
        <f>VLOOKUP($B33,'[2]TBG G Cuenta'!$A$6:$AA$1000,COLUMN('[2]TBG G Cuenta'!P199),FALSE)</f>
        <v>1297.701</v>
      </c>
      <c r="T33" s="124">
        <f>VLOOKUP($B33,'[2]TBG G Cuenta'!$A$6:$AA$1000,COLUMN('[2]TBG G Cuenta'!Q199),FALSE)</f>
        <v>2533.5329999999999</v>
      </c>
      <c r="U33" s="124">
        <f>VLOOKUP($B33,'[2]TBG G Cuenta'!$A$6:$AA$1000,COLUMN('[2]TBG G Cuenta'!R199),FALSE)</f>
        <v>4414.6390000000001</v>
      </c>
      <c r="V33" s="124">
        <f>VLOOKUP($B33,'[2]TBG G Cuenta'!$A$6:$AA$1000,COLUMN('[2]TBG G Cuenta'!S199),FALSE)</f>
        <v>183.19200000000001</v>
      </c>
      <c r="W33" s="124">
        <f>VLOOKUP($B33,'[2]TBG G Cuenta'!$A$6:$AA$1000,COLUMN('[2]TBG G Cuenta'!T199),FALSE)</f>
        <v>265.59399999999999</v>
      </c>
      <c r="X33" s="124">
        <f>VLOOKUP($B33,'[2]TBG G Cuenta'!$A$6:$AA$1000,COLUMN('[2]TBG G Cuenta'!U199),FALSE)</f>
        <v>685.62900000000002</v>
      </c>
      <c r="Y33" s="124">
        <f>VLOOKUP($B33,'[2]TBG G Cuenta'!$A$6:$AA$1000,COLUMN('[2]TBG G Cuenta'!V199),FALSE)</f>
        <v>2161.3220000000001</v>
      </c>
      <c r="Z33" s="124">
        <f>VLOOKUP($B33,'[2]TBG G Cuenta'!$A$6:$AA$1000,COLUMN('[2]TBG G Cuenta'!W199),FALSE)</f>
        <v>1617.8215299999999</v>
      </c>
      <c r="AA33" s="124">
        <f>VLOOKUP($B33,'[2]TBG G Cuenta'!$A$6:$AA$1000,COLUMN('[2]TBG G Cuenta'!X199),FALSE)</f>
        <v>1173.17318</v>
      </c>
      <c r="AB33" s="124">
        <f>VLOOKUP($B33,'[2]TBG G Cuenta'!$A$6:$AA$1000,COLUMN('[2]TBG G Cuenta'!Y199),FALSE)</f>
        <v>622.59004000000004</v>
      </c>
      <c r="AC33" s="124">
        <f>VLOOKUP($B33,'[2]TBG G Cuenta'!$A$6:$AA$1000,COLUMN('[2]TBG G Cuenta'!Z199),FALSE)</f>
        <v>601.03300000000002</v>
      </c>
      <c r="AD33" s="125">
        <f t="shared" si="18"/>
        <v>19147.921749999998</v>
      </c>
      <c r="AE33" s="124">
        <f>VLOOKUP($B33,'[2]TBG G Cuenta'!$A$6:$AZ$1000,COLUMN('[2]TBG G Cuenta'!AB199),FALSE)</f>
        <v>867.51985999999999</v>
      </c>
      <c r="AF33" s="124">
        <f>VLOOKUP($B33,'[2]TBG G Cuenta'!$A$6:$AZ$1000,COLUMN('[2]TBG G Cuenta'!AC199),FALSE)</f>
        <v>385</v>
      </c>
      <c r="AG33" s="124">
        <f>VLOOKUP($B33,'[2]TBG G Cuenta'!$A$6:$AZ$1000,COLUMN('[2]TBG G Cuenta'!AD199),FALSE)</f>
        <v>993.80671999999993</v>
      </c>
      <c r="AH33" s="124"/>
      <c r="AI33" s="124"/>
      <c r="AJ33" s="124"/>
      <c r="AK33" s="124"/>
      <c r="AL33" s="124"/>
      <c r="AM33" s="124"/>
      <c r="AN33" s="124"/>
      <c r="AO33" s="124"/>
      <c r="AP33" s="124"/>
      <c r="AQ33" s="125">
        <f t="shared" si="19"/>
        <v>2246.3265799999999</v>
      </c>
    </row>
    <row r="34" spans="1:43" ht="12.5" outlineLevel="1" x14ac:dyDescent="0.25">
      <c r="A34" s="48">
        <v>5310</v>
      </c>
      <c r="B34" s="2" t="str">
        <f t="shared" si="6"/>
        <v>PAN5199</v>
      </c>
      <c r="C34" s="101">
        <v>5199</v>
      </c>
      <c r="D34" s="123" t="s">
        <v>123</v>
      </c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5">
        <f t="shared" si="21"/>
        <v>0</v>
      </c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5">
        <f t="shared" si="18"/>
        <v>0</v>
      </c>
      <c r="AE34" s="124"/>
      <c r="AF34" s="124"/>
      <c r="AG34" s="124"/>
      <c r="AH34" s="124"/>
      <c r="AI34" s="124"/>
      <c r="AJ34" s="124"/>
      <c r="AK34" s="124"/>
      <c r="AL34" s="124"/>
      <c r="AM34" s="124"/>
      <c r="AN34" s="124"/>
      <c r="AO34" s="124"/>
      <c r="AP34" s="124"/>
      <c r="AQ34" s="125">
        <f t="shared" si="19"/>
        <v>0</v>
      </c>
    </row>
    <row r="35" spans="1:43" ht="12.5" outlineLevel="1" x14ac:dyDescent="0.25">
      <c r="A35" s="48">
        <v>5315</v>
      </c>
      <c r="B35" s="2" t="str">
        <f t="shared" si="6"/>
        <v>PAN</v>
      </c>
      <c r="D35" s="123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5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5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4"/>
      <c r="AQ35" s="125"/>
    </row>
    <row r="36" spans="1:43" ht="12.5" x14ac:dyDescent="0.25">
      <c r="A36" s="1">
        <v>5405</v>
      </c>
      <c r="B36" s="2" t="str">
        <f t="shared" si="6"/>
        <v>PAN</v>
      </c>
      <c r="D36" s="120" t="s">
        <v>124</v>
      </c>
      <c r="E36" s="121">
        <f>SUM(E37:E52)</f>
        <v>6128.1109999999999</v>
      </c>
      <c r="F36" s="121">
        <f t="shared" ref="F36:AQ36" si="22">SUM(F37:F52)</f>
        <v>42051.952219999999</v>
      </c>
      <c r="G36" s="121">
        <f t="shared" si="22"/>
        <v>16127.295</v>
      </c>
      <c r="H36" s="121">
        <f t="shared" si="22"/>
        <v>61371.685010000001</v>
      </c>
      <c r="I36" s="121">
        <f t="shared" si="22"/>
        <v>10877.855</v>
      </c>
      <c r="J36" s="121">
        <f t="shared" si="22"/>
        <v>59017.495789999994</v>
      </c>
      <c r="K36" s="121">
        <f t="shared" si="22"/>
        <v>5959.1679999999997</v>
      </c>
      <c r="L36" s="121">
        <f t="shared" si="22"/>
        <v>63263.429479999992</v>
      </c>
      <c r="M36" s="121">
        <f t="shared" si="22"/>
        <v>21600.272000000001</v>
      </c>
      <c r="N36" s="121">
        <f t="shared" si="22"/>
        <v>61435.081759999994</v>
      </c>
      <c r="O36" s="121">
        <f t="shared" si="22"/>
        <v>17651.759999999998</v>
      </c>
      <c r="P36" s="121">
        <f t="shared" si="22"/>
        <v>88327.708989999985</v>
      </c>
      <c r="Q36" s="121">
        <f t="shared" si="22"/>
        <v>453811.81424999994</v>
      </c>
      <c r="R36" s="121">
        <f t="shared" si="22"/>
        <v>187364.33283999999</v>
      </c>
      <c r="S36" s="121">
        <f t="shared" si="22"/>
        <v>235005.92859000005</v>
      </c>
      <c r="T36" s="121">
        <f t="shared" si="22"/>
        <v>203180.02600000001</v>
      </c>
      <c r="U36" s="121">
        <f t="shared" si="22"/>
        <v>252218.16330000001</v>
      </c>
      <c r="V36" s="121">
        <f t="shared" si="22"/>
        <v>212715.40420999998</v>
      </c>
      <c r="W36" s="121">
        <f t="shared" si="22"/>
        <v>258352.0067</v>
      </c>
      <c r="X36" s="121">
        <f t="shared" si="22"/>
        <v>203854.83491999999</v>
      </c>
      <c r="Y36" s="121">
        <f t="shared" si="22"/>
        <v>263035.18099999998</v>
      </c>
      <c r="Z36" s="121">
        <f t="shared" si="22"/>
        <v>195173.78513999996</v>
      </c>
      <c r="AA36" s="121">
        <f t="shared" si="22"/>
        <v>271109.31574999995</v>
      </c>
      <c r="AB36" s="121">
        <f t="shared" si="22"/>
        <v>202592.74439000001</v>
      </c>
      <c r="AC36" s="121">
        <f t="shared" si="22"/>
        <v>255810.17044999998</v>
      </c>
      <c r="AD36" s="122">
        <f t="shared" si="22"/>
        <v>2740411.8932900005</v>
      </c>
      <c r="AE36" s="121">
        <f t="shared" si="22"/>
        <v>209274.83514000001</v>
      </c>
      <c r="AF36" s="121">
        <f t="shared" si="22"/>
        <v>260873.48879000003</v>
      </c>
      <c r="AG36" s="121">
        <f t="shared" si="22"/>
        <v>192295.53558</v>
      </c>
      <c r="AH36" s="121">
        <f t="shared" si="22"/>
        <v>0</v>
      </c>
      <c r="AI36" s="121">
        <f t="shared" si="22"/>
        <v>0</v>
      </c>
      <c r="AJ36" s="121">
        <f t="shared" si="22"/>
        <v>0</v>
      </c>
      <c r="AK36" s="121">
        <f t="shared" si="22"/>
        <v>0</v>
      </c>
      <c r="AL36" s="121">
        <f t="shared" si="22"/>
        <v>0</v>
      </c>
      <c r="AM36" s="121">
        <f t="shared" si="22"/>
        <v>0</v>
      </c>
      <c r="AN36" s="121">
        <f t="shared" si="22"/>
        <v>0</v>
      </c>
      <c r="AO36" s="121">
        <f t="shared" si="22"/>
        <v>0</v>
      </c>
      <c r="AP36" s="121">
        <f t="shared" si="22"/>
        <v>0</v>
      </c>
      <c r="AQ36" s="122">
        <f t="shared" si="22"/>
        <v>662443.8595100001</v>
      </c>
    </row>
    <row r="37" spans="1:43" ht="12.5" outlineLevel="1" x14ac:dyDescent="0.25">
      <c r="A37" s="1">
        <v>6135</v>
      </c>
      <c r="B37" s="2" t="str">
        <f t="shared" si="6"/>
        <v>PAN</v>
      </c>
      <c r="D37" s="123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5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  <c r="AD37" s="125"/>
      <c r="AE37" s="124"/>
      <c r="AF37" s="124"/>
      <c r="AG37" s="124"/>
      <c r="AH37" s="124"/>
      <c r="AI37" s="124"/>
      <c r="AJ37" s="124"/>
      <c r="AK37" s="124"/>
      <c r="AL37" s="124"/>
      <c r="AM37" s="124"/>
      <c r="AN37" s="124"/>
      <c r="AO37" s="124"/>
      <c r="AP37" s="124"/>
      <c r="AQ37" s="125"/>
    </row>
    <row r="38" spans="1:43" ht="12.5" outlineLevel="1" x14ac:dyDescent="0.25">
      <c r="B38" s="2" t="str">
        <f t="shared" si="6"/>
        <v>PAN5205</v>
      </c>
      <c r="C38" s="101">
        <v>5205</v>
      </c>
      <c r="D38" s="123" t="s">
        <v>109</v>
      </c>
      <c r="E38" s="124">
        <f>IFERROR(VLOOKUP($B38,'[2]TBG G Cuenta'!$A$6:$AA$1000,COLUMN('[2]TBG G Cuenta'!B190),FALSE),0)</f>
        <v>0</v>
      </c>
      <c r="F38" s="124">
        <f>IFERROR(VLOOKUP($B38,'[2]TBG G Cuenta'!$A$6:$AA$1000,COLUMN('[2]TBG G Cuenta'!C190),FALSE),0)</f>
        <v>0</v>
      </c>
      <c r="G38" s="124">
        <f>IFERROR(VLOOKUP($B38,'[2]TBG G Cuenta'!$A$6:$AA$1000,COLUMN('[2]TBG G Cuenta'!D190),FALSE),0)</f>
        <v>0</v>
      </c>
      <c r="H38" s="124">
        <f>IFERROR(VLOOKUP($B38,'[2]TBG G Cuenta'!$A$6:$AA$1000,COLUMN('[2]TBG G Cuenta'!E190),FALSE),0)</f>
        <v>0</v>
      </c>
      <c r="I38" s="124">
        <f>IFERROR(VLOOKUP($B38,'[2]TBG G Cuenta'!$A$6:$AA$1000,COLUMN('[2]TBG G Cuenta'!F190),FALSE),0)</f>
        <v>0</v>
      </c>
      <c r="J38" s="124">
        <f>IFERROR(VLOOKUP($B38,'[2]TBG G Cuenta'!$A$6:$AA$1000,COLUMN('[2]TBG G Cuenta'!G190),FALSE),0)</f>
        <v>0</v>
      </c>
      <c r="K38" s="124">
        <f>IFERROR(VLOOKUP($B38,'[2]TBG G Cuenta'!$A$6:$AA$1000,COLUMN('[2]TBG G Cuenta'!H190),FALSE),0)</f>
        <v>0</v>
      </c>
      <c r="L38" s="124">
        <f>IFERROR(VLOOKUP($B38,'[2]TBG G Cuenta'!$A$6:$AA$1000,COLUMN('[2]TBG G Cuenta'!I190),FALSE),0)</f>
        <v>0</v>
      </c>
      <c r="M38" s="124">
        <f>IFERROR(VLOOKUP($B38,'[2]TBG G Cuenta'!$A$6:$AA$1000,COLUMN('[2]TBG G Cuenta'!J190),FALSE),0)</f>
        <v>0</v>
      </c>
      <c r="N38" s="124">
        <f>IFERROR(VLOOKUP($B38,'[2]TBG G Cuenta'!$A$6:$AA$1000,COLUMN('[2]TBG G Cuenta'!K190),FALSE),0)</f>
        <v>0</v>
      </c>
      <c r="O38" s="124">
        <f>IFERROR(VLOOKUP($B38,'[2]TBG G Cuenta'!$A$6:$AA$1000,COLUMN('[2]TBG G Cuenta'!L190),FALSE),0)</f>
        <v>0</v>
      </c>
      <c r="P38" s="124">
        <f>IFERROR(VLOOKUP($B38,'[2]TBG G Cuenta'!$A$6:$AA$1000,COLUMN('[2]TBG G Cuenta'!M190),FALSE),0)</f>
        <v>0</v>
      </c>
      <c r="Q38" s="125">
        <f>SUM(E38:P38)</f>
        <v>0</v>
      </c>
      <c r="R38" s="124">
        <f>IFERROR(VLOOKUP($B38,'[2]TBG G Cuenta'!$A$6:$AA$1000,COLUMN('[2]TBG G Cuenta'!O204),FALSE),0)</f>
        <v>55819.017</v>
      </c>
      <c r="S38" s="124">
        <f>IFERROR(VLOOKUP($B38,'[2]TBG G Cuenta'!$A$6:$AA$1000,COLUMN('[2]TBG G Cuenta'!P204),FALSE),0)</f>
        <v>62741.692000000003</v>
      </c>
      <c r="T38" s="124">
        <f>IFERROR(VLOOKUP($B38,'[2]TBG G Cuenta'!$A$6:$AA$1000,COLUMN('[2]TBG G Cuenta'!Q204),FALSE),0)</f>
        <v>61212.332000000002</v>
      </c>
      <c r="U38" s="124">
        <f>IFERROR(VLOOKUP($B38,'[2]TBG G Cuenta'!$A$6:$AA$1000,COLUMN('[2]TBG G Cuenta'!R204),FALSE),0)</f>
        <v>60836.947</v>
      </c>
      <c r="V38" s="124">
        <f>IFERROR(VLOOKUP($B38,'[2]TBG G Cuenta'!$A$6:$AA$1000,COLUMN('[2]TBG G Cuenta'!S204),FALSE),0)</f>
        <v>67938.726999999999</v>
      </c>
      <c r="W38" s="124">
        <f>IFERROR(VLOOKUP($B38,'[2]TBG G Cuenta'!$A$6:$AA$1000,COLUMN('[2]TBG G Cuenta'!T204),FALSE),0)</f>
        <v>55478.501999999993</v>
      </c>
      <c r="X38" s="124">
        <f>IFERROR(VLOOKUP($B38,'[2]TBG G Cuenta'!$A$6:$AA$1000,COLUMN('[2]TBG G Cuenta'!U204),FALSE),0)</f>
        <v>53802.330999999998</v>
      </c>
      <c r="Y38" s="124">
        <f>IFERROR(VLOOKUP($B38,'[2]TBG G Cuenta'!$A$6:$AA$1000,COLUMN('[2]TBG G Cuenta'!V204),FALSE),0)</f>
        <v>55569.985999999997</v>
      </c>
      <c r="Z38" s="124">
        <f>IFERROR(VLOOKUP($B38,'[2]TBG G Cuenta'!$A$6:$AA$1000,COLUMN('[2]TBG G Cuenta'!W204),FALSE),0)</f>
        <v>52288.375999999997</v>
      </c>
      <c r="AA38" s="124">
        <f>IFERROR(VLOOKUP($B38,'[2]TBG G Cuenta'!$A$6:$AA$1000,COLUMN('[2]TBG G Cuenta'!X204),FALSE),0)</f>
        <v>49120.527000000002</v>
      </c>
      <c r="AB38" s="124">
        <f>IFERROR(VLOOKUP($B38,'[2]TBG G Cuenta'!$A$6:$AA$1000,COLUMN('[2]TBG G Cuenta'!Y204),FALSE),0)</f>
        <v>45201.810340000004</v>
      </c>
      <c r="AC38" s="124">
        <f>IFERROR(VLOOKUP($B38,'[2]TBG G Cuenta'!$A$6:$AA$1000,COLUMN('[2]TBG G Cuenta'!Z204),FALSE),0)</f>
        <v>53143.985389999994</v>
      </c>
      <c r="AD38" s="125">
        <f t="shared" si="18"/>
        <v>673154.23273000005</v>
      </c>
      <c r="AE38" s="124">
        <f>IFERROR(VLOOKUP($B38,'[2]TBG G Cuenta'!$A$6:$AZ$1000,COLUMN('[2]TBG G Cuenta'!AB204),FALSE),0)</f>
        <v>48012.459000000003</v>
      </c>
      <c r="AF38" s="124">
        <f>IFERROR(VLOOKUP($B38,'[2]TBG G Cuenta'!$A$6:$AZ$1000,COLUMN('[2]TBG G Cuenta'!AC204),FALSE),0)</f>
        <v>46861.476000000002</v>
      </c>
      <c r="AG38" s="124">
        <f>IFERROR(VLOOKUP($B38,'[2]TBG G Cuenta'!$A$6:$AZ$1000,COLUMN('[2]TBG G Cuenta'!AD204),FALSE),0)</f>
        <v>50030.375</v>
      </c>
      <c r="AH38" s="124"/>
      <c r="AI38" s="124"/>
      <c r="AJ38" s="124"/>
      <c r="AK38" s="124"/>
      <c r="AL38" s="124"/>
      <c r="AM38" s="124"/>
      <c r="AN38" s="124"/>
      <c r="AO38" s="124"/>
      <c r="AP38" s="124"/>
      <c r="AQ38" s="125">
        <f t="shared" ref="AQ38:AQ50" si="23">SUM(AE38:AP38)</f>
        <v>144904.31</v>
      </c>
    </row>
    <row r="39" spans="1:43" ht="12.5" outlineLevel="1" x14ac:dyDescent="0.25">
      <c r="B39" s="2" t="str">
        <f t="shared" si="6"/>
        <v>PAN5210</v>
      </c>
      <c r="C39" s="101">
        <v>5210</v>
      </c>
      <c r="D39" s="123" t="s">
        <v>110</v>
      </c>
      <c r="E39" s="124">
        <f>IFERROR(VLOOKUP($B39,'[2]TBG G Cuenta'!$A$6:$AA$1000,COLUMN('[2]TBG G Cuenta'!B191),FALSE),0)</f>
        <v>0</v>
      </c>
      <c r="F39" s="124">
        <f>IFERROR(VLOOKUP($B39,'[2]TBG G Cuenta'!$A$6:$AA$1000,COLUMN('[2]TBG G Cuenta'!C191),FALSE),0)</f>
        <v>0</v>
      </c>
      <c r="G39" s="124">
        <f>IFERROR(VLOOKUP($B39,'[2]TBG G Cuenta'!$A$6:$AA$1000,COLUMN('[2]TBG G Cuenta'!D191),FALSE),0)</f>
        <v>0</v>
      </c>
      <c r="H39" s="124">
        <f>IFERROR(VLOOKUP($B39,'[2]TBG G Cuenta'!$A$6:$AA$1000,COLUMN('[2]TBG G Cuenta'!E191),FALSE),0)</f>
        <v>0</v>
      </c>
      <c r="I39" s="124">
        <f>IFERROR(VLOOKUP($B39,'[2]TBG G Cuenta'!$A$6:$AA$1000,COLUMN('[2]TBG G Cuenta'!F191),FALSE),0)</f>
        <v>0</v>
      </c>
      <c r="J39" s="124">
        <f>IFERROR(VLOOKUP($B39,'[2]TBG G Cuenta'!$A$6:$AA$1000,COLUMN('[2]TBG G Cuenta'!G191),FALSE),0)</f>
        <v>0</v>
      </c>
      <c r="K39" s="124">
        <f>IFERROR(VLOOKUP($B39,'[2]TBG G Cuenta'!$A$6:$AA$1000,COLUMN('[2]TBG G Cuenta'!H191),FALSE),0)</f>
        <v>0</v>
      </c>
      <c r="L39" s="124">
        <f>IFERROR(VLOOKUP($B39,'[2]TBG G Cuenta'!$A$6:$AA$1000,COLUMN('[2]TBG G Cuenta'!I191),FALSE),0)</f>
        <v>0</v>
      </c>
      <c r="M39" s="124">
        <f>IFERROR(VLOOKUP($B39,'[2]TBG G Cuenta'!$A$6:$AA$1000,COLUMN('[2]TBG G Cuenta'!J191),FALSE),0)</f>
        <v>0</v>
      </c>
      <c r="N39" s="124">
        <f>IFERROR(VLOOKUP($B39,'[2]TBG G Cuenta'!$A$6:$AA$1000,COLUMN('[2]TBG G Cuenta'!K191),FALSE),0)</f>
        <v>0</v>
      </c>
      <c r="O39" s="124">
        <f>IFERROR(VLOOKUP($B39,'[2]TBG G Cuenta'!$A$6:$AA$1000,COLUMN('[2]TBG G Cuenta'!L191),FALSE),0)</f>
        <v>0</v>
      </c>
      <c r="P39" s="124">
        <f>IFERROR(VLOOKUP($B39,'[2]TBG G Cuenta'!$A$6:$AA$1000,COLUMN('[2]TBG G Cuenta'!M191),FALSE),0)</f>
        <v>0</v>
      </c>
      <c r="Q39" s="125">
        <f>SUM(E39:P39)</f>
        <v>0</v>
      </c>
      <c r="R39" s="124">
        <f>IFERROR(VLOOKUP($B39,'[2]TBG G Cuenta'!$A$6:$AA$1000,COLUMN('[2]TBG G Cuenta'!O205),FALSE),0)</f>
        <v>0</v>
      </c>
      <c r="S39" s="124">
        <f>IFERROR(VLOOKUP($B39,'[2]TBG G Cuenta'!$A$6:$AA$1000,COLUMN('[2]TBG G Cuenta'!P205),FALSE),0)</f>
        <v>0</v>
      </c>
      <c r="T39" s="124">
        <f>IFERROR(VLOOKUP($B39,'[2]TBG G Cuenta'!$A$6:$AA$1000,COLUMN('[2]TBG G Cuenta'!Q205),FALSE),0)</f>
        <v>0</v>
      </c>
      <c r="U39" s="124">
        <f>IFERROR(VLOOKUP($B39,'[2]TBG G Cuenta'!$A$6:$AA$1000,COLUMN('[2]TBG G Cuenta'!R205),FALSE),0)</f>
        <v>0</v>
      </c>
      <c r="V39" s="124">
        <f>IFERROR(VLOOKUP($B39,'[2]TBG G Cuenta'!$A$6:$AA$1000,COLUMN('[2]TBG G Cuenta'!S205),FALSE),0)</f>
        <v>0</v>
      </c>
      <c r="W39" s="124">
        <f>IFERROR(VLOOKUP($B39,'[2]TBG G Cuenta'!$A$6:$AA$1000,COLUMN('[2]TBG G Cuenta'!T205),FALSE),0)</f>
        <v>0</v>
      </c>
      <c r="X39" s="124">
        <f>IFERROR(VLOOKUP($B39,'[2]TBG G Cuenta'!$A$6:$AA$1000,COLUMN('[2]TBG G Cuenta'!U205),FALSE),0)</f>
        <v>500</v>
      </c>
      <c r="Y39" s="124">
        <f>IFERROR(VLOOKUP($B39,'[2]TBG G Cuenta'!$A$6:$AA$1000,COLUMN('[2]TBG G Cuenta'!V205),FALSE),0)</f>
        <v>0</v>
      </c>
      <c r="Z39" s="124">
        <f>IFERROR(VLOOKUP($B39,'[2]TBG G Cuenta'!$A$6:$AA$1000,COLUMN('[2]TBG G Cuenta'!W205),FALSE),0)</f>
        <v>300</v>
      </c>
      <c r="AA39" s="124">
        <f>IFERROR(VLOOKUP($B39,'[2]TBG G Cuenta'!$A$6:$AA$1000,COLUMN('[2]TBG G Cuenta'!X205),FALSE),0)</f>
        <v>400</v>
      </c>
      <c r="AB39" s="124">
        <f>IFERROR(VLOOKUP($B39,'[2]TBG G Cuenta'!$A$6:$AA$1000,COLUMN('[2]TBG G Cuenta'!Y205),FALSE),0)</f>
        <v>240</v>
      </c>
      <c r="AC39" s="124">
        <f>IFERROR(VLOOKUP($B39,'[2]TBG G Cuenta'!$A$6:$AA$1000,COLUMN('[2]TBG G Cuenta'!Z205),FALSE),0)</f>
        <v>300</v>
      </c>
      <c r="AD39" s="125">
        <f t="shared" si="18"/>
        <v>1740</v>
      </c>
      <c r="AE39" s="124">
        <f>IFERROR(VLOOKUP($B39,'[2]TBG G Cuenta'!$A$6:$AZ$1000,COLUMN('[2]TBG G Cuenta'!AB205),FALSE),0)</f>
        <v>0</v>
      </c>
      <c r="AF39" s="124">
        <f>IFERROR(VLOOKUP($B39,'[2]TBG G Cuenta'!$A$6:$AZ$1000,COLUMN('[2]TBG G Cuenta'!AC205),FALSE),0)</f>
        <v>200</v>
      </c>
      <c r="AG39" s="124">
        <f>IFERROR(VLOOKUP($B39,'[2]TBG G Cuenta'!$A$6:$AZ$1000,COLUMN('[2]TBG G Cuenta'!AD205),FALSE),0)</f>
        <v>100</v>
      </c>
      <c r="AH39" s="124"/>
      <c r="AI39" s="124"/>
      <c r="AJ39" s="124"/>
      <c r="AK39" s="124"/>
      <c r="AL39" s="124"/>
      <c r="AM39" s="124"/>
      <c r="AN39" s="124"/>
      <c r="AO39" s="124"/>
      <c r="AP39" s="124"/>
      <c r="AQ39" s="125">
        <f t="shared" si="23"/>
        <v>300</v>
      </c>
    </row>
    <row r="40" spans="1:43" ht="12.5" outlineLevel="1" x14ac:dyDescent="0.25">
      <c r="B40" s="2" t="str">
        <f t="shared" si="6"/>
        <v>PAN5215</v>
      </c>
      <c r="C40" s="101">
        <v>5215</v>
      </c>
      <c r="D40" s="123" t="s">
        <v>111</v>
      </c>
      <c r="E40" s="124">
        <f>IFERROR(VLOOKUP($B40,'[2]TBG G Cuenta'!$A$6:$AA$1000,COLUMN('[2]TBG G Cuenta'!B192),FALSE),0)</f>
        <v>0</v>
      </c>
      <c r="F40" s="124">
        <f>IFERROR(VLOOKUP($B40,'[2]TBG G Cuenta'!$A$6:$AA$1000,COLUMN('[2]TBG G Cuenta'!C192),FALSE),0)</f>
        <v>28137.38522</v>
      </c>
      <c r="G40" s="124">
        <f>IFERROR(VLOOKUP($B40,'[2]TBG G Cuenta'!$A$6:$AA$1000,COLUMN('[2]TBG G Cuenta'!D192),FALSE),0)</f>
        <v>0</v>
      </c>
      <c r="H40" s="124">
        <f>IFERROR(VLOOKUP($B40,'[2]TBG G Cuenta'!$A$6:$AA$1000,COLUMN('[2]TBG G Cuenta'!E192),FALSE),0)</f>
        <v>56780.442009999999</v>
      </c>
      <c r="I40" s="124">
        <f>IFERROR(VLOOKUP($B40,'[2]TBG G Cuenta'!$A$6:$AA$1000,COLUMN('[2]TBG G Cuenta'!F192),FALSE),0)</f>
        <v>0</v>
      </c>
      <c r="J40" s="124">
        <f>IFERROR(VLOOKUP($B40,'[2]TBG G Cuenta'!$A$6:$AA$1000,COLUMN('[2]TBG G Cuenta'!G192),FALSE),0)</f>
        <v>43616.310789999996</v>
      </c>
      <c r="K40" s="124">
        <f>IFERROR(VLOOKUP($B40,'[2]TBG G Cuenta'!$A$6:$AA$1000,COLUMN('[2]TBG G Cuenta'!H192),FALSE),0)</f>
        <v>0</v>
      </c>
      <c r="L40" s="124">
        <f>IFERROR(VLOOKUP($B40,'[2]TBG G Cuenta'!$A$6:$AA$1000,COLUMN('[2]TBG G Cuenta'!I192),FALSE),0)</f>
        <v>50128.875479999995</v>
      </c>
      <c r="M40" s="124">
        <f>IFERROR(VLOOKUP($B40,'[2]TBG G Cuenta'!$A$6:$AA$1000,COLUMN('[2]TBG G Cuenta'!J192),FALSE),0)</f>
        <v>0</v>
      </c>
      <c r="N40" s="124">
        <f>IFERROR(VLOOKUP($B40,'[2]TBG G Cuenta'!$A$6:$AA$1000,COLUMN('[2]TBG G Cuenta'!K192),FALSE),0)</f>
        <v>50669.822759999995</v>
      </c>
      <c r="O40" s="124">
        <f>IFERROR(VLOOKUP($B40,'[2]TBG G Cuenta'!$A$6:$AA$1000,COLUMN('[2]TBG G Cuenta'!L192),FALSE),0)</f>
        <v>0</v>
      </c>
      <c r="P40" s="124">
        <f>IFERROR(VLOOKUP($B40,'[2]TBG G Cuenta'!$A$6:$AA$1000,COLUMN('[2]TBG G Cuenta'!M192),FALSE),0)</f>
        <v>58901.134989999999</v>
      </c>
      <c r="Q40" s="125">
        <f>SUM(E40:P40)</f>
        <v>288233.97124999994</v>
      </c>
      <c r="R40" s="124">
        <f>IFERROR(VLOOKUP($B40,'[2]TBG G Cuenta'!$A$6:$AA$1000,COLUMN('[2]TBG G Cuenta'!O206),FALSE),0)</f>
        <v>1066.489</v>
      </c>
      <c r="S40" s="124">
        <f>IFERROR(VLOOKUP($B40,'[2]TBG G Cuenta'!$A$6:$AA$1000,COLUMN('[2]TBG G Cuenta'!P206),FALSE),0)</f>
        <v>52465.039750000004</v>
      </c>
      <c r="T40" s="124">
        <f>IFERROR(VLOOKUP($B40,'[2]TBG G Cuenta'!$A$6:$AA$1000,COLUMN('[2]TBG G Cuenta'!Q206),FALSE),0)</f>
        <v>1109.373</v>
      </c>
      <c r="U40" s="124">
        <f>IFERROR(VLOOKUP($B40,'[2]TBG G Cuenta'!$A$6:$AA$1000,COLUMN('[2]TBG G Cuenta'!R206),FALSE),0)</f>
        <v>52455.989299999994</v>
      </c>
      <c r="V40" s="124">
        <f>IFERROR(VLOOKUP($B40,'[2]TBG G Cuenta'!$A$6:$AA$1000,COLUMN('[2]TBG G Cuenta'!S206),FALSE),0)</f>
        <v>1187.91121</v>
      </c>
      <c r="W40" s="124">
        <f>IFERROR(VLOOKUP($B40,'[2]TBG G Cuenta'!$A$6:$AA$1000,COLUMN('[2]TBG G Cuenta'!T206),FALSE),0)</f>
        <v>55893.866700000006</v>
      </c>
      <c r="X40" s="124">
        <f>IFERROR(VLOOKUP($B40,'[2]TBG G Cuenta'!$A$6:$AA$1000,COLUMN('[2]TBG G Cuenta'!U206),FALSE),0)</f>
        <v>1463.5989199999999</v>
      </c>
      <c r="Y40" s="124">
        <f>IFERROR(VLOOKUP($B40,'[2]TBG G Cuenta'!$A$6:$AA$1000,COLUMN('[2]TBG G Cuenta'!V206),FALSE),0)</f>
        <v>54315.877</v>
      </c>
      <c r="Z40" s="124">
        <f>IFERROR(VLOOKUP($B40,'[2]TBG G Cuenta'!$A$6:$AA$1000,COLUMN('[2]TBG G Cuenta'!W206),FALSE),0)</f>
        <v>1382.9929999999999</v>
      </c>
      <c r="AA40" s="124">
        <f>IFERROR(VLOOKUP($B40,'[2]TBG G Cuenta'!$A$6:$AA$1000,COLUMN('[2]TBG G Cuenta'!X206),FALSE),0)</f>
        <v>58032.474620000001</v>
      </c>
      <c r="AB40" s="124">
        <f>IFERROR(VLOOKUP($B40,'[2]TBG G Cuenta'!$A$6:$AA$1000,COLUMN('[2]TBG G Cuenta'!Y206),FALSE),0)</f>
        <v>1203.77865</v>
      </c>
      <c r="AC40" s="124">
        <f>IFERROR(VLOOKUP($B40,'[2]TBG G Cuenta'!$A$6:$AA$1000,COLUMN('[2]TBG G Cuenta'!Z206),FALSE),0)</f>
        <v>56430.159369999994</v>
      </c>
      <c r="AD40" s="125">
        <f t="shared" si="18"/>
        <v>337007.55051999999</v>
      </c>
      <c r="AE40" s="124">
        <f>IFERROR(VLOOKUP($B40,'[2]TBG G Cuenta'!$A$6:$AZ$1000,COLUMN('[2]TBG G Cuenta'!AB206),FALSE),0)</f>
        <v>1761.88</v>
      </c>
      <c r="AF40" s="124">
        <f>IFERROR(VLOOKUP($B40,'[2]TBG G Cuenta'!$A$6:$AZ$1000,COLUMN('[2]TBG G Cuenta'!AC206),FALSE),0)</f>
        <v>54582.756979999998</v>
      </c>
      <c r="AG40" s="124">
        <f>IFERROR(VLOOKUP($B40,'[2]TBG G Cuenta'!$A$6:$AZ$1000,COLUMN('[2]TBG G Cuenta'!AD206),FALSE),0)</f>
        <v>0</v>
      </c>
      <c r="AH40" s="124"/>
      <c r="AI40" s="124"/>
      <c r="AJ40" s="124"/>
      <c r="AK40" s="124"/>
      <c r="AL40" s="124"/>
      <c r="AM40" s="124"/>
      <c r="AN40" s="124"/>
      <c r="AO40" s="124"/>
      <c r="AP40" s="124"/>
      <c r="AQ40" s="125">
        <f t="shared" si="23"/>
        <v>56344.636979999996</v>
      </c>
    </row>
    <row r="41" spans="1:43" ht="12.5" outlineLevel="1" x14ac:dyDescent="0.25">
      <c r="B41" s="2" t="str">
        <f t="shared" si="6"/>
        <v>PAN5220</v>
      </c>
      <c r="C41" s="101">
        <v>5220</v>
      </c>
      <c r="D41" s="123" t="s">
        <v>112</v>
      </c>
      <c r="E41" s="124">
        <f>IFERROR(VLOOKUP($B41,'[2]TBG G Cuenta'!$A$6:$AA$1000,COLUMN('[2]TBG G Cuenta'!B193),FALSE),0)</f>
        <v>0</v>
      </c>
      <c r="F41" s="124">
        <f>IFERROR(VLOOKUP($B41,'[2]TBG G Cuenta'!$A$6:$AA$1000,COLUMN('[2]TBG G Cuenta'!C193),FALSE),0)</f>
        <v>0</v>
      </c>
      <c r="G41" s="124">
        <f>IFERROR(VLOOKUP($B41,'[2]TBG G Cuenta'!$A$6:$AA$1000,COLUMN('[2]TBG G Cuenta'!D193),FALSE),0)</f>
        <v>0</v>
      </c>
      <c r="H41" s="124">
        <f>IFERROR(VLOOKUP($B41,'[2]TBG G Cuenta'!$A$6:$AA$1000,COLUMN('[2]TBG G Cuenta'!E193),FALSE),0)</f>
        <v>0</v>
      </c>
      <c r="I41" s="124">
        <f>IFERROR(VLOOKUP($B41,'[2]TBG G Cuenta'!$A$6:$AA$1000,COLUMN('[2]TBG G Cuenta'!F193),FALSE),0)</f>
        <v>0</v>
      </c>
      <c r="J41" s="124">
        <f>IFERROR(VLOOKUP($B41,'[2]TBG G Cuenta'!$A$6:$AA$1000,COLUMN('[2]TBG G Cuenta'!G193),FALSE),0)</f>
        <v>0</v>
      </c>
      <c r="K41" s="124">
        <f>IFERROR(VLOOKUP($B41,'[2]TBG G Cuenta'!$A$6:$AA$1000,COLUMN('[2]TBG G Cuenta'!H193),FALSE),0)</f>
        <v>0</v>
      </c>
      <c r="L41" s="124">
        <f>IFERROR(VLOOKUP($B41,'[2]TBG G Cuenta'!$A$6:$AA$1000,COLUMN('[2]TBG G Cuenta'!I193),FALSE),0)</f>
        <v>0</v>
      </c>
      <c r="M41" s="124">
        <f>IFERROR(VLOOKUP($B41,'[2]TBG G Cuenta'!$A$6:$AA$1000,COLUMN('[2]TBG G Cuenta'!J193),FALSE),0)</f>
        <v>0</v>
      </c>
      <c r="N41" s="124">
        <f>IFERROR(VLOOKUP($B41,'[2]TBG G Cuenta'!$A$6:$AA$1000,COLUMN('[2]TBG G Cuenta'!K193),FALSE),0)</f>
        <v>0</v>
      </c>
      <c r="O41" s="124">
        <f>IFERROR(VLOOKUP($B41,'[2]TBG G Cuenta'!$A$6:$AA$1000,COLUMN('[2]TBG G Cuenta'!L193),FALSE),0)</f>
        <v>0</v>
      </c>
      <c r="P41" s="124">
        <f>IFERROR(VLOOKUP($B41,'[2]TBG G Cuenta'!$A$6:$AA$1000,COLUMN('[2]TBG G Cuenta'!M193),FALSE),0)</f>
        <v>0</v>
      </c>
      <c r="Q41" s="125">
        <f>SUM(E41:P41)</f>
        <v>0</v>
      </c>
      <c r="R41" s="124">
        <f>IFERROR(VLOOKUP($B41,'[2]TBG G Cuenta'!$A$6:$AA$1000,COLUMN('[2]TBG G Cuenta'!O207),FALSE),0)</f>
        <v>58896.406999999999</v>
      </c>
      <c r="S41" s="124">
        <f>IFERROR(VLOOKUP($B41,'[2]TBG G Cuenta'!$A$6:$AA$1000,COLUMN('[2]TBG G Cuenta'!P207),FALSE),0)</f>
        <v>58896.406999999999</v>
      </c>
      <c r="T41" s="124">
        <f>IFERROR(VLOOKUP($B41,'[2]TBG G Cuenta'!$A$6:$AA$1000,COLUMN('[2]TBG G Cuenta'!Q207),FALSE),0)</f>
        <v>58896.406999999999</v>
      </c>
      <c r="U41" s="124">
        <f>IFERROR(VLOOKUP($B41,'[2]TBG G Cuenta'!$A$6:$AA$1000,COLUMN('[2]TBG G Cuenta'!R207),FALSE),0)</f>
        <v>58896.406999999999</v>
      </c>
      <c r="V41" s="124">
        <f>IFERROR(VLOOKUP($B41,'[2]TBG G Cuenta'!$A$6:$AA$1000,COLUMN('[2]TBG G Cuenta'!S207),FALSE),0)</f>
        <v>58896.406999999999</v>
      </c>
      <c r="W41" s="124">
        <f>IFERROR(VLOOKUP($B41,'[2]TBG G Cuenta'!$A$6:$AA$1000,COLUMN('[2]TBG G Cuenta'!T207),FALSE),0)</f>
        <v>58896.406999999999</v>
      </c>
      <c r="X41" s="124">
        <f>IFERROR(VLOOKUP($B41,'[2]TBG G Cuenta'!$A$6:$AA$1000,COLUMN('[2]TBG G Cuenta'!U207),FALSE),0)</f>
        <v>58896.406999999999</v>
      </c>
      <c r="Y41" s="124">
        <f>IFERROR(VLOOKUP($B41,'[2]TBG G Cuenta'!$A$6:$AA$1000,COLUMN('[2]TBG G Cuenta'!V207),FALSE),0)</f>
        <v>58896.406999999999</v>
      </c>
      <c r="Z41" s="124">
        <f>IFERROR(VLOOKUP($B41,'[2]TBG G Cuenta'!$A$6:$AA$1000,COLUMN('[2]TBG G Cuenta'!W207),FALSE),0)</f>
        <v>60979.159</v>
      </c>
      <c r="AA41" s="124">
        <f>IFERROR(VLOOKUP($B41,'[2]TBG G Cuenta'!$A$6:$AA$1000,COLUMN('[2]TBG G Cuenta'!X207),FALSE),0)</f>
        <v>60979.159</v>
      </c>
      <c r="AB41" s="124">
        <f>IFERROR(VLOOKUP($B41,'[2]TBG G Cuenta'!$A$6:$AA$1000,COLUMN('[2]TBG G Cuenta'!Y207),FALSE),0)</f>
        <v>60979.159</v>
      </c>
      <c r="AC41" s="124">
        <f>IFERROR(VLOOKUP($B41,'[2]TBG G Cuenta'!$A$6:$AA$1000,COLUMN('[2]TBG G Cuenta'!Z207),FALSE),0)</f>
        <v>60979.159</v>
      </c>
      <c r="AD41" s="125">
        <f t="shared" si="18"/>
        <v>715087.89199999999</v>
      </c>
      <c r="AE41" s="124">
        <f>IFERROR(VLOOKUP($B41,'[2]TBG G Cuenta'!$A$6:$AZ$1000,COLUMN('[2]TBG G Cuenta'!AB207),FALSE),0)</f>
        <v>60979.159</v>
      </c>
      <c r="AF41" s="124">
        <f>IFERROR(VLOOKUP($B41,'[2]TBG G Cuenta'!$A$6:$AZ$1000,COLUMN('[2]TBG G Cuenta'!AC207),FALSE),0)</f>
        <v>60979.159</v>
      </c>
      <c r="AG41" s="124">
        <f>IFERROR(VLOOKUP($B41,'[2]TBG G Cuenta'!$A$6:$AZ$1000,COLUMN('[2]TBG G Cuenta'!AD207),FALSE),0)</f>
        <v>60979.159</v>
      </c>
      <c r="AH41" s="124"/>
      <c r="AI41" s="124"/>
      <c r="AJ41" s="124"/>
      <c r="AK41" s="124"/>
      <c r="AL41" s="124"/>
      <c r="AM41" s="124"/>
      <c r="AN41" s="124"/>
      <c r="AO41" s="124"/>
      <c r="AP41" s="124"/>
      <c r="AQ41" s="125">
        <f t="shared" si="23"/>
        <v>182937.47700000001</v>
      </c>
    </row>
    <row r="42" spans="1:43" ht="12.5" outlineLevel="1" x14ac:dyDescent="0.25">
      <c r="B42" s="2" t="str">
        <f t="shared" si="6"/>
        <v>PAN5225</v>
      </c>
      <c r="C42" s="101">
        <v>5225</v>
      </c>
      <c r="D42" s="123" t="s">
        <v>113</v>
      </c>
      <c r="E42" s="124">
        <f>IFERROR(VLOOKUP($B42,'[2]TBG G Cuenta'!$A$6:$AA$1000,COLUMN('[2]TBG G Cuenta'!B194),FALSE),0)</f>
        <v>0</v>
      </c>
      <c r="F42" s="124">
        <f>IFERROR(VLOOKUP($B42,'[2]TBG G Cuenta'!$A$6:$AA$1000,COLUMN('[2]TBG G Cuenta'!C194),FALSE),0)</f>
        <v>0</v>
      </c>
      <c r="G42" s="124">
        <f>IFERROR(VLOOKUP($B42,'[2]TBG G Cuenta'!$A$6:$AA$1000,COLUMN('[2]TBG G Cuenta'!D194),FALSE),0)</f>
        <v>0</v>
      </c>
      <c r="H42" s="124">
        <f>IFERROR(VLOOKUP($B42,'[2]TBG G Cuenta'!$A$6:$AA$1000,COLUMN('[2]TBG G Cuenta'!E194),FALSE),0)</f>
        <v>0</v>
      </c>
      <c r="I42" s="124">
        <f>IFERROR(VLOOKUP($B42,'[2]TBG G Cuenta'!$A$6:$AA$1000,COLUMN('[2]TBG G Cuenta'!F194),FALSE),0)</f>
        <v>0</v>
      </c>
      <c r="J42" s="124">
        <f>IFERROR(VLOOKUP($B42,'[2]TBG G Cuenta'!$A$6:$AA$1000,COLUMN('[2]TBG G Cuenta'!G194),FALSE),0)</f>
        <v>0</v>
      </c>
      <c r="K42" s="124">
        <f>IFERROR(VLOOKUP($B42,'[2]TBG G Cuenta'!$A$6:$AA$1000,COLUMN('[2]TBG G Cuenta'!H194),FALSE),0)</f>
        <v>0</v>
      </c>
      <c r="L42" s="124">
        <f>IFERROR(VLOOKUP($B42,'[2]TBG G Cuenta'!$A$6:$AA$1000,COLUMN('[2]TBG G Cuenta'!I194),FALSE),0)</f>
        <v>0</v>
      </c>
      <c r="M42" s="124">
        <f>IFERROR(VLOOKUP($B42,'[2]TBG G Cuenta'!$A$6:$AA$1000,COLUMN('[2]TBG G Cuenta'!J194),FALSE),0)</f>
        <v>0</v>
      </c>
      <c r="N42" s="124">
        <f>IFERROR(VLOOKUP($B42,'[2]TBG G Cuenta'!$A$6:$AA$1000,COLUMN('[2]TBG G Cuenta'!K194),FALSE),0)</f>
        <v>0</v>
      </c>
      <c r="O42" s="124">
        <f>IFERROR(VLOOKUP($B42,'[2]TBG G Cuenta'!$A$6:$AA$1000,COLUMN('[2]TBG G Cuenta'!L194),FALSE),0)</f>
        <v>0</v>
      </c>
      <c r="P42" s="124">
        <f>IFERROR(VLOOKUP($B42,'[2]TBG G Cuenta'!$A$6:$AA$1000,COLUMN('[2]TBG G Cuenta'!M194),FALSE),0)</f>
        <v>0</v>
      </c>
      <c r="Q42" s="125">
        <f t="shared" si="21"/>
        <v>0</v>
      </c>
      <c r="R42" s="124">
        <f>IFERROR(VLOOKUP($B42,'[2]TBG G Cuenta'!$A$6:$AA$1000,COLUMN('[2]TBG G Cuenta'!O208),FALSE),0)</f>
        <v>0</v>
      </c>
      <c r="S42" s="124">
        <f>IFERROR(VLOOKUP($B42,'[2]TBG G Cuenta'!$A$6:$AA$1000,COLUMN('[2]TBG G Cuenta'!P208),FALSE),0)</f>
        <v>0</v>
      </c>
      <c r="T42" s="124">
        <f>IFERROR(VLOOKUP($B42,'[2]TBG G Cuenta'!$A$6:$AA$1000,COLUMN('[2]TBG G Cuenta'!Q208),FALSE),0)</f>
        <v>0</v>
      </c>
      <c r="U42" s="124">
        <f>IFERROR(VLOOKUP($B42,'[2]TBG G Cuenta'!$A$6:$AA$1000,COLUMN('[2]TBG G Cuenta'!R208),FALSE),0)</f>
        <v>0</v>
      </c>
      <c r="V42" s="124">
        <f>IFERROR(VLOOKUP($B42,'[2]TBG G Cuenta'!$A$6:$AA$1000,COLUMN('[2]TBG G Cuenta'!S208),FALSE),0)</f>
        <v>0</v>
      </c>
      <c r="W42" s="124">
        <f>IFERROR(VLOOKUP($B42,'[2]TBG G Cuenta'!$A$6:$AA$1000,COLUMN('[2]TBG G Cuenta'!T208),FALSE),0)</f>
        <v>0</v>
      </c>
      <c r="X42" s="124">
        <f>IFERROR(VLOOKUP($B42,'[2]TBG G Cuenta'!$A$6:$AA$1000,COLUMN('[2]TBG G Cuenta'!U208),FALSE),0)</f>
        <v>0</v>
      </c>
      <c r="Y42" s="124">
        <f>IFERROR(VLOOKUP($B42,'[2]TBG G Cuenta'!$A$6:$AA$1000,COLUMN('[2]TBG G Cuenta'!V208),FALSE),0)</f>
        <v>0</v>
      </c>
      <c r="Z42" s="124">
        <f>IFERROR(VLOOKUP($B42,'[2]TBG G Cuenta'!$A$6:$AA$1000,COLUMN('[2]TBG G Cuenta'!W208),FALSE),0)</f>
        <v>0</v>
      </c>
      <c r="AA42" s="124">
        <f>IFERROR(VLOOKUP($B42,'[2]TBG G Cuenta'!$A$6:$AA$1000,COLUMN('[2]TBG G Cuenta'!X208),FALSE),0)</f>
        <v>0</v>
      </c>
      <c r="AB42" s="124"/>
      <c r="AC42" s="124"/>
      <c r="AD42" s="125">
        <f t="shared" si="18"/>
        <v>0</v>
      </c>
      <c r="AE42" s="124">
        <f>IFERROR(VLOOKUP($B42,'[2]TBG G Cuenta'!$A$6:$AZ$1000,COLUMN('[2]TBG G Cuenta'!AB208),FALSE),0)</f>
        <v>0</v>
      </c>
      <c r="AF42" s="124">
        <f>IFERROR(VLOOKUP($B42,'[2]TBG G Cuenta'!$A$6:$AZ$1000,COLUMN('[2]TBG G Cuenta'!AC208),FALSE),0)</f>
        <v>0</v>
      </c>
      <c r="AG42" s="124">
        <f>IFERROR(VLOOKUP($B42,'[2]TBG G Cuenta'!$A$6:$AZ$1000,COLUMN('[2]TBG G Cuenta'!AD208),FALSE),0)</f>
        <v>0</v>
      </c>
      <c r="AH42" s="124"/>
      <c r="AI42" s="124"/>
      <c r="AJ42" s="124"/>
      <c r="AK42" s="124"/>
      <c r="AL42" s="124"/>
      <c r="AM42" s="124"/>
      <c r="AN42" s="124"/>
      <c r="AO42" s="124"/>
      <c r="AP42" s="124"/>
      <c r="AQ42" s="125">
        <f t="shared" si="23"/>
        <v>0</v>
      </c>
    </row>
    <row r="43" spans="1:43" ht="12.5" outlineLevel="1" x14ac:dyDescent="0.25">
      <c r="B43" s="2" t="str">
        <f t="shared" si="6"/>
        <v>PAN5230</v>
      </c>
      <c r="C43" s="101">
        <v>5230</v>
      </c>
      <c r="D43" s="123" t="s">
        <v>114</v>
      </c>
      <c r="E43" s="124">
        <f>IFERROR(VLOOKUP($B43,'[2]TBG G Cuenta'!$A$6:$AA$1000,COLUMN('[2]TBG G Cuenta'!B195),FALSE),0)</f>
        <v>0</v>
      </c>
      <c r="F43" s="124">
        <f>IFERROR(VLOOKUP($B43,'[2]TBG G Cuenta'!$A$6:$AA$1000,COLUMN('[2]TBG G Cuenta'!C195),FALSE),0)</f>
        <v>0</v>
      </c>
      <c r="G43" s="124">
        <f>IFERROR(VLOOKUP($B43,'[2]TBG G Cuenta'!$A$6:$AA$1000,COLUMN('[2]TBG G Cuenta'!D195),FALSE),0)</f>
        <v>0</v>
      </c>
      <c r="H43" s="124">
        <f>IFERROR(VLOOKUP($B43,'[2]TBG G Cuenta'!$A$6:$AA$1000,COLUMN('[2]TBG G Cuenta'!E195),FALSE),0)</f>
        <v>0</v>
      </c>
      <c r="I43" s="124">
        <f>IFERROR(VLOOKUP($B43,'[2]TBG G Cuenta'!$A$6:$AA$1000,COLUMN('[2]TBG G Cuenta'!F195),FALSE),0)</f>
        <v>0</v>
      </c>
      <c r="J43" s="124">
        <f>IFERROR(VLOOKUP($B43,'[2]TBG G Cuenta'!$A$6:$AA$1000,COLUMN('[2]TBG G Cuenta'!G195),FALSE),0)</f>
        <v>0</v>
      </c>
      <c r="K43" s="124">
        <f>IFERROR(VLOOKUP($B43,'[2]TBG G Cuenta'!$A$6:$AA$1000,COLUMN('[2]TBG G Cuenta'!H195),FALSE),0)</f>
        <v>0</v>
      </c>
      <c r="L43" s="124">
        <f>IFERROR(VLOOKUP($B43,'[2]TBG G Cuenta'!$A$6:$AA$1000,COLUMN('[2]TBG G Cuenta'!I195),FALSE),0)</f>
        <v>0</v>
      </c>
      <c r="M43" s="124">
        <f>IFERROR(VLOOKUP($B43,'[2]TBG G Cuenta'!$A$6:$AA$1000,COLUMN('[2]TBG G Cuenta'!J195),FALSE),0)</f>
        <v>0</v>
      </c>
      <c r="N43" s="124">
        <f>IFERROR(VLOOKUP($B43,'[2]TBG G Cuenta'!$A$6:$AA$1000,COLUMN('[2]TBG G Cuenta'!K195),FALSE),0)</f>
        <v>0</v>
      </c>
      <c r="O43" s="124">
        <f>IFERROR(VLOOKUP($B43,'[2]TBG G Cuenta'!$A$6:$AA$1000,COLUMN('[2]TBG G Cuenta'!L195),FALSE),0)</f>
        <v>0</v>
      </c>
      <c r="P43" s="124">
        <f>IFERROR(VLOOKUP($B43,'[2]TBG G Cuenta'!$A$6:$AA$1000,COLUMN('[2]TBG G Cuenta'!M195),FALSE),0)</f>
        <v>0</v>
      </c>
      <c r="Q43" s="125">
        <f t="shared" si="21"/>
        <v>0</v>
      </c>
      <c r="R43" s="124">
        <f>IFERROR(VLOOKUP($B43,'[2]TBG G Cuenta'!$A$6:$AA$1000,COLUMN('[2]TBG G Cuenta'!O209),FALSE),0)</f>
        <v>1757.7619999999999</v>
      </c>
      <c r="S43" s="124">
        <f>IFERROR(VLOOKUP($B43,'[2]TBG G Cuenta'!$A$6:$AA$1000,COLUMN('[2]TBG G Cuenta'!P209),FALSE),0)</f>
        <v>562.91999999999996</v>
      </c>
      <c r="T43" s="124">
        <f>IFERROR(VLOOKUP($B43,'[2]TBG G Cuenta'!$A$6:$AA$1000,COLUMN('[2]TBG G Cuenta'!Q209),FALSE),0)</f>
        <v>562.91999999999996</v>
      </c>
      <c r="U43" s="124">
        <f>IFERROR(VLOOKUP($B43,'[2]TBG G Cuenta'!$A$6:$AA$1000,COLUMN('[2]TBG G Cuenta'!R209),FALSE),0)</f>
        <v>562.91999999999996</v>
      </c>
      <c r="V43" s="124">
        <f>IFERROR(VLOOKUP($B43,'[2]TBG G Cuenta'!$A$6:$AA$1000,COLUMN('[2]TBG G Cuenta'!S209),FALSE),0)</f>
        <v>562.91999999999996</v>
      </c>
      <c r="W43" s="124">
        <f>IFERROR(VLOOKUP($B43,'[2]TBG G Cuenta'!$A$6:$AA$1000,COLUMN('[2]TBG G Cuenta'!T209),FALSE),0)</f>
        <v>562.91999999999996</v>
      </c>
      <c r="X43" s="124">
        <f>IFERROR(VLOOKUP($B43,'[2]TBG G Cuenta'!$A$6:$AA$1000,COLUMN('[2]TBG G Cuenta'!U209),FALSE),0)</f>
        <v>562.91999999999996</v>
      </c>
      <c r="Y43" s="124">
        <f>IFERROR(VLOOKUP($B43,'[2]TBG G Cuenta'!$A$6:$AA$1000,COLUMN('[2]TBG G Cuenta'!V209),FALSE),0)</f>
        <v>646.61400000000003</v>
      </c>
      <c r="Z43" s="124">
        <f>IFERROR(VLOOKUP($B43,'[2]TBG G Cuenta'!$A$6:$AA$1000,COLUMN('[2]TBG G Cuenta'!W209),FALSE),0)</f>
        <v>577.798</v>
      </c>
      <c r="AA43" s="124">
        <f>IFERROR(VLOOKUP($B43,'[2]TBG G Cuenta'!$A$6:$AA$1000,COLUMN('[2]TBG G Cuenta'!X209),FALSE),0)</f>
        <v>562.94899999999996</v>
      </c>
      <c r="AB43" s="124">
        <f>IFERROR(VLOOKUP($B43,'[2]TBG G Cuenta'!$A$6:$AA$1000,COLUMN('[2]TBG G Cuenta'!Y209),FALSE),0)</f>
        <v>1588.1479999999999</v>
      </c>
      <c r="AC43" s="124">
        <f>IFERROR(VLOOKUP($B43,'[2]TBG G Cuenta'!$A$6:$AA$1000,COLUMN('[2]TBG G Cuenta'!Z209),FALSE),0)</f>
        <v>1262.67534</v>
      </c>
      <c r="AD43" s="125">
        <f t="shared" si="18"/>
        <v>9773.466339999999</v>
      </c>
      <c r="AE43" s="124">
        <f>IFERROR(VLOOKUP($B43,'[2]TBG G Cuenta'!$A$6:$AZ$1000,COLUMN('[2]TBG G Cuenta'!AB209),FALSE),0)</f>
        <v>619.88300000000004</v>
      </c>
      <c r="AF43" s="124">
        <f>IFERROR(VLOOKUP($B43,'[2]TBG G Cuenta'!$A$6:$AZ$1000,COLUMN('[2]TBG G Cuenta'!AC209),FALSE),0)</f>
        <v>619.88300000000004</v>
      </c>
      <c r="AG43" s="124">
        <f>IFERROR(VLOOKUP($B43,'[2]TBG G Cuenta'!$A$6:$AZ$1000,COLUMN('[2]TBG G Cuenta'!AD209),FALSE),0)</f>
        <v>619.88300000000004</v>
      </c>
      <c r="AH43" s="124"/>
      <c r="AI43" s="124"/>
      <c r="AJ43" s="124"/>
      <c r="AK43" s="124"/>
      <c r="AL43" s="124"/>
      <c r="AM43" s="124"/>
      <c r="AN43" s="124"/>
      <c r="AO43" s="124"/>
      <c r="AP43" s="124"/>
      <c r="AQ43" s="125">
        <f t="shared" si="23"/>
        <v>1859.6490000000001</v>
      </c>
    </row>
    <row r="44" spans="1:43" ht="12.5" outlineLevel="1" x14ac:dyDescent="0.25">
      <c r="B44" s="2" t="str">
        <f t="shared" si="6"/>
        <v>PAN5235</v>
      </c>
      <c r="C44" s="101">
        <v>5235</v>
      </c>
      <c r="D44" s="123" t="s">
        <v>115</v>
      </c>
      <c r="E44" s="124">
        <f>IFERROR(VLOOKUP($B44,'[2]TBG G Cuenta'!$A$6:$AA$1000,COLUMN('[2]TBG G Cuenta'!B196),FALSE),0)</f>
        <v>0</v>
      </c>
      <c r="F44" s="124">
        <f>IFERROR(VLOOKUP($B44,'[2]TBG G Cuenta'!$A$6:$AA$1000,COLUMN('[2]TBG G Cuenta'!C196),FALSE),0)</f>
        <v>0</v>
      </c>
      <c r="G44" s="124">
        <f>IFERROR(VLOOKUP($B44,'[2]TBG G Cuenta'!$A$6:$AA$1000,COLUMN('[2]TBG G Cuenta'!D196),FALSE),0)</f>
        <v>0</v>
      </c>
      <c r="H44" s="124">
        <f>IFERROR(VLOOKUP($B44,'[2]TBG G Cuenta'!$A$6:$AA$1000,COLUMN('[2]TBG G Cuenta'!E196),FALSE),0)</f>
        <v>0</v>
      </c>
      <c r="I44" s="124">
        <f>IFERROR(VLOOKUP($B44,'[2]TBG G Cuenta'!$A$6:$AA$1000,COLUMN('[2]TBG G Cuenta'!F196),FALSE),0)</f>
        <v>0</v>
      </c>
      <c r="J44" s="124">
        <f>IFERROR(VLOOKUP($B44,'[2]TBG G Cuenta'!$A$6:$AA$1000,COLUMN('[2]TBG G Cuenta'!G196),FALSE),0)</f>
        <v>0</v>
      </c>
      <c r="K44" s="124">
        <f>IFERROR(VLOOKUP($B44,'[2]TBG G Cuenta'!$A$6:$AA$1000,COLUMN('[2]TBG G Cuenta'!H196),FALSE),0)</f>
        <v>0</v>
      </c>
      <c r="L44" s="124">
        <f>IFERROR(VLOOKUP($B44,'[2]TBG G Cuenta'!$A$6:$AA$1000,COLUMN('[2]TBG G Cuenta'!I196),FALSE),0)</f>
        <v>0</v>
      </c>
      <c r="M44" s="124">
        <f>IFERROR(VLOOKUP($B44,'[2]TBG G Cuenta'!$A$6:$AA$1000,COLUMN('[2]TBG G Cuenta'!J196),FALSE),0)</f>
        <v>0</v>
      </c>
      <c r="N44" s="124">
        <f>IFERROR(VLOOKUP($B44,'[2]TBG G Cuenta'!$A$6:$AA$1000,COLUMN('[2]TBG G Cuenta'!K196),FALSE),0)</f>
        <v>0</v>
      </c>
      <c r="O44" s="124">
        <f>IFERROR(VLOOKUP($B44,'[2]TBG G Cuenta'!$A$6:$AA$1000,COLUMN('[2]TBG G Cuenta'!L196),FALSE),0)</f>
        <v>360</v>
      </c>
      <c r="P44" s="124">
        <f>IFERROR(VLOOKUP($B44,'[2]TBG G Cuenta'!$A$6:$AA$1000,COLUMN('[2]TBG G Cuenta'!M196),FALSE),0)</f>
        <v>18000</v>
      </c>
      <c r="Q44" s="125">
        <f>SUM(E44:P44)</f>
        <v>18360</v>
      </c>
      <c r="R44" s="124">
        <f>IFERROR(VLOOKUP($B44,'[2]TBG G Cuenta'!$A$6:$AA$1000,COLUMN('[2]TBG G Cuenta'!O210),FALSE),0)</f>
        <v>50184.228840000003</v>
      </c>
      <c r="S44" s="124">
        <f>IFERROR(VLOOKUP($B44,'[2]TBG G Cuenta'!$A$6:$AA$1000,COLUMN('[2]TBG G Cuenta'!P210),FALSE),0)</f>
        <v>49947.177840000004</v>
      </c>
      <c r="T44" s="124">
        <f>IFERROR(VLOOKUP($B44,'[2]TBG G Cuenta'!$A$6:$AA$1000,COLUMN('[2]TBG G Cuenta'!Q210),FALSE),0)</f>
        <v>55891.107000000004</v>
      </c>
      <c r="U44" s="124">
        <f>IFERROR(VLOOKUP($B44,'[2]TBG G Cuenta'!$A$6:$AA$1000,COLUMN('[2]TBG G Cuenta'!R210),FALSE),0)</f>
        <v>59297.578999999998</v>
      </c>
      <c r="V44" s="124">
        <f>IFERROR(VLOOKUP($B44,'[2]TBG G Cuenta'!$A$6:$AA$1000,COLUMN('[2]TBG G Cuenta'!S210),FALSE),0)</f>
        <v>64952.860999999997</v>
      </c>
      <c r="W44" s="124">
        <f>IFERROR(VLOOKUP($B44,'[2]TBG G Cuenta'!$A$6:$AA$1000,COLUMN('[2]TBG G Cuenta'!T210),FALSE),0)</f>
        <v>64197.421999999999</v>
      </c>
      <c r="X44" s="124">
        <f>IFERROR(VLOOKUP($B44,'[2]TBG G Cuenta'!$A$6:$AA$1000,COLUMN('[2]TBG G Cuenta'!U210),FALSE),0)</f>
        <v>56852.050999999999</v>
      </c>
      <c r="Y44" s="124">
        <f>IFERROR(VLOOKUP($B44,'[2]TBG G Cuenta'!$A$6:$AA$1000,COLUMN('[2]TBG G Cuenta'!V210),FALSE),0)</f>
        <v>69191.259000000005</v>
      </c>
      <c r="Z44" s="124">
        <f>IFERROR(VLOOKUP($B44,'[2]TBG G Cuenta'!$A$6:$AA$1000,COLUMN('[2]TBG G Cuenta'!W210),FALSE),0)</f>
        <v>60369.214999999997</v>
      </c>
      <c r="AA44" s="124">
        <f>IFERROR(VLOOKUP($B44,'[2]TBG G Cuenta'!$A$6:$AA$1000,COLUMN('[2]TBG G Cuenta'!X210),FALSE),0)</f>
        <v>65897.581139999995</v>
      </c>
      <c r="AB44" s="124">
        <f>IFERROR(VLOOKUP($B44,'[2]TBG G Cuenta'!$A$6:$AA$1000,COLUMN('[2]TBG G Cuenta'!Y210),FALSE),0)</f>
        <v>71519.745110000003</v>
      </c>
      <c r="AC44" s="124">
        <f>IFERROR(VLOOKUP($B44,'[2]TBG G Cuenta'!$A$6:$AA$1000,COLUMN('[2]TBG G Cuenta'!Z210),FALSE),0)</f>
        <v>66827.178060000006</v>
      </c>
      <c r="AD44" s="125">
        <f t="shared" si="18"/>
        <v>735127.40499000018</v>
      </c>
      <c r="AE44" s="124">
        <f>IFERROR(VLOOKUP($B44,'[2]TBG G Cuenta'!$A$6:$AZ$1000,COLUMN('[2]TBG G Cuenta'!AB210),FALSE),0)</f>
        <v>73565.16459</v>
      </c>
      <c r="AF44" s="124">
        <f>IFERROR(VLOOKUP($B44,'[2]TBG G Cuenta'!$A$6:$AZ$1000,COLUMN('[2]TBG G Cuenta'!AC210),FALSE),0)</f>
        <v>77349.294590000005</v>
      </c>
      <c r="AG44" s="124">
        <f>IFERROR(VLOOKUP($B44,'[2]TBG G Cuenta'!$A$6:$AZ$1000,COLUMN('[2]TBG G Cuenta'!AD210),FALSE),0)</f>
        <v>53934.438009999998</v>
      </c>
      <c r="AH44" s="124"/>
      <c r="AI44" s="124"/>
      <c r="AJ44" s="124"/>
      <c r="AK44" s="124"/>
      <c r="AL44" s="124"/>
      <c r="AM44" s="124"/>
      <c r="AN44" s="124"/>
      <c r="AO44" s="124"/>
      <c r="AP44" s="124"/>
      <c r="AQ44" s="125">
        <f t="shared" si="23"/>
        <v>204848.89718999999</v>
      </c>
    </row>
    <row r="45" spans="1:43" ht="12.5" outlineLevel="1" x14ac:dyDescent="0.25">
      <c r="B45" s="2" t="str">
        <f t="shared" si="6"/>
        <v>PAN5245</v>
      </c>
      <c r="C45" s="101">
        <v>5245</v>
      </c>
      <c r="D45" s="123" t="s">
        <v>117</v>
      </c>
      <c r="E45" s="124">
        <f>IFERROR(VLOOKUP($B45,'[2]TBG G Cuenta'!$A$6:$AA$1000,COLUMN('[2]TBG G Cuenta'!B197),FALSE),0)</f>
        <v>0</v>
      </c>
      <c r="F45" s="124">
        <f>IFERROR(VLOOKUP($B45,'[2]TBG G Cuenta'!$A$6:$AA$1000,COLUMN('[2]TBG G Cuenta'!C197),FALSE),0)</f>
        <v>0</v>
      </c>
      <c r="G45" s="124">
        <f>IFERROR(VLOOKUP($B45,'[2]TBG G Cuenta'!$A$6:$AA$1000,COLUMN('[2]TBG G Cuenta'!D197),FALSE),0)</f>
        <v>0</v>
      </c>
      <c r="H45" s="124">
        <f>IFERROR(VLOOKUP($B45,'[2]TBG G Cuenta'!$A$6:$AA$1000,COLUMN('[2]TBG G Cuenta'!E197),FALSE),0)</f>
        <v>0</v>
      </c>
      <c r="I45" s="124">
        <f>IFERROR(VLOOKUP($B45,'[2]TBG G Cuenta'!$A$6:$AA$1000,COLUMN('[2]TBG G Cuenta'!F197),FALSE),0)</f>
        <v>0</v>
      </c>
      <c r="J45" s="124">
        <f>IFERROR(VLOOKUP($B45,'[2]TBG G Cuenta'!$A$6:$AA$1000,COLUMN('[2]TBG G Cuenta'!G197),FALSE),0)</f>
        <v>0</v>
      </c>
      <c r="K45" s="124">
        <f>IFERROR(VLOOKUP($B45,'[2]TBG G Cuenta'!$A$6:$AA$1000,COLUMN('[2]TBG G Cuenta'!H197),FALSE),0)</f>
        <v>0</v>
      </c>
      <c r="L45" s="124">
        <f>IFERROR(VLOOKUP($B45,'[2]TBG G Cuenta'!$A$6:$AA$1000,COLUMN('[2]TBG G Cuenta'!I197),FALSE),0)</f>
        <v>0</v>
      </c>
      <c r="M45" s="124">
        <f>IFERROR(VLOOKUP($B45,'[2]TBG G Cuenta'!$A$6:$AA$1000,COLUMN('[2]TBG G Cuenta'!J197),FALSE),0)</f>
        <v>0</v>
      </c>
      <c r="N45" s="124">
        <f>IFERROR(VLOOKUP($B45,'[2]TBG G Cuenta'!$A$6:$AA$1000,COLUMN('[2]TBG G Cuenta'!K197),FALSE),0)</f>
        <v>0</v>
      </c>
      <c r="O45" s="124">
        <f>IFERROR(VLOOKUP($B45,'[2]TBG G Cuenta'!$A$6:$AA$1000,COLUMN('[2]TBG G Cuenta'!L197),FALSE),0)</f>
        <v>0</v>
      </c>
      <c r="P45" s="124">
        <f>IFERROR(VLOOKUP($B45,'[2]TBG G Cuenta'!$A$6:$AA$1000,COLUMN('[2]TBG G Cuenta'!M197),FALSE),0)</f>
        <v>0</v>
      </c>
      <c r="Q45" s="125">
        <f>SUM(E45:P45)</f>
        <v>0</v>
      </c>
      <c r="R45" s="124">
        <f>IFERROR(VLOOKUP($B45,'[2]TBG G Cuenta'!$A$6:$AA$1000,COLUMN('[2]TBG G Cuenta'!O211),FALSE),0)</f>
        <v>3291.0230000000001</v>
      </c>
      <c r="S45" s="124">
        <f>IFERROR(VLOOKUP($B45,'[2]TBG G Cuenta'!$A$6:$AA$1000,COLUMN('[2]TBG G Cuenta'!P211),FALSE),0)</f>
        <v>367.53500000000003</v>
      </c>
      <c r="T45" s="124">
        <f>IFERROR(VLOOKUP($B45,'[2]TBG G Cuenta'!$A$6:$AA$1000,COLUMN('[2]TBG G Cuenta'!Q211),FALSE),0)</f>
        <v>3683.0239999999999</v>
      </c>
      <c r="U45" s="124">
        <f>IFERROR(VLOOKUP($B45,'[2]TBG G Cuenta'!$A$6:$AA$1000,COLUMN('[2]TBG G Cuenta'!R211),FALSE),0)</f>
        <v>318.53500000000003</v>
      </c>
      <c r="V45" s="124">
        <f>IFERROR(VLOOKUP($B45,'[2]TBG G Cuenta'!$A$6:$AA$1000,COLUMN('[2]TBG G Cuenta'!S211),FALSE),0)</f>
        <v>3510.319</v>
      </c>
      <c r="W45" s="124">
        <f>IFERROR(VLOOKUP($B45,'[2]TBG G Cuenta'!$A$6:$AA$1000,COLUMN('[2]TBG G Cuenta'!T211),FALSE),0)</f>
        <v>3322.9760000000001</v>
      </c>
      <c r="X45" s="124">
        <f>IFERROR(VLOOKUP($B45,'[2]TBG G Cuenta'!$A$6:$AA$1000,COLUMN('[2]TBG G Cuenta'!U211),FALSE),0)</f>
        <v>1819.828</v>
      </c>
      <c r="Y45" s="124">
        <f>IFERROR(VLOOKUP($B45,'[2]TBG G Cuenta'!$A$6:$AA$1000,COLUMN('[2]TBG G Cuenta'!V211),FALSE),0)</f>
        <v>2279.7620000000002</v>
      </c>
      <c r="Z45" s="124">
        <f>IFERROR(VLOOKUP($B45,'[2]TBG G Cuenta'!$A$6:$AA$1000,COLUMN('[2]TBG G Cuenta'!W211),FALSE),0)</f>
        <v>2023.5017800000001</v>
      </c>
      <c r="AA45" s="124">
        <f>IFERROR(VLOOKUP($B45,'[2]TBG G Cuenta'!$A$6:$AA$1000,COLUMN('[2]TBG G Cuenta'!X211),FALSE),0)</f>
        <v>2148.6638599999997</v>
      </c>
      <c r="AB45" s="124">
        <f>IFERROR(VLOOKUP($B45,'[2]TBG G Cuenta'!$A$6:$AA$1000,COLUMN('[2]TBG G Cuenta'!Y211),FALSE),0)</f>
        <v>2133.587</v>
      </c>
      <c r="AC45" s="124">
        <f>IFERROR(VLOOKUP($B45,'[2]TBG G Cuenta'!$A$6:$AA$1000,COLUMN('[2]TBG G Cuenta'!Z211),FALSE),0)</f>
        <v>2202.7550000000001</v>
      </c>
      <c r="AD45" s="125">
        <f t="shared" si="18"/>
        <v>27101.50964</v>
      </c>
      <c r="AE45" s="124">
        <f>IFERROR(VLOOKUP($B45,'[2]TBG G Cuenta'!$A$6:$AZ$1000,COLUMN('[2]TBG G Cuenta'!AB211),FALSE),0)</f>
        <v>2074.4639999999999</v>
      </c>
      <c r="AF45" s="124">
        <f>IFERROR(VLOOKUP($B45,'[2]TBG G Cuenta'!$A$6:$AZ$1000,COLUMN('[2]TBG G Cuenta'!AC211),FALSE),0)</f>
        <v>3997.1148900000003</v>
      </c>
      <c r="AG45" s="124">
        <f>IFERROR(VLOOKUP($B45,'[2]TBG G Cuenta'!$A$6:$AZ$1000,COLUMN('[2]TBG G Cuenta'!AD211),FALSE),0)</f>
        <v>3354.9276600000003</v>
      </c>
      <c r="AH45" s="124"/>
      <c r="AI45" s="124"/>
      <c r="AJ45" s="124"/>
      <c r="AK45" s="124"/>
      <c r="AL45" s="124"/>
      <c r="AM45" s="124"/>
      <c r="AN45" s="124"/>
      <c r="AO45" s="124"/>
      <c r="AP45" s="124"/>
      <c r="AQ45" s="125">
        <f t="shared" si="23"/>
        <v>9426.5065500000019</v>
      </c>
    </row>
    <row r="46" spans="1:43" ht="12.5" outlineLevel="1" x14ac:dyDescent="0.25">
      <c r="B46" s="2" t="str">
        <f t="shared" si="6"/>
        <v>PAN5250</v>
      </c>
      <c r="C46" s="101">
        <v>5250</v>
      </c>
      <c r="D46" s="123" t="s">
        <v>118</v>
      </c>
      <c r="E46" s="124">
        <f>IFERROR(VLOOKUP($B46,'[2]TBG G Cuenta'!$A$6:$AA$1000,COLUMN('[2]TBG G Cuenta'!B198),FALSE),0)</f>
        <v>0</v>
      </c>
      <c r="F46" s="124">
        <f>IFERROR(VLOOKUP($B46,'[2]TBG G Cuenta'!$A$6:$AA$1000,COLUMN('[2]TBG G Cuenta'!C198),FALSE),0)</f>
        <v>0</v>
      </c>
      <c r="G46" s="124">
        <f>IFERROR(VLOOKUP($B46,'[2]TBG G Cuenta'!$A$6:$AA$1000,COLUMN('[2]TBG G Cuenta'!D198),FALSE),0)</f>
        <v>0</v>
      </c>
      <c r="H46" s="124">
        <f>IFERROR(VLOOKUP($B46,'[2]TBG G Cuenta'!$A$6:$AA$1000,COLUMN('[2]TBG G Cuenta'!E198),FALSE),0)</f>
        <v>0</v>
      </c>
      <c r="I46" s="124">
        <f>IFERROR(VLOOKUP($B46,'[2]TBG G Cuenta'!$A$6:$AA$1000,COLUMN('[2]TBG G Cuenta'!F198),FALSE),0)</f>
        <v>0</v>
      </c>
      <c r="J46" s="124">
        <f>IFERROR(VLOOKUP($B46,'[2]TBG G Cuenta'!$A$6:$AA$1000,COLUMN('[2]TBG G Cuenta'!G198),FALSE),0)</f>
        <v>0</v>
      </c>
      <c r="K46" s="124">
        <f>IFERROR(VLOOKUP($B46,'[2]TBG G Cuenta'!$A$6:$AA$1000,COLUMN('[2]TBG G Cuenta'!H198),FALSE),0)</f>
        <v>0</v>
      </c>
      <c r="L46" s="124">
        <f>IFERROR(VLOOKUP($B46,'[2]TBG G Cuenta'!$A$6:$AA$1000,COLUMN('[2]TBG G Cuenta'!I198),FALSE),0)</f>
        <v>0</v>
      </c>
      <c r="M46" s="124">
        <f>IFERROR(VLOOKUP($B46,'[2]TBG G Cuenta'!$A$6:$AA$1000,COLUMN('[2]TBG G Cuenta'!J198),FALSE),0)</f>
        <v>0</v>
      </c>
      <c r="N46" s="124">
        <f>IFERROR(VLOOKUP($B46,'[2]TBG G Cuenta'!$A$6:$AA$1000,COLUMN('[2]TBG G Cuenta'!K198),FALSE),0)</f>
        <v>0</v>
      </c>
      <c r="O46" s="124">
        <f>IFERROR(VLOOKUP($B46,'[2]TBG G Cuenta'!$A$6:$AA$1000,COLUMN('[2]TBG G Cuenta'!L198),FALSE),0)</f>
        <v>0</v>
      </c>
      <c r="P46" s="124">
        <f>IFERROR(VLOOKUP($B46,'[2]TBG G Cuenta'!$A$6:$AA$1000,COLUMN('[2]TBG G Cuenta'!M198),FALSE),0)</f>
        <v>0</v>
      </c>
      <c r="Q46" s="125">
        <f t="shared" si="21"/>
        <v>0</v>
      </c>
      <c r="R46" s="124">
        <f>IFERROR(VLOOKUP($B46,'[2]TBG G Cuenta'!$A$6:$AA$1000,COLUMN('[2]TBG G Cuenta'!O212),FALSE),0)</f>
        <v>0</v>
      </c>
      <c r="S46" s="124">
        <f>IFERROR(VLOOKUP($B46,'[2]TBG G Cuenta'!$A$6:$AA$1000,COLUMN('[2]TBG G Cuenta'!P212),FALSE),0)</f>
        <v>0</v>
      </c>
      <c r="T46" s="124">
        <f>IFERROR(VLOOKUP($B46,'[2]TBG G Cuenta'!$A$6:$AA$1000,COLUMN('[2]TBG G Cuenta'!Q212),FALSE),0)</f>
        <v>0</v>
      </c>
      <c r="U46" s="124">
        <f>IFERROR(VLOOKUP($B46,'[2]TBG G Cuenta'!$A$6:$AA$1000,COLUMN('[2]TBG G Cuenta'!R212),FALSE),0)</f>
        <v>0</v>
      </c>
      <c r="V46" s="124">
        <f>IFERROR(VLOOKUP($B46,'[2]TBG G Cuenta'!$A$6:$AA$1000,COLUMN('[2]TBG G Cuenta'!S212),FALSE),0)</f>
        <v>0</v>
      </c>
      <c r="W46" s="124">
        <f>IFERROR(VLOOKUP($B46,'[2]TBG G Cuenta'!$A$6:$AA$1000,COLUMN('[2]TBG G Cuenta'!T212),FALSE),0)</f>
        <v>0</v>
      </c>
      <c r="X46" s="124">
        <f>IFERROR(VLOOKUP($B46,'[2]TBG G Cuenta'!$A$6:$AA$1000,COLUMN('[2]TBG G Cuenta'!U212),FALSE),0)</f>
        <v>16346</v>
      </c>
      <c r="Y46" s="124">
        <f>IFERROR(VLOOKUP($B46,'[2]TBG G Cuenta'!$A$6:$AA$1000,COLUMN('[2]TBG G Cuenta'!V212),FALSE),0)</f>
        <v>0</v>
      </c>
      <c r="Z46" s="124">
        <f>IFERROR(VLOOKUP($B46,'[2]TBG G Cuenta'!$A$6:$AA$1000,COLUMN('[2]TBG G Cuenta'!W212),FALSE),0)</f>
        <v>0</v>
      </c>
      <c r="AA46" s="124">
        <f>IFERROR(VLOOKUP($B46,'[2]TBG G Cuenta'!$A$6:$AA$1000,COLUMN('[2]TBG G Cuenta'!X212),FALSE),0)</f>
        <v>45.966389999999997</v>
      </c>
      <c r="AB46" s="124">
        <f>IFERROR(VLOOKUP($B46,'[2]TBG G Cuenta'!$A$6:$AA$1000,COLUMN('[2]TBG G Cuenta'!Y212),FALSE),0)</f>
        <v>290</v>
      </c>
      <c r="AC46" s="124">
        <f>IFERROR(VLOOKUP($B46,'[2]TBG G Cuenta'!$A$6:$AA$1000,COLUMN('[2]TBG G Cuenta'!Z212),FALSE),0)</f>
        <v>0</v>
      </c>
      <c r="AD46" s="125">
        <f t="shared" si="18"/>
        <v>16681.966390000001</v>
      </c>
      <c r="AE46" s="124">
        <f>IFERROR(VLOOKUP($B46,'[2]TBG G Cuenta'!$A$6:$AZ$1000,COLUMN('[2]TBG G Cuenta'!AB212),FALSE),0)</f>
        <v>0</v>
      </c>
      <c r="AF46" s="124">
        <f>IFERROR(VLOOKUP($B46,'[2]TBG G Cuenta'!$A$6:$AZ$1000,COLUMN('[2]TBG G Cuenta'!AC212),FALSE),0)</f>
        <v>0</v>
      </c>
      <c r="AG46" s="124">
        <f>IFERROR(VLOOKUP($B46,'[2]TBG G Cuenta'!$A$6:$AZ$1000,COLUMN('[2]TBG G Cuenta'!AD212),FALSE),0)</f>
        <v>202.56</v>
      </c>
      <c r="AH46" s="124"/>
      <c r="AI46" s="124"/>
      <c r="AJ46" s="124"/>
      <c r="AK46" s="124"/>
      <c r="AL46" s="124"/>
      <c r="AM46" s="124"/>
      <c r="AN46" s="124"/>
      <c r="AO46" s="124"/>
      <c r="AP46" s="124"/>
      <c r="AQ46" s="125">
        <f t="shared" si="23"/>
        <v>202.56</v>
      </c>
    </row>
    <row r="47" spans="1:43" ht="12.5" outlineLevel="1" x14ac:dyDescent="0.25">
      <c r="B47" s="2" t="str">
        <f t="shared" si="6"/>
        <v>PAN5255</v>
      </c>
      <c r="C47" s="101">
        <v>5255</v>
      </c>
      <c r="D47" s="123" t="s">
        <v>119</v>
      </c>
      <c r="E47" s="124">
        <f>IFERROR(VLOOKUP($B47,'[2]TBG G Cuenta'!$A$6:$AA$1000,COLUMN('[2]TBG G Cuenta'!B199),FALSE),0)</f>
        <v>0</v>
      </c>
      <c r="F47" s="124">
        <f>IFERROR(VLOOKUP($B47,'[2]TBG G Cuenta'!$A$6:$AA$1000,COLUMN('[2]TBG G Cuenta'!C199),FALSE),0)</f>
        <v>0</v>
      </c>
      <c r="G47" s="124">
        <f>IFERROR(VLOOKUP($B47,'[2]TBG G Cuenta'!$A$6:$AA$1000,COLUMN('[2]TBG G Cuenta'!D199),FALSE),0)</f>
        <v>0</v>
      </c>
      <c r="H47" s="124">
        <f>IFERROR(VLOOKUP($B47,'[2]TBG G Cuenta'!$A$6:$AA$1000,COLUMN('[2]TBG G Cuenta'!E199),FALSE),0)</f>
        <v>0</v>
      </c>
      <c r="I47" s="124">
        <f>IFERROR(VLOOKUP($B47,'[2]TBG G Cuenta'!$A$6:$AA$1000,COLUMN('[2]TBG G Cuenta'!F199),FALSE),0)</f>
        <v>0</v>
      </c>
      <c r="J47" s="124">
        <f>IFERROR(VLOOKUP($B47,'[2]TBG G Cuenta'!$A$6:$AA$1000,COLUMN('[2]TBG G Cuenta'!G199),FALSE),0)</f>
        <v>0</v>
      </c>
      <c r="K47" s="124">
        <f>IFERROR(VLOOKUP($B47,'[2]TBG G Cuenta'!$A$6:$AA$1000,COLUMN('[2]TBG G Cuenta'!H199),FALSE),0)</f>
        <v>0</v>
      </c>
      <c r="L47" s="124">
        <f>IFERROR(VLOOKUP($B47,'[2]TBG G Cuenta'!$A$6:$AA$1000,COLUMN('[2]TBG G Cuenta'!I199),FALSE),0)</f>
        <v>0</v>
      </c>
      <c r="M47" s="124">
        <f>IFERROR(VLOOKUP($B47,'[2]TBG G Cuenta'!$A$6:$AA$1000,COLUMN('[2]TBG G Cuenta'!J199),FALSE),0)</f>
        <v>0</v>
      </c>
      <c r="N47" s="124">
        <f>IFERROR(VLOOKUP($B47,'[2]TBG G Cuenta'!$A$6:$AA$1000,COLUMN('[2]TBG G Cuenta'!K199),FALSE),0)</f>
        <v>0</v>
      </c>
      <c r="O47" s="124">
        <f>IFERROR(VLOOKUP($B47,'[2]TBG G Cuenta'!$A$6:$AA$1000,COLUMN('[2]TBG G Cuenta'!L199),FALSE),0)</f>
        <v>0</v>
      </c>
      <c r="P47" s="124">
        <f>IFERROR(VLOOKUP($B47,'[2]TBG G Cuenta'!$A$6:$AA$1000,COLUMN('[2]TBG G Cuenta'!M199),FALSE),0)</f>
        <v>0</v>
      </c>
      <c r="Q47" s="125">
        <f t="shared" si="21"/>
        <v>0</v>
      </c>
      <c r="R47" s="124">
        <f>IFERROR(VLOOKUP($B47,'[2]TBG G Cuenta'!$A$6:$AA$1000,COLUMN('[2]TBG G Cuenta'!O213),FALSE),0)</f>
        <v>0</v>
      </c>
      <c r="S47" s="124">
        <f>IFERROR(VLOOKUP($B47,'[2]TBG G Cuenta'!$A$6:$AA$1000,COLUMN('[2]TBG G Cuenta'!P213),FALSE),0)</f>
        <v>0</v>
      </c>
      <c r="T47" s="124">
        <f>IFERROR(VLOOKUP($B47,'[2]TBG G Cuenta'!$A$6:$AA$1000,COLUMN('[2]TBG G Cuenta'!Q213),FALSE),0)</f>
        <v>246.2</v>
      </c>
      <c r="U47" s="124">
        <f>IFERROR(VLOOKUP($B47,'[2]TBG G Cuenta'!$A$6:$AA$1000,COLUMN('[2]TBG G Cuenta'!R213),FALSE),0)</f>
        <v>0</v>
      </c>
      <c r="V47" s="124">
        <f>IFERROR(VLOOKUP($B47,'[2]TBG G Cuenta'!$A$6:$AA$1000,COLUMN('[2]TBG G Cuenta'!S213),FALSE),0)</f>
        <v>1673</v>
      </c>
      <c r="W47" s="124">
        <f>IFERROR(VLOOKUP($B47,'[2]TBG G Cuenta'!$A$6:$AA$1000,COLUMN('[2]TBG G Cuenta'!T213),FALSE),0)</f>
        <v>339.90100000000001</v>
      </c>
      <c r="X47" s="124">
        <f>IFERROR(VLOOKUP($B47,'[2]TBG G Cuenta'!$A$6:$AA$1000,COLUMN('[2]TBG G Cuenta'!U213),FALSE),0)</f>
        <v>0</v>
      </c>
      <c r="Y47" s="124">
        <f>IFERROR(VLOOKUP($B47,'[2]TBG G Cuenta'!$A$6:$AA$1000,COLUMN('[2]TBG G Cuenta'!V213),FALSE),0)</f>
        <v>0</v>
      </c>
      <c r="Z47" s="124">
        <f>IFERROR(VLOOKUP($B47,'[2]TBG G Cuenta'!$A$6:$AA$1000,COLUMN('[2]TBG G Cuenta'!W213),FALSE),0)</f>
        <v>2593.8821400000002</v>
      </c>
      <c r="AA47" s="124">
        <f>IFERROR(VLOOKUP($B47,'[2]TBG G Cuenta'!$A$6:$AA$1000,COLUMN('[2]TBG G Cuenta'!X213),FALSE),0)</f>
        <v>2509.5798399999999</v>
      </c>
      <c r="AB47" s="124">
        <f>IFERROR(VLOOKUP($B47,'[2]TBG G Cuenta'!$A$6:$AA$1000,COLUMN('[2]TBG G Cuenta'!Y213),FALSE),0)</f>
        <v>0</v>
      </c>
      <c r="AC47" s="124">
        <f>IFERROR(VLOOKUP($B47,'[2]TBG G Cuenta'!$A$6:$AA$1000,COLUMN('[2]TBG G Cuenta'!Z213),FALSE),0)</f>
        <v>-158.19999999999999</v>
      </c>
      <c r="AD47" s="125">
        <f t="shared" si="18"/>
        <v>7204.3629800000008</v>
      </c>
      <c r="AE47" s="124">
        <f>IFERROR(VLOOKUP($B47,'[2]TBG G Cuenta'!$A$6:$AZ$1000,COLUMN('[2]TBG G Cuenta'!AB213),FALSE),0)</f>
        <v>0</v>
      </c>
      <c r="AF47" s="124">
        <f>IFERROR(VLOOKUP($B47,'[2]TBG G Cuenta'!$A$6:$AZ$1000,COLUMN('[2]TBG G Cuenta'!AC213),FALSE),0)</f>
        <v>0</v>
      </c>
      <c r="AG47" s="124">
        <f>IFERROR(VLOOKUP($B47,'[2]TBG G Cuenta'!$A$6:$AZ$1000,COLUMN('[2]TBG G Cuenta'!AD213),FALSE),0)</f>
        <v>572.94111999999996</v>
      </c>
      <c r="AH47" s="124"/>
      <c r="AI47" s="124"/>
      <c r="AJ47" s="124"/>
      <c r="AK47" s="124"/>
      <c r="AL47" s="124"/>
      <c r="AM47" s="124"/>
      <c r="AN47" s="124"/>
      <c r="AO47" s="124"/>
      <c r="AP47" s="124"/>
      <c r="AQ47" s="125">
        <f t="shared" si="23"/>
        <v>572.94111999999996</v>
      </c>
    </row>
    <row r="48" spans="1:43" ht="12.5" outlineLevel="1" x14ac:dyDescent="0.25">
      <c r="B48" s="2" t="str">
        <f t="shared" si="6"/>
        <v>PAN5260</v>
      </c>
      <c r="C48" s="101">
        <v>5260</v>
      </c>
      <c r="D48" s="123" t="s">
        <v>120</v>
      </c>
      <c r="E48" s="124">
        <f>IFERROR(VLOOKUP($B48,'[2]TBG G Cuenta'!$A$6:$AA$1000,COLUMN('[2]TBG G Cuenta'!B200),FALSE),0)</f>
        <v>0</v>
      </c>
      <c r="F48" s="124">
        <f>IFERROR(VLOOKUP($B48,'[2]TBG G Cuenta'!$A$6:$AA$1000,COLUMN('[2]TBG G Cuenta'!C200),FALSE),0)</f>
        <v>0</v>
      </c>
      <c r="G48" s="124">
        <f>IFERROR(VLOOKUP($B48,'[2]TBG G Cuenta'!$A$6:$AA$1000,COLUMN('[2]TBG G Cuenta'!D200),FALSE),0)</f>
        <v>0</v>
      </c>
      <c r="H48" s="124">
        <f>IFERROR(VLOOKUP($B48,'[2]TBG G Cuenta'!$A$6:$AA$1000,COLUMN('[2]TBG G Cuenta'!E200),FALSE),0)</f>
        <v>0</v>
      </c>
      <c r="I48" s="124">
        <f>IFERROR(VLOOKUP($B48,'[2]TBG G Cuenta'!$A$6:$AA$1000,COLUMN('[2]TBG G Cuenta'!F200),FALSE),0)</f>
        <v>0</v>
      </c>
      <c r="J48" s="124">
        <f>IFERROR(VLOOKUP($B48,'[2]TBG G Cuenta'!$A$6:$AA$1000,COLUMN('[2]TBG G Cuenta'!G200),FALSE),0)</f>
        <v>0</v>
      </c>
      <c r="K48" s="124">
        <f>IFERROR(VLOOKUP($B48,'[2]TBG G Cuenta'!$A$6:$AA$1000,COLUMN('[2]TBG G Cuenta'!H200),FALSE),0)</f>
        <v>0</v>
      </c>
      <c r="L48" s="124">
        <f>IFERROR(VLOOKUP($B48,'[2]TBG G Cuenta'!$A$6:$AA$1000,COLUMN('[2]TBG G Cuenta'!I200),FALSE),0)</f>
        <v>0</v>
      </c>
      <c r="M48" s="124">
        <f>IFERROR(VLOOKUP($B48,'[2]TBG G Cuenta'!$A$6:$AA$1000,COLUMN('[2]TBG G Cuenta'!J200),FALSE),0)</f>
        <v>0</v>
      </c>
      <c r="N48" s="124">
        <f>IFERROR(VLOOKUP($B48,'[2]TBG G Cuenta'!$A$6:$AA$1000,COLUMN('[2]TBG G Cuenta'!K200),FALSE),0)</f>
        <v>0</v>
      </c>
      <c r="O48" s="124">
        <f>IFERROR(VLOOKUP($B48,'[2]TBG G Cuenta'!$A$6:$AA$1000,COLUMN('[2]TBG G Cuenta'!L200),FALSE),0)</f>
        <v>0</v>
      </c>
      <c r="P48" s="124">
        <f>IFERROR(VLOOKUP($B48,'[2]TBG G Cuenta'!$A$6:$AA$1000,COLUMN('[2]TBG G Cuenta'!M200),FALSE),0)</f>
        <v>0</v>
      </c>
      <c r="Q48" s="125">
        <f t="shared" si="21"/>
        <v>0</v>
      </c>
      <c r="R48" s="124">
        <f>IFERROR(VLOOKUP($B48,'[2]TBG G Cuenta'!$A$6:$AA$1000,COLUMN('[2]TBG G Cuenta'!O214),FALSE),0)</f>
        <v>0</v>
      </c>
      <c r="S48" s="124">
        <f>IFERROR(VLOOKUP($B48,'[2]TBG G Cuenta'!$A$6:$AA$1000,COLUMN('[2]TBG G Cuenta'!P214),FALSE),0)</f>
        <v>0</v>
      </c>
      <c r="T48" s="124">
        <f>IFERROR(VLOOKUP($B48,'[2]TBG G Cuenta'!$A$6:$AA$1000,COLUMN('[2]TBG G Cuenta'!Q214),FALSE),0)</f>
        <v>0</v>
      </c>
      <c r="U48" s="124">
        <f>IFERROR(VLOOKUP($B48,'[2]TBG G Cuenta'!$A$6:$AA$1000,COLUMN('[2]TBG G Cuenta'!R214),FALSE),0)</f>
        <v>0</v>
      </c>
      <c r="V48" s="124">
        <f>IFERROR(VLOOKUP($B48,'[2]TBG G Cuenta'!$A$6:$AA$1000,COLUMN('[2]TBG G Cuenta'!S214),FALSE),0)</f>
        <v>0</v>
      </c>
      <c r="W48" s="124">
        <f>IFERROR(VLOOKUP($B48,'[2]TBG G Cuenta'!$A$6:$AA$1000,COLUMN('[2]TBG G Cuenta'!T214),FALSE),0)</f>
        <v>0</v>
      </c>
      <c r="X48" s="124">
        <f>IFERROR(VLOOKUP($B48,'[2]TBG G Cuenta'!$A$6:$AA$1000,COLUMN('[2]TBG G Cuenta'!U214),FALSE),0)</f>
        <v>0</v>
      </c>
      <c r="Y48" s="124">
        <f>IFERROR(VLOOKUP($B48,'[2]TBG G Cuenta'!$A$6:$AA$1000,COLUMN('[2]TBG G Cuenta'!V214),FALSE),0)</f>
        <v>0</v>
      </c>
      <c r="Z48" s="124">
        <f>IFERROR(VLOOKUP($B48,'[2]TBG G Cuenta'!$A$6:$AA$1000,COLUMN('[2]TBG G Cuenta'!W214),FALSE),0)</f>
        <v>0</v>
      </c>
      <c r="AA48" s="124">
        <f>IFERROR(VLOOKUP($B48,'[2]TBG G Cuenta'!$A$6:$AA$1000,COLUMN('[2]TBG G Cuenta'!X214),FALSE),0)</f>
        <v>0</v>
      </c>
      <c r="AB48" s="124"/>
      <c r="AC48" s="124"/>
      <c r="AD48" s="125">
        <f t="shared" si="18"/>
        <v>0</v>
      </c>
      <c r="AE48" s="124">
        <f>IFERROR(VLOOKUP($B48,'[2]TBG G Cuenta'!$A$6:$AZ$1000,COLUMN('[2]TBG G Cuenta'!AB214),FALSE),0)</f>
        <v>0</v>
      </c>
      <c r="AF48" s="124">
        <f>IFERROR(VLOOKUP($B48,'[2]TBG G Cuenta'!$A$6:$AZ$1000,COLUMN('[2]TBG G Cuenta'!AC214),FALSE),0)</f>
        <v>0</v>
      </c>
      <c r="AG48" s="124">
        <f>IFERROR(VLOOKUP($B48,'[2]TBG G Cuenta'!$A$6:$AZ$1000,COLUMN('[2]TBG G Cuenta'!AD214),FALSE),0)</f>
        <v>0</v>
      </c>
      <c r="AH48" s="124"/>
      <c r="AI48" s="124"/>
      <c r="AJ48" s="124"/>
      <c r="AK48" s="124"/>
      <c r="AL48" s="124"/>
      <c r="AM48" s="124"/>
      <c r="AN48" s="124"/>
      <c r="AO48" s="124"/>
      <c r="AP48" s="124"/>
      <c r="AQ48" s="125">
        <f t="shared" si="23"/>
        <v>0</v>
      </c>
    </row>
    <row r="49" spans="2:43" ht="12.5" outlineLevel="1" x14ac:dyDescent="0.25">
      <c r="B49" s="2" t="str">
        <f t="shared" si="6"/>
        <v>PAN5295</v>
      </c>
      <c r="C49" s="101">
        <v>5295</v>
      </c>
      <c r="D49" s="123" t="s">
        <v>122</v>
      </c>
      <c r="E49" s="124">
        <f>IFERROR(VLOOKUP($B49,'[2]TBG G Cuenta'!$A$6:$AA$1000,COLUMN('[2]TBG G Cuenta'!B200),FALSE),0)</f>
        <v>6128.1109999999999</v>
      </c>
      <c r="F49" s="124">
        <f>IFERROR(VLOOKUP($B49,'[2]TBG G Cuenta'!$A$6:$AA$1000,COLUMN('[2]TBG G Cuenta'!C200),FALSE),0)</f>
        <v>13914.566999999999</v>
      </c>
      <c r="G49" s="124">
        <f>IFERROR(VLOOKUP($B49,'[2]TBG G Cuenta'!$A$6:$AA$1000,COLUMN('[2]TBG G Cuenta'!D200),FALSE),0)</f>
        <v>16127.295</v>
      </c>
      <c r="H49" s="124">
        <f>IFERROR(VLOOKUP($B49,'[2]TBG G Cuenta'!$A$6:$AA$1000,COLUMN('[2]TBG G Cuenta'!E200),FALSE),0)</f>
        <v>4591.2430000000004</v>
      </c>
      <c r="I49" s="124">
        <f>IFERROR(VLOOKUP($B49,'[2]TBG G Cuenta'!$A$6:$AA$1000,COLUMN('[2]TBG G Cuenta'!F200),FALSE),0)</f>
        <v>10877.855</v>
      </c>
      <c r="J49" s="124">
        <f>IFERROR(VLOOKUP($B49,'[2]TBG G Cuenta'!$A$6:$AA$1000,COLUMN('[2]TBG G Cuenta'!G200),FALSE),0)</f>
        <v>15401.184999999999</v>
      </c>
      <c r="K49" s="124">
        <f>IFERROR(VLOOKUP($B49,'[2]TBG G Cuenta'!$A$6:$AA$1000,COLUMN('[2]TBG G Cuenta'!H200),FALSE),0)</f>
        <v>5959.1679999999997</v>
      </c>
      <c r="L49" s="124">
        <f>IFERROR(VLOOKUP($B49,'[2]TBG G Cuenta'!$A$6:$AA$1000,COLUMN('[2]TBG G Cuenta'!I200),FALSE),0)</f>
        <v>13134.554</v>
      </c>
      <c r="M49" s="124">
        <f>IFERROR(VLOOKUP($B49,'[2]TBG G Cuenta'!$A$6:$AA$1000,COLUMN('[2]TBG G Cuenta'!J200),FALSE),0)</f>
        <v>21600.272000000001</v>
      </c>
      <c r="N49" s="124">
        <f>IFERROR(VLOOKUP($B49,'[2]TBG G Cuenta'!$A$6:$AA$1000,COLUMN('[2]TBG G Cuenta'!K200),FALSE),0)</f>
        <v>10765.259</v>
      </c>
      <c r="O49" s="124">
        <f>IFERROR(VLOOKUP($B49,'[2]TBG G Cuenta'!$A$6:$AA$1000,COLUMN('[2]TBG G Cuenta'!L200),FALSE),0)</f>
        <v>17291.759999999998</v>
      </c>
      <c r="P49" s="124">
        <f>IFERROR(VLOOKUP($B49,'[2]TBG G Cuenta'!$A$6:$AA$1000,COLUMN('[2]TBG G Cuenta'!M200),FALSE),0)</f>
        <v>11426.574000000001</v>
      </c>
      <c r="Q49" s="125">
        <f>SUM(E49:P49)</f>
        <v>147217.84299999999</v>
      </c>
      <c r="R49" s="124">
        <f>IFERROR(VLOOKUP($B49,'[2]TBG G Cuenta'!$A$6:$AA$1000,COLUMN('[2]TBG G Cuenta'!O214),FALSE),0)</f>
        <v>16349.406000000001</v>
      </c>
      <c r="S49" s="124">
        <f>IFERROR(VLOOKUP($B49,'[2]TBG G Cuenta'!$A$6:$AA$1000,COLUMN('[2]TBG G Cuenta'!P214),FALSE),0)</f>
        <v>10025.156999999999</v>
      </c>
      <c r="T49" s="124">
        <f>IFERROR(VLOOKUP($B49,'[2]TBG G Cuenta'!$A$6:$AA$1000,COLUMN('[2]TBG G Cuenta'!Q214),FALSE),0)</f>
        <v>21578.663</v>
      </c>
      <c r="U49" s="124">
        <f>IFERROR(VLOOKUP($B49,'[2]TBG G Cuenta'!$A$6:$AA$1000,COLUMN('[2]TBG G Cuenta'!R214),FALSE),0)</f>
        <v>19849.786</v>
      </c>
      <c r="V49" s="124">
        <f>IFERROR(VLOOKUP($B49,'[2]TBG G Cuenta'!$A$6:$AA$1000,COLUMN('[2]TBG G Cuenta'!S214),FALSE),0)</f>
        <v>13993.259</v>
      </c>
      <c r="W49" s="124">
        <f>IFERROR(VLOOKUP($B49,'[2]TBG G Cuenta'!$A$6:$AA$1000,COLUMN('[2]TBG G Cuenta'!T214),FALSE),0)</f>
        <v>19660.011999999999</v>
      </c>
      <c r="X49" s="124">
        <f>IFERROR(VLOOKUP($B49,'[2]TBG G Cuenta'!$A$6:$AA$1000,COLUMN('[2]TBG G Cuenta'!U214),FALSE),0)</f>
        <v>13611.699000000001</v>
      </c>
      <c r="Y49" s="124">
        <f>IFERROR(VLOOKUP($B49,'[2]TBG G Cuenta'!$A$6:$AA$1000,COLUMN('[2]TBG G Cuenta'!V214),FALSE),0)</f>
        <v>22135.276000000002</v>
      </c>
      <c r="Z49" s="124">
        <f>IFERROR(VLOOKUP($B49,'[2]TBG G Cuenta'!$A$6:$AA$1000,COLUMN('[2]TBG G Cuenta'!W214),FALSE),0)</f>
        <v>14658.86022</v>
      </c>
      <c r="AA49" s="124">
        <f>IFERROR(VLOOKUP($B49,'[2]TBG G Cuenta'!$A$6:$AA$1000,COLUMN('[2]TBG G Cuenta'!X214),FALSE),0)</f>
        <v>31412.414899999996</v>
      </c>
      <c r="AB49" s="124">
        <f>IFERROR(VLOOKUP($B49,'[2]TBG G Cuenta'!$A$6:$AA$1000,COLUMN('[2]TBG G Cuenta'!Y214),FALSE),0)</f>
        <v>19436.51629</v>
      </c>
      <c r="AC49" s="124">
        <f>IFERROR(VLOOKUP($B49,'[2]TBG G Cuenta'!$A$6:$AA$1000,COLUMN('[2]TBG G Cuenta'!Z214),FALSE),0)</f>
        <v>14822.458289999999</v>
      </c>
      <c r="AD49" s="125">
        <f t="shared" si="18"/>
        <v>217533.50770000005</v>
      </c>
      <c r="AE49" s="124">
        <f>IFERROR(VLOOKUP($B49,'[2]TBG G Cuenta'!$A$6:$AZ$1000,COLUMN('[2]TBG G Cuenta'!AB214),FALSE),0)</f>
        <v>22261.825550000001</v>
      </c>
      <c r="AF49" s="124">
        <f>IFERROR(VLOOKUP($B49,'[2]TBG G Cuenta'!$A$6:$AZ$1000,COLUMN('[2]TBG G Cuenta'!AC214),FALSE),0)</f>
        <v>16283.804330000001</v>
      </c>
      <c r="AG49" s="124">
        <f>IFERROR(VLOOKUP($B49,'[2]TBG G Cuenta'!$A$6:$AZ$1000,COLUMN('[2]TBG G Cuenta'!AD214),FALSE),0)</f>
        <v>22501.251789999998</v>
      </c>
      <c r="AH49" s="124"/>
      <c r="AI49" s="124"/>
      <c r="AJ49" s="124"/>
      <c r="AK49" s="124"/>
      <c r="AL49" s="124"/>
      <c r="AM49" s="124"/>
      <c r="AN49" s="124"/>
      <c r="AO49" s="124"/>
      <c r="AP49" s="124"/>
      <c r="AQ49" s="125">
        <f t="shared" si="23"/>
        <v>61046.881670000002</v>
      </c>
    </row>
    <row r="50" spans="2:43" ht="12.5" outlineLevel="1" x14ac:dyDescent="0.25">
      <c r="B50" s="2" t="str">
        <f t="shared" si="6"/>
        <v>PAN5299</v>
      </c>
      <c r="C50" s="101">
        <v>5299</v>
      </c>
      <c r="D50" s="123" t="s">
        <v>123</v>
      </c>
      <c r="E50" s="124">
        <f>IFERROR(VLOOKUP($B50,'[2]TBG G Cuenta'!$A$6:$AA$1000,COLUMN('[2]TBG G Cuenta'!B201),FALSE),0)</f>
        <v>0</v>
      </c>
      <c r="F50" s="124">
        <f>IFERROR(VLOOKUP($B50,'[2]TBG G Cuenta'!$A$6:$AA$1000,COLUMN('[2]TBG G Cuenta'!C201),FALSE),0)</f>
        <v>0</v>
      </c>
      <c r="G50" s="124">
        <f>IFERROR(VLOOKUP($B50,'[2]TBG G Cuenta'!$A$6:$AA$1000,COLUMN('[2]TBG G Cuenta'!D201),FALSE),0)</f>
        <v>0</v>
      </c>
      <c r="H50" s="124">
        <f>IFERROR(VLOOKUP($B50,'[2]TBG G Cuenta'!$A$6:$AA$1000,COLUMN('[2]TBG G Cuenta'!E201),FALSE),0)</f>
        <v>0</v>
      </c>
      <c r="I50" s="124">
        <f>IFERROR(VLOOKUP($B50,'[2]TBG G Cuenta'!$A$6:$AA$1000,COLUMN('[2]TBG G Cuenta'!F201),FALSE),0)</f>
        <v>0</v>
      </c>
      <c r="J50" s="124">
        <f>IFERROR(VLOOKUP($B50,'[2]TBG G Cuenta'!$A$6:$AA$1000,COLUMN('[2]TBG G Cuenta'!G201),FALSE),0)</f>
        <v>0</v>
      </c>
      <c r="K50" s="124">
        <f>IFERROR(VLOOKUP($B50,'[2]TBG G Cuenta'!$A$6:$AA$1000,COLUMN('[2]TBG G Cuenta'!H201),FALSE),0)</f>
        <v>0</v>
      </c>
      <c r="L50" s="124">
        <f>IFERROR(VLOOKUP($B50,'[2]TBG G Cuenta'!$A$6:$AA$1000,COLUMN('[2]TBG G Cuenta'!I201),FALSE),0)</f>
        <v>0</v>
      </c>
      <c r="M50" s="124">
        <f>IFERROR(VLOOKUP($B50,'[2]TBG G Cuenta'!$A$6:$AA$1000,COLUMN('[2]TBG G Cuenta'!J201),FALSE),0)</f>
        <v>0</v>
      </c>
      <c r="N50" s="124">
        <f>IFERROR(VLOOKUP($B50,'[2]TBG G Cuenta'!$A$6:$AA$1000,COLUMN('[2]TBG G Cuenta'!K201),FALSE),0)</f>
        <v>0</v>
      </c>
      <c r="O50" s="124">
        <f>IFERROR(VLOOKUP($B50,'[2]TBG G Cuenta'!$A$6:$AA$1000,COLUMN('[2]TBG G Cuenta'!L201),FALSE),0)</f>
        <v>0</v>
      </c>
      <c r="P50" s="124">
        <f>IFERROR(VLOOKUP($B50,'[2]TBG G Cuenta'!$A$6:$AA$1000,COLUMN('[2]TBG G Cuenta'!M201),FALSE),0)</f>
        <v>0</v>
      </c>
      <c r="Q50" s="125">
        <f t="shared" si="21"/>
        <v>0</v>
      </c>
      <c r="R50" s="124">
        <f>IFERROR(VLOOKUP($B50,'[2]TBG G Cuenta'!$A$6:$AA$1000,COLUMN('[2]TBG G Cuenta'!O215),FALSE),0)</f>
        <v>0</v>
      </c>
      <c r="S50" s="124">
        <f>IFERROR(VLOOKUP($B50,'[2]TBG G Cuenta'!$A$6:$AA$1000,COLUMN('[2]TBG G Cuenta'!P215),FALSE),0)</f>
        <v>0</v>
      </c>
      <c r="T50" s="124">
        <f>IFERROR(VLOOKUP($B50,'[2]TBG G Cuenta'!$A$6:$AA$1000,COLUMN('[2]TBG G Cuenta'!Q215),FALSE),0)</f>
        <v>0</v>
      </c>
      <c r="U50" s="124">
        <f>IFERROR(VLOOKUP($B50,'[2]TBG G Cuenta'!$A$6:$AA$1000,COLUMN('[2]TBG G Cuenta'!R215),FALSE),0)</f>
        <v>0</v>
      </c>
      <c r="V50" s="124">
        <f>IFERROR(VLOOKUP($B50,'[2]TBG G Cuenta'!$A$6:$AA$1000,COLUMN('[2]TBG G Cuenta'!S215),FALSE),0)</f>
        <v>0</v>
      </c>
      <c r="W50" s="124">
        <f>IFERROR(VLOOKUP($B50,'[2]TBG G Cuenta'!$A$6:$AA$1000,COLUMN('[2]TBG G Cuenta'!T215),FALSE),0)</f>
        <v>0</v>
      </c>
      <c r="X50" s="124">
        <f>IFERROR(VLOOKUP($B50,'[2]TBG G Cuenta'!$A$6:$AA$1000,COLUMN('[2]TBG G Cuenta'!U215),FALSE),0)</f>
        <v>0</v>
      </c>
      <c r="Y50" s="124">
        <f>IFERROR(VLOOKUP($B50,'[2]TBG G Cuenta'!$A$6:$AA$1000,COLUMN('[2]TBG G Cuenta'!V215),FALSE),0)</f>
        <v>0</v>
      </c>
      <c r="Z50" s="124">
        <f>IFERROR(VLOOKUP($B50,'[2]TBG G Cuenta'!$A$6:$AA$1000,COLUMN('[2]TBG G Cuenta'!W215),FALSE),0)</f>
        <v>0</v>
      </c>
      <c r="AA50" s="124">
        <f>IFERROR(VLOOKUP($B50,'[2]TBG G Cuenta'!$A$6:$AA$1000,COLUMN('[2]TBG G Cuenta'!X215),FALSE),0)</f>
        <v>0</v>
      </c>
      <c r="AB50" s="124"/>
      <c r="AC50" s="124"/>
      <c r="AD50" s="125">
        <f t="shared" si="18"/>
        <v>0</v>
      </c>
      <c r="AE50" s="124">
        <f>IFERROR(VLOOKUP($B50,'[2]TBG G Cuenta'!$A$6:$AZ$1000,COLUMN('[2]TBG G Cuenta'!AB215),FALSE),0)</f>
        <v>0</v>
      </c>
      <c r="AF50" s="124">
        <f>IFERROR(VLOOKUP($B50,'[2]TBG G Cuenta'!$A$6:$AZ$1000,COLUMN('[2]TBG G Cuenta'!AC215),FALSE),0)</f>
        <v>0</v>
      </c>
      <c r="AG50" s="124">
        <f>IFERROR(VLOOKUP($B50,'[2]TBG G Cuenta'!$A$6:$AZ$1000,COLUMN('[2]TBG G Cuenta'!AD215),FALSE),0)</f>
        <v>0</v>
      </c>
      <c r="AH50" s="124"/>
      <c r="AI50" s="124"/>
      <c r="AJ50" s="124"/>
      <c r="AK50" s="124"/>
      <c r="AL50" s="124"/>
      <c r="AM50" s="124"/>
      <c r="AN50" s="124"/>
      <c r="AO50" s="124"/>
      <c r="AP50" s="124"/>
      <c r="AQ50" s="125">
        <f t="shared" si="23"/>
        <v>0</v>
      </c>
    </row>
    <row r="51" spans="2:43" ht="12.5" outlineLevel="1" x14ac:dyDescent="0.25">
      <c r="B51" s="2" t="str">
        <f t="shared" si="6"/>
        <v>PAN</v>
      </c>
      <c r="D51" s="123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5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  <c r="AD51" s="125"/>
      <c r="AE51" s="124"/>
      <c r="AF51" s="124"/>
      <c r="AG51" s="124"/>
      <c r="AH51" s="124"/>
      <c r="AI51" s="124"/>
      <c r="AJ51" s="124"/>
      <c r="AK51" s="124"/>
      <c r="AL51" s="124"/>
      <c r="AM51" s="124"/>
      <c r="AN51" s="124"/>
      <c r="AO51" s="124"/>
      <c r="AP51" s="124"/>
      <c r="AQ51" s="125"/>
    </row>
    <row r="52" spans="2:43" ht="12.5" outlineLevel="1" x14ac:dyDescent="0.25">
      <c r="B52" s="2" t="str">
        <f t="shared" si="6"/>
        <v>PAN</v>
      </c>
      <c r="D52" s="123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5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  <c r="AD52" s="125"/>
      <c r="AE52" s="124"/>
      <c r="AF52" s="124"/>
      <c r="AG52" s="124"/>
      <c r="AH52" s="124"/>
      <c r="AI52" s="124"/>
      <c r="AJ52" s="124"/>
      <c r="AK52" s="124"/>
      <c r="AL52" s="124"/>
      <c r="AM52" s="124"/>
      <c r="AN52" s="124"/>
      <c r="AO52" s="124"/>
      <c r="AP52" s="124"/>
      <c r="AQ52" s="125"/>
    </row>
    <row r="53" spans="2:43" ht="12.5" x14ac:dyDescent="0.25">
      <c r="B53" s="2" t="str">
        <f t="shared" si="6"/>
        <v>PAN</v>
      </c>
      <c r="D53" s="120" t="s">
        <v>125</v>
      </c>
      <c r="E53" s="121">
        <f t="shared" ref="E53:AC53" si="24">+E5-E13-E19-E36</f>
        <v>126745.83142999993</v>
      </c>
      <c r="F53" s="121">
        <f t="shared" si="24"/>
        <v>34625.119100000076</v>
      </c>
      <c r="G53" s="121">
        <f t="shared" si="24"/>
        <v>82153.839130000051</v>
      </c>
      <c r="H53" s="121">
        <f t="shared" si="24"/>
        <v>6269.3865500001557</v>
      </c>
      <c r="I53" s="121">
        <f t="shared" si="24"/>
        <v>93320.063430000024</v>
      </c>
      <c r="J53" s="121">
        <f t="shared" si="24"/>
        <v>20718.730920000111</v>
      </c>
      <c r="K53" s="121">
        <f t="shared" si="24"/>
        <v>133690.31061999997</v>
      </c>
      <c r="L53" s="121">
        <f t="shared" si="24"/>
        <v>155883.64158</v>
      </c>
      <c r="M53" s="121">
        <f t="shared" si="24"/>
        <v>158419.37709000008</v>
      </c>
      <c r="N53" s="121">
        <f t="shared" si="24"/>
        <v>124481.67066999999</v>
      </c>
      <c r="O53" s="121">
        <f t="shared" si="24"/>
        <v>143947.67979999987</v>
      </c>
      <c r="P53" s="121">
        <f t="shared" si="24"/>
        <v>-37380.314570000075</v>
      </c>
      <c r="Q53" s="121">
        <f t="shared" si="24"/>
        <v>1042875.3357500018</v>
      </c>
      <c r="R53" s="121">
        <f t="shared" si="24"/>
        <v>208687.18219000008</v>
      </c>
      <c r="S53" s="121">
        <f t="shared" si="24"/>
        <v>165856.20122000002</v>
      </c>
      <c r="T53" s="121">
        <f t="shared" si="24"/>
        <v>125459.38816000003</v>
      </c>
      <c r="U53" s="121">
        <f t="shared" si="24"/>
        <v>83972.091019999993</v>
      </c>
      <c r="V53" s="121">
        <f t="shared" si="24"/>
        <v>199542.10198000001</v>
      </c>
      <c r="W53" s="121">
        <f t="shared" si="24"/>
        <v>26492.467189999967</v>
      </c>
      <c r="X53" s="121">
        <f t="shared" si="24"/>
        <v>147302.90516999987</v>
      </c>
      <c r="Y53" s="121">
        <f t="shared" si="24"/>
        <v>88200.314060000004</v>
      </c>
      <c r="Z53" s="121">
        <f t="shared" si="24"/>
        <v>87176.34089000008</v>
      </c>
      <c r="AA53" s="121">
        <f t="shared" si="24"/>
        <v>43041.620859999966</v>
      </c>
      <c r="AB53" s="121">
        <f t="shared" si="24"/>
        <v>75392.745039999834</v>
      </c>
      <c r="AC53" s="121">
        <f t="shared" si="24"/>
        <v>95260.885009999911</v>
      </c>
      <c r="AD53" s="122">
        <f>+AD5-AD13-AD19-AD36</f>
        <v>1346384.2427899996</v>
      </c>
      <c r="AE53" s="121">
        <f t="shared" ref="AE53:AP53" si="25">+AE5-AE13-AE19-AE36</f>
        <v>207409.92216999995</v>
      </c>
      <c r="AF53" s="121">
        <f t="shared" si="25"/>
        <v>1998.9507200000226</v>
      </c>
      <c r="AG53" s="121">
        <f t="shared" si="25"/>
        <v>252665.67780000015</v>
      </c>
      <c r="AH53" s="121">
        <f t="shared" si="25"/>
        <v>0</v>
      </c>
      <c r="AI53" s="121">
        <f t="shared" si="25"/>
        <v>0</v>
      </c>
      <c r="AJ53" s="121">
        <f t="shared" si="25"/>
        <v>0</v>
      </c>
      <c r="AK53" s="121">
        <f t="shared" si="25"/>
        <v>0</v>
      </c>
      <c r="AL53" s="121">
        <f t="shared" si="25"/>
        <v>0</v>
      </c>
      <c r="AM53" s="121">
        <f t="shared" si="25"/>
        <v>0</v>
      </c>
      <c r="AN53" s="121">
        <f t="shared" si="25"/>
        <v>0</v>
      </c>
      <c r="AO53" s="121">
        <f t="shared" si="25"/>
        <v>0</v>
      </c>
      <c r="AP53" s="121">
        <f t="shared" si="25"/>
        <v>0</v>
      </c>
      <c r="AQ53" s="122">
        <f>+AQ5-AQ13-AQ19-AQ36</f>
        <v>462074.55069000018</v>
      </c>
    </row>
    <row r="54" spans="2:43" ht="12.5" x14ac:dyDescent="0.25">
      <c r="B54" s="2" t="str">
        <f t="shared" si="6"/>
        <v>PAN</v>
      </c>
      <c r="D54" s="136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25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25"/>
      <c r="AE54" s="137"/>
      <c r="AF54" s="137"/>
      <c r="AG54" s="137"/>
      <c r="AH54" s="137"/>
      <c r="AI54" s="137"/>
      <c r="AJ54" s="137"/>
      <c r="AK54" s="137"/>
      <c r="AL54" s="137"/>
      <c r="AM54" s="137"/>
      <c r="AN54" s="137"/>
      <c r="AO54" s="137"/>
      <c r="AP54" s="137"/>
      <c r="AQ54" s="125"/>
    </row>
    <row r="55" spans="2:43" ht="12.5" x14ac:dyDescent="0.25">
      <c r="B55" s="2" t="str">
        <f t="shared" si="6"/>
        <v>PAN</v>
      </c>
      <c r="D55" s="120" t="s">
        <v>126</v>
      </c>
      <c r="E55" s="121">
        <f t="shared" ref="E55:AC55" si="26">+SUM(E70:E73)-SUM(E57:E68)</f>
        <v>8839.6669099999999</v>
      </c>
      <c r="F55" s="121">
        <f t="shared" si="26"/>
        <v>6193.9750900000008</v>
      </c>
      <c r="G55" s="121">
        <f t="shared" si="26"/>
        <v>-3495.7553099999986</v>
      </c>
      <c r="H55" s="121">
        <f t="shared" si="26"/>
        <v>6009.0679299999993</v>
      </c>
      <c r="I55" s="121">
        <f t="shared" si="26"/>
        <v>6772.678240000002</v>
      </c>
      <c r="J55" s="121">
        <f t="shared" si="26"/>
        <v>11287.515330000002</v>
      </c>
      <c r="K55" s="121">
        <f t="shared" si="26"/>
        <v>4026.0292100000006</v>
      </c>
      <c r="L55" s="121">
        <f t="shared" si="26"/>
        <v>8048.9677499999998</v>
      </c>
      <c r="M55" s="121">
        <f t="shared" si="26"/>
        <v>6642.5591399999985</v>
      </c>
      <c r="N55" s="121">
        <f t="shared" si="26"/>
        <v>8187.1461400000007</v>
      </c>
      <c r="O55" s="121">
        <f t="shared" si="26"/>
        <v>8268.5689600000005</v>
      </c>
      <c r="P55" s="121">
        <f t="shared" si="26"/>
        <v>-15782.631650000001</v>
      </c>
      <c r="Q55" s="121">
        <f t="shared" si="26"/>
        <v>54997.787740000014</v>
      </c>
      <c r="R55" s="121">
        <f t="shared" si="26"/>
        <v>9398.7594700000009</v>
      </c>
      <c r="S55" s="121">
        <f t="shared" si="26"/>
        <v>8156.9824200000003</v>
      </c>
      <c r="T55" s="121">
        <f t="shared" si="26"/>
        <v>8374.2074599999978</v>
      </c>
      <c r="U55" s="121">
        <f t="shared" si="26"/>
        <v>3585.7288600000002</v>
      </c>
      <c r="V55" s="121">
        <f t="shared" si="26"/>
        <v>9515.2607900000003</v>
      </c>
      <c r="W55" s="121">
        <f t="shared" si="26"/>
        <v>5183.8571999999976</v>
      </c>
      <c r="X55" s="121">
        <f t="shared" si="26"/>
        <v>9935.9872900000009</v>
      </c>
      <c r="Y55" s="121">
        <f t="shared" si="26"/>
        <v>1492.5300299999981</v>
      </c>
      <c r="Z55" s="121">
        <f t="shared" si="26"/>
        <v>8636.4831600000016</v>
      </c>
      <c r="AA55" s="121">
        <f t="shared" si="26"/>
        <v>11033.61781</v>
      </c>
      <c r="AB55" s="121">
        <f t="shared" si="26"/>
        <v>10394.826229999999</v>
      </c>
      <c r="AC55" s="121">
        <f t="shared" si="26"/>
        <v>8186.6132799999978</v>
      </c>
      <c r="AD55" s="122">
        <f>+SUM(AD70:AD73)-SUM(AD57:AD68)</f>
        <v>93894.853999999992</v>
      </c>
      <c r="AE55" s="121">
        <f t="shared" ref="AE55:AP55" si="27">+SUM(AE70:AE73)-SUM(AE57:AE68)</f>
        <v>6350.6646100000016</v>
      </c>
      <c r="AF55" s="121">
        <f t="shared" si="27"/>
        <v>12630.097100000001</v>
      </c>
      <c r="AG55" s="121">
        <f t="shared" si="27"/>
        <v>9255.2679700000008</v>
      </c>
      <c r="AH55" s="121">
        <f t="shared" si="27"/>
        <v>0</v>
      </c>
      <c r="AI55" s="121">
        <f t="shared" si="27"/>
        <v>0</v>
      </c>
      <c r="AJ55" s="121">
        <f t="shared" si="27"/>
        <v>0</v>
      </c>
      <c r="AK55" s="121">
        <f t="shared" si="27"/>
        <v>0</v>
      </c>
      <c r="AL55" s="121">
        <f t="shared" si="27"/>
        <v>0</v>
      </c>
      <c r="AM55" s="121">
        <f t="shared" si="27"/>
        <v>0</v>
      </c>
      <c r="AN55" s="121">
        <f t="shared" si="27"/>
        <v>0</v>
      </c>
      <c r="AO55" s="121">
        <f t="shared" si="27"/>
        <v>0</v>
      </c>
      <c r="AP55" s="121">
        <f t="shared" si="27"/>
        <v>0</v>
      </c>
      <c r="AQ55" s="122">
        <f>+SUM(AQ70:AQ73)-SUM(AQ57:AQ68)</f>
        <v>28236.02968</v>
      </c>
    </row>
    <row r="56" spans="2:43" ht="12.5" x14ac:dyDescent="0.25">
      <c r="B56" s="2" t="str">
        <f t="shared" si="6"/>
        <v>PAN</v>
      </c>
      <c r="D56" s="141" t="s">
        <v>127</v>
      </c>
      <c r="E56" s="142">
        <f>SUM(E57:E68)</f>
        <v>318.81499000000002</v>
      </c>
      <c r="F56" s="142">
        <f t="shared" ref="F56:AQ56" si="28">SUM(F57:F68)</f>
        <v>1.55</v>
      </c>
      <c r="G56" s="142">
        <f t="shared" si="28"/>
        <v>9238.994999999999</v>
      </c>
      <c r="H56" s="142">
        <f t="shared" si="28"/>
        <v>1616.1280000000002</v>
      </c>
      <c r="I56" s="142">
        <f t="shared" si="28"/>
        <v>2297.9319999999998</v>
      </c>
      <c r="J56" s="142">
        <f t="shared" si="28"/>
        <v>5390.2942299999995</v>
      </c>
      <c r="K56" s="142">
        <f t="shared" si="28"/>
        <v>4737.8680000000004</v>
      </c>
      <c r="L56" s="142">
        <f t="shared" si="28"/>
        <v>2170.4770000000003</v>
      </c>
      <c r="M56" s="142">
        <f t="shared" si="28"/>
        <v>3357.3710000000001</v>
      </c>
      <c r="N56" s="142">
        <f t="shared" si="28"/>
        <v>2498.1358600000003</v>
      </c>
      <c r="O56" s="142">
        <f t="shared" si="28"/>
        <v>2343.73</v>
      </c>
      <c r="P56" s="142">
        <f t="shared" si="28"/>
        <v>25858.73933</v>
      </c>
      <c r="Q56" s="143">
        <f t="shared" si="28"/>
        <v>59830.035409999997</v>
      </c>
      <c r="R56" s="142">
        <f t="shared" si="28"/>
        <v>1019.447</v>
      </c>
      <c r="S56" s="142">
        <f t="shared" si="28"/>
        <v>1936.4828400000001</v>
      </c>
      <c r="T56" s="142">
        <f t="shared" si="28"/>
        <v>2401.2010000000005</v>
      </c>
      <c r="U56" s="142">
        <f t="shared" si="28"/>
        <v>3431.6379999999999</v>
      </c>
      <c r="V56" s="142">
        <f t="shared" si="28"/>
        <v>4916.32</v>
      </c>
      <c r="W56" s="142">
        <f t="shared" si="28"/>
        <v>4188.7480000000005</v>
      </c>
      <c r="X56" s="142">
        <f t="shared" si="28"/>
        <v>3931.5339299999996</v>
      </c>
      <c r="Y56" s="142">
        <f t="shared" si="28"/>
        <v>10601.472590000001</v>
      </c>
      <c r="Z56" s="142">
        <f t="shared" si="28"/>
        <v>3229.2204299999999</v>
      </c>
      <c r="AA56" s="142">
        <f t="shared" si="28"/>
        <v>964.58544000000006</v>
      </c>
      <c r="AB56" s="142">
        <f t="shared" si="28"/>
        <v>1913.7560000000001</v>
      </c>
      <c r="AC56" s="142">
        <f t="shared" si="28"/>
        <v>10740.849310000001</v>
      </c>
      <c r="AD56" s="143">
        <f t="shared" si="28"/>
        <v>49275.254539999994</v>
      </c>
      <c r="AE56" s="142">
        <f t="shared" si="28"/>
        <v>6315.1509999999998</v>
      </c>
      <c r="AF56" s="142">
        <f t="shared" si="28"/>
        <v>1112.434</v>
      </c>
      <c r="AG56" s="142">
        <f t="shared" si="28"/>
        <v>15.72</v>
      </c>
      <c r="AH56" s="142">
        <f t="shared" si="28"/>
        <v>0</v>
      </c>
      <c r="AI56" s="142">
        <f t="shared" si="28"/>
        <v>0</v>
      </c>
      <c r="AJ56" s="142">
        <f t="shared" si="28"/>
        <v>0</v>
      </c>
      <c r="AK56" s="142">
        <f t="shared" si="28"/>
        <v>0</v>
      </c>
      <c r="AL56" s="142">
        <f t="shared" si="28"/>
        <v>0</v>
      </c>
      <c r="AM56" s="142">
        <f t="shared" si="28"/>
        <v>0</v>
      </c>
      <c r="AN56" s="142">
        <f t="shared" si="28"/>
        <v>0</v>
      </c>
      <c r="AO56" s="142">
        <f t="shared" si="28"/>
        <v>0</v>
      </c>
      <c r="AP56" s="142">
        <f t="shared" si="28"/>
        <v>0</v>
      </c>
      <c r="AQ56" s="143">
        <f t="shared" si="28"/>
        <v>7443.3050000000003</v>
      </c>
    </row>
    <row r="57" spans="2:43" ht="12.5" outlineLevel="1" x14ac:dyDescent="0.25">
      <c r="B57" s="2" t="str">
        <f t="shared" si="6"/>
        <v>PAN4210</v>
      </c>
      <c r="C57" s="102">
        <v>4210</v>
      </c>
      <c r="D57" s="123" t="s">
        <v>128</v>
      </c>
      <c r="E57" s="124">
        <f>-VLOOKUP($B57,'[2]TBG G Cuenta'!$A$6:$AA$1000,COLUMN('[2]TBG G Cuenta'!B221),FALSE)</f>
        <v>-1.0000000000000001E-5</v>
      </c>
      <c r="F57" s="124">
        <f>-VLOOKUP($B57,'[2]TBG G Cuenta'!$A$6:$AA$1000,COLUMN('[2]TBG G Cuenta'!C221),FALSE)</f>
        <v>0</v>
      </c>
      <c r="G57" s="124">
        <f>-VLOOKUP($B57,'[2]TBG G Cuenta'!$A$6:$AA$1000,COLUMN('[2]TBG G Cuenta'!D221),FALSE)</f>
        <v>-0.45700000000000002</v>
      </c>
      <c r="H57" s="124">
        <f>-VLOOKUP($B57,'[2]TBG G Cuenta'!$A$6:$AA$1000,COLUMN('[2]TBG G Cuenta'!E221),FALSE)</f>
        <v>1615.6610000000001</v>
      </c>
      <c r="I57" s="124">
        <f>-VLOOKUP($B57,'[2]TBG G Cuenta'!$A$6:$AA$1000,COLUMN('[2]TBG G Cuenta'!F221),FALSE)</f>
        <v>2297.8799999999997</v>
      </c>
      <c r="J57" s="124">
        <f>-VLOOKUP($B57,'[2]TBG G Cuenta'!$A$6:$AA$1000,COLUMN('[2]TBG G Cuenta'!G221),FALSE)</f>
        <v>3191.74523</v>
      </c>
      <c r="K57" s="124">
        <f>-VLOOKUP($B57,'[2]TBG G Cuenta'!$A$6:$AA$1000,COLUMN('[2]TBG G Cuenta'!H221),FALSE)</f>
        <v>1212.9770000000001</v>
      </c>
      <c r="L57" s="124">
        <f>-VLOOKUP($B57,'[2]TBG G Cuenta'!$A$6:$AA$1000,COLUMN('[2]TBG G Cuenta'!I221),FALSE)</f>
        <v>2170.0770000000002</v>
      </c>
      <c r="M57" s="124">
        <f>-VLOOKUP($B57,'[2]TBG G Cuenta'!$A$6:$AA$1000,COLUMN('[2]TBG G Cuenta'!J221),FALSE)</f>
        <v>1696.3320000000001</v>
      </c>
      <c r="N57" s="124">
        <f>-VLOOKUP($B57,'[2]TBG G Cuenta'!$A$6:$AA$1000,COLUMN('[2]TBG G Cuenta'!K221),FALSE)</f>
        <v>944.03599999999994</v>
      </c>
      <c r="O57" s="124">
        <f>-VLOOKUP($B57,'[2]TBG G Cuenta'!$A$6:$AA$1000,COLUMN('[2]TBG G Cuenta'!L221),FALSE)</f>
        <v>2335.44</v>
      </c>
      <c r="P57" s="124">
        <f>-VLOOKUP($B57,'[2]TBG G Cuenta'!$A$6:$AA$1000,COLUMN('[2]TBG G Cuenta'!M221),FALSE)</f>
        <v>4764.82</v>
      </c>
      <c r="Q57" s="125">
        <f>SUM(E57:P57)</f>
        <v>20228.51122</v>
      </c>
      <c r="R57" s="124">
        <f>-VLOOKUP($B57,'[2]TBG G Cuenta'!$A$6:$AA$1000,COLUMN('[2]TBG G Cuenta'!O221),FALSE)</f>
        <v>1006.832</v>
      </c>
      <c r="S57" s="124">
        <f>-VLOOKUP($B57,'[2]TBG G Cuenta'!$A$6:$AA$1000,COLUMN('[2]TBG G Cuenta'!P221),FALSE)</f>
        <v>803.01184000000001</v>
      </c>
      <c r="T57" s="124">
        <f>-VLOOKUP($B57,'[2]TBG G Cuenta'!$A$6:$AA$1000,COLUMN('[2]TBG G Cuenta'!Q221),FALSE)</f>
        <v>1212.2560000000001</v>
      </c>
      <c r="U57" s="124">
        <f>-VLOOKUP($B57,'[2]TBG G Cuenta'!$A$6:$AA$1000,COLUMN('[2]TBG G Cuenta'!R221),FALSE)</f>
        <v>3404</v>
      </c>
      <c r="V57" s="124">
        <f>-VLOOKUP($B57,'[2]TBG G Cuenta'!$A$6:$AA$1000,COLUMN('[2]TBG G Cuenta'!S221),FALSE)</f>
        <v>1470.42</v>
      </c>
      <c r="W57" s="124">
        <f>-VLOOKUP($B57,'[2]TBG G Cuenta'!$A$6:$AA$1000,COLUMN('[2]TBG G Cuenta'!T221),FALSE)</f>
        <v>1548.2380000000001</v>
      </c>
      <c r="X57" s="124">
        <f>-VLOOKUP($B57,'[2]TBG G Cuenta'!$A$6:$AA$1000,COLUMN('[2]TBG G Cuenta'!U221),FALSE)</f>
        <v>5.049E-2</v>
      </c>
      <c r="Y57" s="124">
        <f>-VLOOKUP($B57,'[2]TBG G Cuenta'!$A$6:$AA$1000,COLUMN('[2]TBG G Cuenta'!V221),FALSE)</f>
        <v>1212.2460000000001</v>
      </c>
      <c r="Z57" s="124">
        <f>-VLOOKUP($B57,'[2]TBG G Cuenta'!$A$6:$AA$1000,COLUMN('[2]TBG G Cuenta'!W221),FALSE)</f>
        <v>1769.645</v>
      </c>
      <c r="AA57" s="124">
        <f>-VLOOKUP($B57,'[2]TBG G Cuenta'!$A$6:$AA$1000,COLUMN('[2]TBG G Cuenta'!X221),FALSE)</f>
        <v>768</v>
      </c>
      <c r="AB57" s="124">
        <f>-VLOOKUP($B57,'[2]TBG G Cuenta'!$A$6:$AA$1000,COLUMN('[2]TBG G Cuenta'!Y221),FALSE)</f>
        <v>0</v>
      </c>
      <c r="AC57" s="124">
        <f>-VLOOKUP($B57,'[2]TBG G Cuenta'!$A$6:$AA$1000,COLUMN('[2]TBG G Cuenta'!Z221),FALSE)</f>
        <v>0</v>
      </c>
      <c r="AD57" s="125">
        <f>SUM(R57:AC57)</f>
        <v>13194.699329999999</v>
      </c>
      <c r="AE57" s="124">
        <f>-VLOOKUP($B57,'[2]TBG G Cuenta'!$A$6:$AZ$1000,COLUMN('[2]TBG G Cuenta'!AB221),FALSE)</f>
        <v>1913.6849999999999</v>
      </c>
      <c r="AF57" s="124">
        <f>-VLOOKUP($B57,'[2]TBG G Cuenta'!$A$6:$AZ$1000,COLUMN('[2]TBG G Cuenta'!AC221),FALSE)</f>
        <v>0</v>
      </c>
      <c r="AG57" s="124">
        <f>-VLOOKUP($B57,'[2]TBG G Cuenta'!$A$6:$AZ$1000,COLUMN('[2]TBG G Cuenta'!AD221),FALSE)</f>
        <v>0</v>
      </c>
      <c r="AH57" s="124"/>
      <c r="AI57" s="124"/>
      <c r="AJ57" s="124"/>
      <c r="AK57" s="124"/>
      <c r="AL57" s="124"/>
      <c r="AM57" s="124"/>
      <c r="AN57" s="124"/>
      <c r="AO57" s="124"/>
      <c r="AP57" s="124"/>
      <c r="AQ57" s="125">
        <f>SUM(AE57:AP57)</f>
        <v>1913.6849999999999</v>
      </c>
    </row>
    <row r="58" spans="2:43" ht="12.5" outlineLevel="1" x14ac:dyDescent="0.25">
      <c r="B58" s="2" t="str">
        <f t="shared" si="6"/>
        <v>PAN4215</v>
      </c>
      <c r="C58" s="102">
        <v>4215</v>
      </c>
      <c r="D58" s="123" t="s">
        <v>129</v>
      </c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5">
        <f t="shared" ref="Q58:Q73" si="29">SUM(E58:P58)</f>
        <v>0</v>
      </c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  <c r="AD58" s="125">
        <f t="shared" ref="AD58:AD73" si="30">SUM(R58:AC58)</f>
        <v>0</v>
      </c>
      <c r="AE58" s="124"/>
      <c r="AF58" s="124"/>
      <c r="AG58" s="124"/>
      <c r="AH58" s="124"/>
      <c r="AI58" s="124"/>
      <c r="AJ58" s="124"/>
      <c r="AK58" s="124"/>
      <c r="AL58" s="124"/>
      <c r="AM58" s="124"/>
      <c r="AN58" s="124"/>
      <c r="AO58" s="124"/>
      <c r="AP58" s="124"/>
      <c r="AQ58" s="125">
        <f t="shared" ref="AQ58:AQ68" si="31">SUM(AE58:AP58)</f>
        <v>0</v>
      </c>
    </row>
    <row r="59" spans="2:43" ht="12.5" outlineLevel="1" x14ac:dyDescent="0.25">
      <c r="B59" s="2" t="str">
        <f t="shared" si="6"/>
        <v>PAN4220</v>
      </c>
      <c r="C59" s="102">
        <v>4220</v>
      </c>
      <c r="D59" s="123" t="s">
        <v>112</v>
      </c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5">
        <f>SUM(E59:N59)</f>
        <v>0</v>
      </c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  <c r="AD59" s="125">
        <f t="shared" si="30"/>
        <v>0</v>
      </c>
      <c r="AE59" s="124"/>
      <c r="AF59" s="124"/>
      <c r="AG59" s="124"/>
      <c r="AH59" s="124"/>
      <c r="AI59" s="124"/>
      <c r="AJ59" s="124"/>
      <c r="AK59" s="124"/>
      <c r="AL59" s="124"/>
      <c r="AM59" s="124"/>
      <c r="AN59" s="124"/>
      <c r="AO59" s="124"/>
      <c r="AP59" s="124"/>
      <c r="AQ59" s="125">
        <f t="shared" si="31"/>
        <v>0</v>
      </c>
    </row>
    <row r="60" spans="2:43" ht="12.5" outlineLevel="1" x14ac:dyDescent="0.25">
      <c r="B60" s="2" t="str">
        <f t="shared" si="6"/>
        <v>PAN4235</v>
      </c>
      <c r="C60" s="102">
        <v>4235</v>
      </c>
      <c r="D60" s="123" t="s">
        <v>115</v>
      </c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5">
        <f>SUM(E60:N60)</f>
        <v>0</v>
      </c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  <c r="AD60" s="125">
        <f t="shared" si="30"/>
        <v>0</v>
      </c>
      <c r="AE60" s="124"/>
      <c r="AF60" s="124"/>
      <c r="AG60" s="124"/>
      <c r="AH60" s="124"/>
      <c r="AI60" s="124"/>
      <c r="AJ60" s="124"/>
      <c r="AK60" s="124"/>
      <c r="AL60" s="124"/>
      <c r="AM60" s="124"/>
      <c r="AN60" s="124"/>
      <c r="AO60" s="124"/>
      <c r="AP60" s="124"/>
      <c r="AQ60" s="125">
        <f t="shared" si="31"/>
        <v>0</v>
      </c>
    </row>
    <row r="61" spans="2:43" ht="12.5" outlineLevel="1" x14ac:dyDescent="0.25">
      <c r="B61" s="2" t="str">
        <f t="shared" si="6"/>
        <v>PAN4245</v>
      </c>
      <c r="C61" s="102">
        <v>4245</v>
      </c>
      <c r="D61" s="123" t="s">
        <v>130</v>
      </c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5">
        <f t="shared" si="29"/>
        <v>0</v>
      </c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  <c r="AD61" s="125">
        <f t="shared" si="30"/>
        <v>0</v>
      </c>
      <c r="AE61" s="124"/>
      <c r="AF61" s="124"/>
      <c r="AG61" s="124"/>
      <c r="AH61" s="124"/>
      <c r="AI61" s="124"/>
      <c r="AJ61" s="124"/>
      <c r="AK61" s="124"/>
      <c r="AL61" s="124"/>
      <c r="AM61" s="124"/>
      <c r="AN61" s="124"/>
      <c r="AO61" s="124"/>
      <c r="AP61" s="124"/>
      <c r="AQ61" s="125">
        <f t="shared" si="31"/>
        <v>0</v>
      </c>
    </row>
    <row r="62" spans="2:43" ht="12.5" outlineLevel="1" x14ac:dyDescent="0.25">
      <c r="B62" s="2" t="str">
        <f t="shared" si="6"/>
        <v>PAN4248</v>
      </c>
      <c r="C62" s="102">
        <v>4248</v>
      </c>
      <c r="D62" s="123" t="s">
        <v>131</v>
      </c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5">
        <f t="shared" si="29"/>
        <v>0</v>
      </c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  <c r="AD62" s="125">
        <f t="shared" si="30"/>
        <v>0</v>
      </c>
      <c r="AE62" s="124"/>
      <c r="AF62" s="124"/>
      <c r="AG62" s="124"/>
      <c r="AH62" s="124"/>
      <c r="AI62" s="124"/>
      <c r="AJ62" s="124"/>
      <c r="AK62" s="124"/>
      <c r="AL62" s="124"/>
      <c r="AM62" s="124"/>
      <c r="AN62" s="124"/>
      <c r="AO62" s="124"/>
      <c r="AP62" s="124"/>
      <c r="AQ62" s="125">
        <f t="shared" si="31"/>
        <v>0</v>
      </c>
    </row>
    <row r="63" spans="2:43" ht="12.5" outlineLevel="1" x14ac:dyDescent="0.25">
      <c r="B63" s="2" t="str">
        <f t="shared" si="6"/>
        <v>PAN4250</v>
      </c>
      <c r="C63" s="102">
        <v>4250</v>
      </c>
      <c r="D63" s="123" t="s">
        <v>132</v>
      </c>
      <c r="E63" s="124">
        <f>-VLOOKUP($B63,'[2]TBG G Cuenta'!$A$6:$AA$1000,COLUMN('[2]TBG G Cuenta'!B227),FALSE)</f>
        <v>0</v>
      </c>
      <c r="F63" s="124">
        <f>-VLOOKUP($B63,'[2]TBG G Cuenta'!$A$6:$AA$1000,COLUMN('[2]TBG G Cuenta'!C227),FALSE)</f>
        <v>0</v>
      </c>
      <c r="G63" s="124">
        <f>-VLOOKUP($B63,'[2]TBG G Cuenta'!$A$6:$AA$1000,COLUMN('[2]TBG G Cuenta'!D227),FALSE)</f>
        <v>0</v>
      </c>
      <c r="H63" s="124">
        <f>-VLOOKUP($B63,'[2]TBG G Cuenta'!$A$6:$AA$1000,COLUMN('[2]TBG G Cuenta'!E227),FALSE)</f>
        <v>0</v>
      </c>
      <c r="I63" s="124">
        <f>-VLOOKUP($B63,'[2]TBG G Cuenta'!$A$6:$AA$1000,COLUMN('[2]TBG G Cuenta'!F227),FALSE)</f>
        <v>0</v>
      </c>
      <c r="J63" s="124">
        <f>-VLOOKUP($B63,'[2]TBG G Cuenta'!$A$6:$AA$1000,COLUMN('[2]TBG G Cuenta'!G227),FALSE)</f>
        <v>0</v>
      </c>
      <c r="K63" s="124">
        <f>-VLOOKUP($B63,'[2]TBG G Cuenta'!$A$6:$AA$1000,COLUMN('[2]TBG G Cuenta'!H227),FALSE)</f>
        <v>1946.5</v>
      </c>
      <c r="L63" s="124">
        <f>-VLOOKUP($B63,'[2]TBG G Cuenta'!$A$6:$AA$1000,COLUMN('[2]TBG G Cuenta'!I227),FALSE)</f>
        <v>0</v>
      </c>
      <c r="M63" s="124">
        <f>-VLOOKUP($B63,'[2]TBG G Cuenta'!$A$6:$AA$1000,COLUMN('[2]TBG G Cuenta'!J227),FALSE)</f>
        <v>0</v>
      </c>
      <c r="N63" s="124">
        <f>-VLOOKUP($B63,'[2]TBG G Cuenta'!$A$6:$AA$1000,COLUMN('[2]TBG G Cuenta'!K227),FALSE)</f>
        <v>0</v>
      </c>
      <c r="O63" s="124">
        <f>-VLOOKUP($B63,'[2]TBG G Cuenta'!$A$6:$AA$1000,COLUMN('[2]TBG G Cuenta'!L227),FALSE)</f>
        <v>0</v>
      </c>
      <c r="P63" s="124">
        <f>-VLOOKUP($B63,'[2]TBG G Cuenta'!$A$6:$AA$1000,COLUMN('[2]TBG G Cuenta'!M227),FALSE)</f>
        <v>0</v>
      </c>
      <c r="Q63" s="125">
        <f>SUM(E63:P63)</f>
        <v>1946.5</v>
      </c>
      <c r="R63" s="124">
        <f>-VLOOKUP($B63,'[2]TBG G Cuenta'!$A$6:$AA$1000,COLUMN('[2]TBG G Cuenta'!O227),FALSE)</f>
        <v>0</v>
      </c>
      <c r="S63" s="124">
        <f>-VLOOKUP($B63,'[2]TBG G Cuenta'!$A$6:$AA$1000,COLUMN('[2]TBG G Cuenta'!P227),FALSE)</f>
        <v>0</v>
      </c>
      <c r="T63" s="124">
        <f>-VLOOKUP($B63,'[2]TBG G Cuenta'!$A$6:$AA$1000,COLUMN('[2]TBG G Cuenta'!Q227),FALSE)</f>
        <v>0</v>
      </c>
      <c r="U63" s="124">
        <f>-VLOOKUP($B63,'[2]TBG G Cuenta'!$A$6:$AA$1000,COLUMN('[2]TBG G Cuenta'!R227),FALSE)</f>
        <v>0</v>
      </c>
      <c r="V63" s="124">
        <f>-VLOOKUP($B63,'[2]TBG G Cuenta'!$A$6:$AA$1000,COLUMN('[2]TBG G Cuenta'!S227),FALSE)</f>
        <v>0</v>
      </c>
      <c r="W63" s="124">
        <f>-VLOOKUP($B63,'[2]TBG G Cuenta'!$A$6:$AA$1000,COLUMN('[2]TBG G Cuenta'!T227),FALSE)</f>
        <v>0</v>
      </c>
      <c r="X63" s="124">
        <f>-VLOOKUP($B63,'[2]TBG G Cuenta'!$A$6:$AA$1000,COLUMN('[2]TBG G Cuenta'!U227),FALSE)</f>
        <v>0</v>
      </c>
      <c r="Y63" s="124">
        <f>-VLOOKUP($B63,'[2]TBG G Cuenta'!$A$6:$AA$1000,COLUMN('[2]TBG G Cuenta'!V227),FALSE)</f>
        <v>0</v>
      </c>
      <c r="Z63" s="124">
        <f>-VLOOKUP($B63,'[2]TBG G Cuenta'!$A$6:$AA$1000,COLUMN('[2]TBG G Cuenta'!W227),FALSE)</f>
        <v>0</v>
      </c>
      <c r="AA63" s="124">
        <f>-VLOOKUP($B63,'[2]TBG G Cuenta'!$A$6:$AA$1000,COLUMN('[2]TBG G Cuenta'!X227),FALSE)</f>
        <v>0</v>
      </c>
      <c r="AB63" s="124">
        <f>-VLOOKUP($B63,'[2]TBG G Cuenta'!$A$6:$AA$1000,COLUMN('[2]TBG G Cuenta'!Y227),FALSE)</f>
        <v>0</v>
      </c>
      <c r="AC63" s="124">
        <f>-VLOOKUP($B63,'[2]TBG G Cuenta'!$A$6:$AA$1000,COLUMN('[2]TBG G Cuenta'!Z227),FALSE)</f>
        <v>0</v>
      </c>
      <c r="AD63" s="125">
        <f t="shared" si="30"/>
        <v>0</v>
      </c>
      <c r="AE63" s="124">
        <f>-VLOOKUP($B63,'[2]TBG G Cuenta'!$A$6:$AZ$1000,COLUMN('[2]TBG G Cuenta'!AB227),FALSE)</f>
        <v>0</v>
      </c>
      <c r="AF63" s="124">
        <f>-VLOOKUP($B63,'[2]TBG G Cuenta'!$A$6:$AZ$1000,COLUMN('[2]TBG G Cuenta'!AC227),FALSE)</f>
        <v>0</v>
      </c>
      <c r="AG63" s="124">
        <f>-VLOOKUP($B63,'[2]TBG G Cuenta'!$A$6:$AZ$1000,COLUMN('[2]TBG G Cuenta'!AD227),FALSE)</f>
        <v>0</v>
      </c>
      <c r="AH63" s="124"/>
      <c r="AI63" s="124"/>
      <c r="AJ63" s="124"/>
      <c r="AK63" s="124"/>
      <c r="AL63" s="124"/>
      <c r="AM63" s="124"/>
      <c r="AN63" s="124"/>
      <c r="AO63" s="124"/>
      <c r="AP63" s="124"/>
      <c r="AQ63" s="125">
        <f t="shared" si="31"/>
        <v>0</v>
      </c>
    </row>
    <row r="64" spans="2:43" ht="12.5" outlineLevel="1" x14ac:dyDescent="0.25">
      <c r="B64" s="2" t="str">
        <f t="shared" si="6"/>
        <v>PAN4255</v>
      </c>
      <c r="C64" s="102">
        <v>4255</v>
      </c>
      <c r="D64" s="123" t="s">
        <v>133</v>
      </c>
      <c r="E64" s="124">
        <f>-VLOOKUP($B64,'[2]TBG G Cuenta'!$A$6:$AA$1000,COLUMN('[2]TBG G Cuenta'!B228),FALSE)</f>
        <v>318.51299999999998</v>
      </c>
      <c r="F64" s="124">
        <f>-VLOOKUP($B64,'[2]TBG G Cuenta'!$A$6:$AA$1000,COLUMN('[2]TBG G Cuenta'!C228),FALSE)</f>
        <v>0</v>
      </c>
      <c r="G64" s="124">
        <f>-VLOOKUP($B64,'[2]TBG G Cuenta'!$A$6:$AA$1000,COLUMN('[2]TBG G Cuenta'!D228),FALSE)</f>
        <v>9239.2219999999998</v>
      </c>
      <c r="H64" s="124">
        <f>-VLOOKUP($B64,'[2]TBG G Cuenta'!$A$6:$AA$1000,COLUMN('[2]TBG G Cuenta'!E228),FALSE)</f>
        <v>0</v>
      </c>
      <c r="I64" s="124">
        <f>-VLOOKUP($B64,'[2]TBG G Cuenta'!$A$6:$AA$1000,COLUMN('[2]TBG G Cuenta'!F228),FALSE)</f>
        <v>0</v>
      </c>
      <c r="J64" s="124">
        <f>-VLOOKUP($B64,'[2]TBG G Cuenta'!$A$6:$AA$1000,COLUMN('[2]TBG G Cuenta'!G228),FALSE)</f>
        <v>986.15300000000002</v>
      </c>
      <c r="K64" s="124">
        <f>-VLOOKUP($B64,'[2]TBG G Cuenta'!$A$6:$AA$1000,COLUMN('[2]TBG G Cuenta'!H228),FALSE)</f>
        <v>1563.751</v>
      </c>
      <c r="L64" s="124">
        <f>-VLOOKUP($B64,'[2]TBG G Cuenta'!$A$6:$AA$1000,COLUMN('[2]TBG G Cuenta'!I228),FALSE)</f>
        <v>0</v>
      </c>
      <c r="M64" s="124">
        <f>-VLOOKUP($B64,'[2]TBG G Cuenta'!$A$6:$AA$1000,COLUMN('[2]TBG G Cuenta'!J228),FALSE)</f>
        <v>1660.8389999999999</v>
      </c>
      <c r="N64" s="124">
        <f>-VLOOKUP($B64,'[2]TBG G Cuenta'!$A$6:$AA$1000,COLUMN('[2]TBG G Cuenta'!K228),FALSE)</f>
        <v>43.332999999999998</v>
      </c>
      <c r="O64" s="124">
        <f>-VLOOKUP($B64,'[2]TBG G Cuenta'!$A$6:$AA$1000,COLUMN('[2]TBG G Cuenta'!L228),FALSE)</f>
        <v>0</v>
      </c>
      <c r="P64" s="124">
        <f>-VLOOKUP($B64,'[2]TBG G Cuenta'!$A$6:$AA$1000,COLUMN('[2]TBG G Cuenta'!M228),FALSE)</f>
        <v>20962.37</v>
      </c>
      <c r="Q64" s="125">
        <f>SUM(E64:P64)</f>
        <v>34774.180999999997</v>
      </c>
      <c r="R64" s="124">
        <f>-VLOOKUP($B64,'[2]TBG G Cuenta'!$A$6:$AA$1000,COLUMN('[2]TBG G Cuenta'!O228),FALSE)</f>
        <v>0</v>
      </c>
      <c r="S64" s="124">
        <f>-VLOOKUP($B64,'[2]TBG G Cuenta'!$A$6:$AA$1000,COLUMN('[2]TBG G Cuenta'!P228),FALSE)</f>
        <v>1122.451</v>
      </c>
      <c r="T64" s="124">
        <f>-VLOOKUP($B64,'[2]TBG G Cuenta'!$A$6:$AA$1000,COLUMN('[2]TBG G Cuenta'!Q228),FALSE)</f>
        <v>1186.25</v>
      </c>
      <c r="U64" s="124">
        <f>-VLOOKUP($B64,'[2]TBG G Cuenta'!$A$6:$AA$1000,COLUMN('[2]TBG G Cuenta'!R228),FALSE)</f>
        <v>0</v>
      </c>
      <c r="V64" s="124">
        <f>-VLOOKUP($B64,'[2]TBG G Cuenta'!$A$6:$AA$1000,COLUMN('[2]TBG G Cuenta'!S228),FALSE)</f>
        <v>2172.7539999999999</v>
      </c>
      <c r="W64" s="124">
        <f>-VLOOKUP($B64,'[2]TBG G Cuenta'!$A$6:$AA$1000,COLUMN('[2]TBG G Cuenta'!T228),FALSE)</f>
        <v>1423.5</v>
      </c>
      <c r="X64" s="124">
        <f>-VLOOKUP($B64,'[2]TBG G Cuenta'!$A$6:$AA$1000,COLUMN('[2]TBG G Cuenta'!U228),FALSE)</f>
        <v>2478.5189999999998</v>
      </c>
      <c r="Y64" s="124">
        <f>-VLOOKUP($B64,'[2]TBG G Cuenta'!$A$6:$AA$1000,COLUMN('[2]TBG G Cuenta'!V228),FALSE)</f>
        <v>9240.2219999999998</v>
      </c>
      <c r="Z64" s="124">
        <f>-VLOOKUP($B64,'[2]TBG G Cuenta'!$A$6:$AA$1000,COLUMN('[2]TBG G Cuenta'!W228),FALSE)</f>
        <v>1423.5</v>
      </c>
      <c r="AA64" s="124">
        <f>-VLOOKUP($B64,'[2]TBG G Cuenta'!$A$6:$AA$1000,COLUMN('[2]TBG G Cuenta'!X228),FALSE)</f>
        <v>0</v>
      </c>
      <c r="AB64" s="124">
        <f>-VLOOKUP($B64,'[2]TBG G Cuenta'!$A$6:$AA$1000,COLUMN('[2]TBG G Cuenta'!Y228),FALSE)</f>
        <v>0</v>
      </c>
      <c r="AC64" s="124">
        <f>-VLOOKUP($B64,'[2]TBG G Cuenta'!$A$6:$AA$1000,COLUMN('[2]TBG G Cuenta'!Z228),FALSE)</f>
        <v>8218.2450000000008</v>
      </c>
      <c r="AD64" s="125">
        <f t="shared" si="30"/>
        <v>27265.440999999999</v>
      </c>
      <c r="AE64" s="124">
        <f>-VLOOKUP($B64,'[2]TBG G Cuenta'!$A$6:$AZ$1000,COLUMN('[2]TBG G Cuenta'!AB228),FALSE)</f>
        <v>0</v>
      </c>
      <c r="AF64" s="124">
        <f>-VLOOKUP($B64,'[2]TBG G Cuenta'!$A$6:$AZ$1000,COLUMN('[2]TBG G Cuenta'!AC228),FALSE)</f>
        <v>1108.9069999999999</v>
      </c>
      <c r="AG64" s="124">
        <f>-VLOOKUP($B64,'[2]TBG G Cuenta'!$A$6:$AZ$1000,COLUMN('[2]TBG G Cuenta'!AD228),FALSE)</f>
        <v>0</v>
      </c>
      <c r="AH64" s="124"/>
      <c r="AI64" s="124"/>
      <c r="AJ64" s="124"/>
      <c r="AK64" s="124"/>
      <c r="AL64" s="124"/>
      <c r="AM64" s="124"/>
      <c r="AN64" s="124"/>
      <c r="AO64" s="124"/>
      <c r="AP64" s="124"/>
      <c r="AQ64" s="125">
        <f t="shared" si="31"/>
        <v>1108.9069999999999</v>
      </c>
    </row>
    <row r="65" spans="2:43" ht="12.5" outlineLevel="1" x14ac:dyDescent="0.25">
      <c r="B65" s="2" t="str">
        <f t="shared" si="6"/>
        <v>PAN4265</v>
      </c>
      <c r="C65" s="102">
        <v>4265</v>
      </c>
      <c r="D65" s="123" t="s">
        <v>134</v>
      </c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5">
        <f t="shared" si="29"/>
        <v>0</v>
      </c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  <c r="AD65" s="125">
        <f t="shared" si="30"/>
        <v>0</v>
      </c>
      <c r="AE65" s="124"/>
      <c r="AF65" s="124"/>
      <c r="AG65" s="124"/>
      <c r="AH65" s="124"/>
      <c r="AI65" s="124"/>
      <c r="AJ65" s="124"/>
      <c r="AK65" s="124"/>
      <c r="AL65" s="124"/>
      <c r="AM65" s="124"/>
      <c r="AN65" s="124"/>
      <c r="AO65" s="124"/>
      <c r="AP65" s="124"/>
      <c r="AQ65" s="125">
        <f t="shared" si="31"/>
        <v>0</v>
      </c>
    </row>
    <row r="66" spans="2:43" ht="12.5" outlineLevel="1" x14ac:dyDescent="0.25">
      <c r="B66" s="2" t="str">
        <f t="shared" si="6"/>
        <v>PAN4275</v>
      </c>
      <c r="C66" s="102">
        <v>4275</v>
      </c>
      <c r="D66" s="123" t="s">
        <v>135</v>
      </c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5">
        <f t="shared" si="29"/>
        <v>0</v>
      </c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  <c r="AD66" s="125">
        <f t="shared" si="30"/>
        <v>0</v>
      </c>
      <c r="AE66" s="124"/>
      <c r="AF66" s="124"/>
      <c r="AG66" s="124"/>
      <c r="AH66" s="124"/>
      <c r="AI66" s="124"/>
      <c r="AJ66" s="124"/>
      <c r="AK66" s="124"/>
      <c r="AL66" s="124"/>
      <c r="AM66" s="124"/>
      <c r="AN66" s="124"/>
      <c r="AO66" s="124"/>
      <c r="AP66" s="124"/>
      <c r="AQ66" s="125">
        <f t="shared" si="31"/>
        <v>0</v>
      </c>
    </row>
    <row r="67" spans="2:43" ht="12.5" outlineLevel="1" x14ac:dyDescent="0.25">
      <c r="B67" s="2" t="str">
        <f t="shared" si="6"/>
        <v>PAN4295</v>
      </c>
      <c r="C67" s="102">
        <v>4295</v>
      </c>
      <c r="D67" s="123" t="s">
        <v>136</v>
      </c>
      <c r="E67" s="124">
        <f>-VLOOKUP($B67,'[2]TBG G Cuenta'!$A$6:$AA$1000,COLUMN('[2]TBG G Cuenta'!B231),FALSE)</f>
        <v>0.30199999999999999</v>
      </c>
      <c r="F67" s="124">
        <f>-VLOOKUP($B67,'[2]TBG G Cuenta'!$A$6:$AA$1000,COLUMN('[2]TBG G Cuenta'!C231),FALSE)</f>
        <v>1.55</v>
      </c>
      <c r="G67" s="124">
        <f>-VLOOKUP($B67,'[2]TBG G Cuenta'!$A$6:$AA$1000,COLUMN('[2]TBG G Cuenta'!D231),FALSE)</f>
        <v>0.23</v>
      </c>
      <c r="H67" s="124">
        <f>-VLOOKUP($B67,'[2]TBG G Cuenta'!$A$6:$AA$1000,COLUMN('[2]TBG G Cuenta'!E231),FALSE)</f>
        <v>0.46700000000000003</v>
      </c>
      <c r="I67" s="124">
        <f>-VLOOKUP($B67,'[2]TBG G Cuenta'!$A$6:$AA$1000,COLUMN('[2]TBG G Cuenta'!F231),FALSE)</f>
        <v>5.1999999999999998E-2</v>
      </c>
      <c r="J67" s="124">
        <f>-VLOOKUP($B67,'[2]TBG G Cuenta'!$A$6:$AA$1000,COLUMN('[2]TBG G Cuenta'!G231),FALSE)</f>
        <v>1212.396</v>
      </c>
      <c r="K67" s="124">
        <f>-VLOOKUP($B67,'[2]TBG G Cuenta'!$A$6:$AA$1000,COLUMN('[2]TBG G Cuenta'!H231),FALSE)</f>
        <v>14.64</v>
      </c>
      <c r="L67" s="124">
        <f>-VLOOKUP($B67,'[2]TBG G Cuenta'!$A$6:$AA$1000,COLUMN('[2]TBG G Cuenta'!I231),FALSE)</f>
        <v>0.4</v>
      </c>
      <c r="M67" s="124">
        <f>-VLOOKUP($B67,'[2]TBG G Cuenta'!$A$6:$AA$1000,COLUMN('[2]TBG G Cuenta'!J231),FALSE)</f>
        <v>0.2</v>
      </c>
      <c r="N67" s="124">
        <f>-VLOOKUP($B67,'[2]TBG G Cuenta'!$A$6:$AA$1000,COLUMN('[2]TBG G Cuenta'!K231),FALSE)</f>
        <v>1510.7668600000002</v>
      </c>
      <c r="O67" s="124">
        <f>-VLOOKUP($B67,'[2]TBG G Cuenta'!$A$6:$AA$1000,COLUMN('[2]TBG G Cuenta'!L231),FALSE)</f>
        <v>8.2899999999999991</v>
      </c>
      <c r="P67" s="124">
        <f>-VLOOKUP($B67,'[2]TBG G Cuenta'!$A$6:$AA$1000,COLUMN('[2]TBG G Cuenta'!M231),FALSE)</f>
        <v>131.54933</v>
      </c>
      <c r="Q67" s="125">
        <f>SUM(E67:P67)</f>
        <v>2880.8431900000005</v>
      </c>
      <c r="R67" s="124">
        <f>-VLOOKUP($B67,'[2]TBG G Cuenta'!$A$6:$AA$1000,COLUMN('[2]TBG G Cuenta'!O231),FALSE)</f>
        <v>12.615</v>
      </c>
      <c r="S67" s="124">
        <f>-VLOOKUP($B67,'[2]TBG G Cuenta'!$A$6:$AA$1000,COLUMN('[2]TBG G Cuenta'!P231),FALSE)</f>
        <v>11.02</v>
      </c>
      <c r="T67" s="124">
        <f>-VLOOKUP($B67,'[2]TBG G Cuenta'!$A$6:$AA$1000,COLUMN('[2]TBG G Cuenta'!Q231),FALSE)</f>
        <v>2.6949999999999998</v>
      </c>
      <c r="U67" s="124">
        <f>-VLOOKUP($B67,'[2]TBG G Cuenta'!$A$6:$AA$1000,COLUMN('[2]TBG G Cuenta'!R231),FALSE)</f>
        <v>27.638000000000002</v>
      </c>
      <c r="V67" s="124">
        <f>-VLOOKUP($B67,'[2]TBG G Cuenta'!$A$6:$AA$1000,COLUMN('[2]TBG G Cuenta'!S231),FALSE)</f>
        <v>1273.146</v>
      </c>
      <c r="W67" s="124">
        <f>-VLOOKUP($B67,'[2]TBG G Cuenta'!$A$6:$AA$1000,COLUMN('[2]TBG G Cuenta'!T231),FALSE)</f>
        <v>1217.01</v>
      </c>
      <c r="X67" s="124">
        <f>-VLOOKUP($B67,'[2]TBG G Cuenta'!$A$6:$AA$1000,COLUMN('[2]TBG G Cuenta'!U231),FALSE)</f>
        <v>1452.96444</v>
      </c>
      <c r="Y67" s="124">
        <f>-VLOOKUP($B67,'[2]TBG G Cuenta'!$A$6:$AA$1000,COLUMN('[2]TBG G Cuenta'!V231),FALSE)</f>
        <v>149.00459000000001</v>
      </c>
      <c r="Z67" s="124">
        <f>-VLOOKUP($B67,'[2]TBG G Cuenta'!$A$6:$AA$1000,COLUMN('[2]TBG G Cuenta'!W231),FALSE)</f>
        <v>36.075429999999997</v>
      </c>
      <c r="AA67" s="124">
        <f>-VLOOKUP($B67,'[2]TBG G Cuenta'!$A$6:$AA$1000,COLUMN('[2]TBG G Cuenta'!X231),FALSE)</f>
        <v>196.58544000000001</v>
      </c>
      <c r="AB67" s="124">
        <f>-VLOOKUP($B67,'[2]TBG G Cuenta'!$A$6:$AA$1000,COLUMN('[2]TBG G Cuenta'!Y231),FALSE)</f>
        <v>1913.7560000000001</v>
      </c>
      <c r="AC67" s="124">
        <f>-VLOOKUP($B67,'[2]TBG G Cuenta'!$A$6:$AA$1000,COLUMN('[2]TBG G Cuenta'!Z231),FALSE)</f>
        <v>2522.6043100000002</v>
      </c>
      <c r="AD67" s="125">
        <f t="shared" si="30"/>
        <v>8815.1142099999997</v>
      </c>
      <c r="AE67" s="124">
        <f>-VLOOKUP($B67,'[2]TBG G Cuenta'!$A$6:$AZ$1000,COLUMN('[2]TBG G Cuenta'!AB231),FALSE)</f>
        <v>4401.4660000000003</v>
      </c>
      <c r="AF67" s="124">
        <f>-VLOOKUP($B67,'[2]TBG G Cuenta'!$A$6:$AZ$1000,COLUMN('[2]TBG G Cuenta'!AC231),FALSE)</f>
        <v>3.5270000000000001</v>
      </c>
      <c r="AG67" s="124">
        <f>-VLOOKUP($B67,'[2]TBG G Cuenta'!$A$6:$AZ$1000,COLUMN('[2]TBG G Cuenta'!AD231),FALSE)</f>
        <v>15.72</v>
      </c>
      <c r="AH67" s="124"/>
      <c r="AI67" s="124"/>
      <c r="AJ67" s="124"/>
      <c r="AK67" s="124"/>
      <c r="AL67" s="124"/>
      <c r="AM67" s="124"/>
      <c r="AN67" s="124"/>
      <c r="AO67" s="124"/>
      <c r="AP67" s="124"/>
      <c r="AQ67" s="125">
        <f t="shared" si="31"/>
        <v>4420.7130000000006</v>
      </c>
    </row>
    <row r="68" spans="2:43" ht="12.5" outlineLevel="1" x14ac:dyDescent="0.25">
      <c r="B68" s="2" t="str">
        <f t="shared" si="6"/>
        <v>PAN4705</v>
      </c>
      <c r="C68" s="102">
        <v>4705</v>
      </c>
      <c r="D68" s="123" t="s">
        <v>137</v>
      </c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5">
        <f t="shared" si="29"/>
        <v>0</v>
      </c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  <c r="AD68" s="125">
        <f t="shared" si="30"/>
        <v>0</v>
      </c>
      <c r="AE68" s="124"/>
      <c r="AF68" s="124"/>
      <c r="AG68" s="124"/>
      <c r="AH68" s="124"/>
      <c r="AI68" s="124"/>
      <c r="AJ68" s="124"/>
      <c r="AK68" s="124"/>
      <c r="AL68" s="124"/>
      <c r="AM68" s="124"/>
      <c r="AN68" s="124"/>
      <c r="AO68" s="124"/>
      <c r="AP68" s="124"/>
      <c r="AQ68" s="125">
        <f t="shared" si="31"/>
        <v>0</v>
      </c>
    </row>
    <row r="69" spans="2:43" ht="12.5" outlineLevel="1" x14ac:dyDescent="0.25">
      <c r="B69" s="2" t="str">
        <f t="shared" si="6"/>
        <v>PAN</v>
      </c>
      <c r="D69" s="141" t="s">
        <v>138</v>
      </c>
      <c r="E69" s="142">
        <f>SUM(E70:E73)</f>
        <v>9158.4819000000007</v>
      </c>
      <c r="F69" s="142">
        <f t="shared" ref="F69:AQ69" si="32">SUM(F70:F73)</f>
        <v>6195.525090000001</v>
      </c>
      <c r="G69" s="142">
        <f t="shared" si="32"/>
        <v>5743.2396900000003</v>
      </c>
      <c r="H69" s="142">
        <f t="shared" si="32"/>
        <v>7625.1959299999999</v>
      </c>
      <c r="I69" s="142">
        <f t="shared" si="32"/>
        <v>9070.6102400000018</v>
      </c>
      <c r="J69" s="142">
        <f t="shared" si="32"/>
        <v>16677.809560000002</v>
      </c>
      <c r="K69" s="142">
        <f t="shared" si="32"/>
        <v>8763.897210000001</v>
      </c>
      <c r="L69" s="142">
        <f t="shared" si="32"/>
        <v>10219.444750000001</v>
      </c>
      <c r="M69" s="142">
        <f t="shared" si="32"/>
        <v>9999.9301399999986</v>
      </c>
      <c r="N69" s="142">
        <f t="shared" si="32"/>
        <v>10685.282000000001</v>
      </c>
      <c r="O69" s="142">
        <f t="shared" si="32"/>
        <v>10612.29896</v>
      </c>
      <c r="P69" s="142">
        <f t="shared" si="32"/>
        <v>10076.107679999999</v>
      </c>
      <c r="Q69" s="143">
        <f t="shared" si="32"/>
        <v>114827.82315000001</v>
      </c>
      <c r="R69" s="142">
        <f t="shared" si="32"/>
        <v>10418.206470000001</v>
      </c>
      <c r="S69" s="142">
        <f t="shared" si="32"/>
        <v>10093.465260000001</v>
      </c>
      <c r="T69" s="142">
        <f t="shared" si="32"/>
        <v>10775.408459999999</v>
      </c>
      <c r="U69" s="142">
        <f t="shared" si="32"/>
        <v>7017.3668600000001</v>
      </c>
      <c r="V69" s="142">
        <f t="shared" si="32"/>
        <v>14431.58079</v>
      </c>
      <c r="W69" s="142">
        <f t="shared" si="32"/>
        <v>9372.6051999999981</v>
      </c>
      <c r="X69" s="142">
        <f t="shared" si="32"/>
        <v>13867.521220000001</v>
      </c>
      <c r="Y69" s="142">
        <f t="shared" si="32"/>
        <v>12094.002619999999</v>
      </c>
      <c r="Z69" s="142">
        <f t="shared" si="32"/>
        <v>11865.703590000001</v>
      </c>
      <c r="AA69" s="142">
        <f t="shared" si="32"/>
        <v>11998.20325</v>
      </c>
      <c r="AB69" s="142">
        <f t="shared" si="32"/>
        <v>12308.582229999998</v>
      </c>
      <c r="AC69" s="142">
        <f t="shared" si="32"/>
        <v>18927.462589999999</v>
      </c>
      <c r="AD69" s="143">
        <f t="shared" si="32"/>
        <v>143170.10853999999</v>
      </c>
      <c r="AE69" s="142">
        <f t="shared" si="32"/>
        <v>12665.815610000001</v>
      </c>
      <c r="AF69" s="142">
        <f t="shared" si="32"/>
        <v>13742.5311</v>
      </c>
      <c r="AG69" s="142">
        <f t="shared" si="32"/>
        <v>9270.9879700000001</v>
      </c>
      <c r="AH69" s="142">
        <f t="shared" si="32"/>
        <v>0</v>
      </c>
      <c r="AI69" s="142">
        <f t="shared" si="32"/>
        <v>0</v>
      </c>
      <c r="AJ69" s="142">
        <f t="shared" si="32"/>
        <v>0</v>
      </c>
      <c r="AK69" s="142">
        <f t="shared" si="32"/>
        <v>0</v>
      </c>
      <c r="AL69" s="142">
        <f t="shared" si="32"/>
        <v>0</v>
      </c>
      <c r="AM69" s="142">
        <f t="shared" si="32"/>
        <v>0</v>
      </c>
      <c r="AN69" s="142">
        <f t="shared" si="32"/>
        <v>0</v>
      </c>
      <c r="AO69" s="142">
        <f t="shared" si="32"/>
        <v>0</v>
      </c>
      <c r="AP69" s="142">
        <f t="shared" si="32"/>
        <v>0</v>
      </c>
      <c r="AQ69" s="143">
        <f t="shared" si="32"/>
        <v>35679.33468</v>
      </c>
    </row>
    <row r="70" spans="2:43" ht="12.5" outlineLevel="1" x14ac:dyDescent="0.25">
      <c r="B70" s="2" t="str">
        <f t="shared" si="6"/>
        <v>PAN5305</v>
      </c>
      <c r="C70" s="102">
        <v>5305</v>
      </c>
      <c r="D70" s="123" t="s">
        <v>139</v>
      </c>
      <c r="E70" s="124">
        <f>IFERROR(VLOOKUP($B70,'[2]TBG G Cuenta'!$A$6:$AA$1000,COLUMN('[2]TBG G Cuenta'!B219),FALSE),0)</f>
        <v>9158.4809000000005</v>
      </c>
      <c r="F70" s="124">
        <f>IFERROR(VLOOKUP($B70,'[2]TBG G Cuenta'!$A$6:$AA$1000,COLUMN('[2]TBG G Cuenta'!C219),FALSE),0)</f>
        <v>6197.5127200000006</v>
      </c>
      <c r="G70" s="124">
        <f>IFERROR(VLOOKUP($B70,'[2]TBG G Cuenta'!$A$6:$AA$1000,COLUMN('[2]TBG G Cuenta'!D219),FALSE),0)</f>
        <v>5743.1826900000005</v>
      </c>
      <c r="H70" s="124">
        <f>IFERROR(VLOOKUP($B70,'[2]TBG G Cuenta'!$A$6:$AA$1000,COLUMN('[2]TBG G Cuenta'!E219),FALSE),0)</f>
        <v>7624.96994</v>
      </c>
      <c r="I70" s="124">
        <f>IFERROR(VLOOKUP($B70,'[2]TBG G Cuenta'!$A$6:$AA$1000,COLUMN('[2]TBG G Cuenta'!F219),FALSE),0)</f>
        <v>9070.8592400000016</v>
      </c>
      <c r="J70" s="124">
        <f>IFERROR(VLOOKUP($B70,'[2]TBG G Cuenta'!$A$6:$AA$1000,COLUMN('[2]TBG G Cuenta'!G219),FALSE),0)</f>
        <v>16676.770390000001</v>
      </c>
      <c r="K70" s="124">
        <f>IFERROR(VLOOKUP($B70,'[2]TBG G Cuenta'!$A$6:$AA$1000,COLUMN('[2]TBG G Cuenta'!H219),FALSE),0)</f>
        <v>8263.3312100000003</v>
      </c>
      <c r="L70" s="124">
        <f>IFERROR(VLOOKUP($B70,'[2]TBG G Cuenta'!$A$6:$AA$1000,COLUMN('[2]TBG G Cuenta'!I219),FALSE),0)</f>
        <v>9322.1772099999998</v>
      </c>
      <c r="M70" s="124">
        <f>IFERROR(VLOOKUP($B70,'[2]TBG G Cuenta'!$A$6:$AA$1000,COLUMN('[2]TBG G Cuenta'!J219),FALSE),0)</f>
        <v>8933.8871399999989</v>
      </c>
      <c r="N70" s="124">
        <f>IFERROR(VLOOKUP($B70,'[2]TBG G Cuenta'!$A$6:$AA$1000,COLUMN('[2]TBG G Cuenta'!K219),FALSE),0)</f>
        <v>10318.4704</v>
      </c>
      <c r="O70" s="124">
        <f>IFERROR(VLOOKUP($B70,'[2]TBG G Cuenta'!$A$6:$AA$1000,COLUMN('[2]TBG G Cuenta'!L219),FALSE),0)</f>
        <v>10023.292960000001</v>
      </c>
      <c r="P70" s="124">
        <f>IFERROR(VLOOKUP($B70,'[2]TBG G Cuenta'!$A$6:$AA$1000,COLUMN('[2]TBG G Cuenta'!M219),FALSE),0)</f>
        <v>10106.74605</v>
      </c>
      <c r="Q70" s="125">
        <f>SUM(E70:P70)</f>
        <v>111439.68085000002</v>
      </c>
      <c r="R70" s="124">
        <f>IFERROR(VLOOKUP($B70,'[2]TBG G Cuenta'!$A$6:$AA$1000,COLUMN('[2]TBG G Cuenta'!O219),FALSE),0)</f>
        <v>10418.25747</v>
      </c>
      <c r="S70" s="124">
        <f>IFERROR(VLOOKUP($B70,'[2]TBG G Cuenta'!$A$6:$AA$1000,COLUMN('[2]TBG G Cuenta'!P219),FALSE),0)</f>
        <v>10087.505510000001</v>
      </c>
      <c r="T70" s="124">
        <f>IFERROR(VLOOKUP($B70,'[2]TBG G Cuenta'!$A$6:$AA$1000,COLUMN('[2]TBG G Cuenta'!Q219),FALSE),0)</f>
        <v>10774.947459999999</v>
      </c>
      <c r="U70" s="124">
        <f>IFERROR(VLOOKUP($B70,'[2]TBG G Cuenta'!$A$6:$AA$1000,COLUMN('[2]TBG G Cuenta'!R219),FALSE),0)</f>
        <v>7016.3751899999997</v>
      </c>
      <c r="V70" s="124">
        <f>IFERROR(VLOOKUP($B70,'[2]TBG G Cuenta'!$A$6:$AA$1000,COLUMN('[2]TBG G Cuenta'!S219),FALSE),0)</f>
        <v>14421.022000000001</v>
      </c>
      <c r="W70" s="124">
        <f>IFERROR(VLOOKUP($B70,'[2]TBG G Cuenta'!$A$6:$AA$1000,COLUMN('[2]TBG G Cuenta'!T219),FALSE),0)</f>
        <v>8938.8632799999978</v>
      </c>
      <c r="X70" s="124">
        <f>IFERROR(VLOOKUP($B70,'[2]TBG G Cuenta'!$A$6:$AA$1000,COLUMN('[2]TBG G Cuenta'!U219),FALSE),0)</f>
        <v>13865.244140000001</v>
      </c>
      <c r="Y70" s="124">
        <f>IFERROR(VLOOKUP($B70,'[2]TBG G Cuenta'!$A$6:$AA$1000,COLUMN('[2]TBG G Cuenta'!V219),FALSE),0)</f>
        <v>11103.52182</v>
      </c>
      <c r="Z70" s="124">
        <f>IFERROR(VLOOKUP($B70,'[2]TBG G Cuenta'!$A$6:$AA$1000,COLUMN('[2]TBG G Cuenta'!W219),FALSE),0)</f>
        <v>11766.740590000001</v>
      </c>
      <c r="AA70" s="124">
        <f>IFERROR(VLOOKUP($B70,'[2]TBG G Cuenta'!$A$6:$AA$1000,COLUMN('[2]TBG G Cuenta'!X219),FALSE),0)</f>
        <v>11988.99706</v>
      </c>
      <c r="AB70" s="124">
        <f>IFERROR(VLOOKUP($B70,'[2]TBG G Cuenta'!$A$6:$AA$1000,COLUMN('[2]TBG G Cuenta'!Y219),FALSE),0)</f>
        <v>12229.183169999998</v>
      </c>
      <c r="AC70" s="124">
        <f>IFERROR(VLOOKUP($B70,'[2]TBG G Cuenta'!$A$6:$AA$1000,COLUMN('[2]TBG G Cuenta'!Z219),FALSE),0)</f>
        <v>13906.519539999999</v>
      </c>
      <c r="AD70" s="125">
        <f t="shared" si="30"/>
        <v>136517.17723</v>
      </c>
      <c r="AE70" s="124">
        <f>IFERROR(VLOOKUP($B70,'[2]TBG G Cuenta'!$A$6:$AZ$1000,COLUMN('[2]TBG G Cuenta'!AB219),FALSE),0)</f>
        <v>12608.882610000001</v>
      </c>
      <c r="AF70" s="124">
        <f>IFERROR(VLOOKUP($B70,'[2]TBG G Cuenta'!$A$6:$AZ$1000,COLUMN('[2]TBG G Cuenta'!AC219),FALSE),0)</f>
        <v>11999.64861</v>
      </c>
      <c r="AG70" s="124">
        <f>IFERROR(VLOOKUP($B70,'[2]TBG G Cuenta'!$A$6:$AZ$1000,COLUMN('[2]TBG G Cuenta'!AD219),FALSE),0)</f>
        <v>7564.6799700000001</v>
      </c>
      <c r="AH70" s="124"/>
      <c r="AI70" s="124"/>
      <c r="AJ70" s="124"/>
      <c r="AK70" s="124"/>
      <c r="AL70" s="124"/>
      <c r="AM70" s="124"/>
      <c r="AN70" s="124"/>
      <c r="AO70" s="124"/>
      <c r="AP70" s="124"/>
      <c r="AQ70" s="125">
        <f t="shared" ref="AQ70:AQ73" si="33">SUM(AE70:AP70)</f>
        <v>32173.211190000002</v>
      </c>
    </row>
    <row r="71" spans="2:43" ht="12.5" outlineLevel="1" x14ac:dyDescent="0.25">
      <c r="B71" s="2" t="str">
        <f t="shared" ref="B71:B79" si="34">+"PAN"&amp;C71</f>
        <v>PAN5310</v>
      </c>
      <c r="C71" s="102">
        <v>5310</v>
      </c>
      <c r="D71" s="123" t="s">
        <v>140</v>
      </c>
      <c r="E71" s="124">
        <f>IFERROR(VLOOKUP($B71,'[2]TBG G Cuenta'!$A$6:$AA$1000,COLUMN('[2]TBG G Cuenta'!B220),FALSE),0)</f>
        <v>0</v>
      </c>
      <c r="F71" s="124">
        <f>IFERROR(VLOOKUP($B71,'[2]TBG G Cuenta'!$A$6:$AA$1000,COLUMN('[2]TBG G Cuenta'!C220),FALSE),0)</f>
        <v>0</v>
      </c>
      <c r="G71" s="124">
        <f>IFERROR(VLOOKUP($B71,'[2]TBG G Cuenta'!$A$6:$AA$1000,COLUMN('[2]TBG G Cuenta'!D220),FALSE),0)</f>
        <v>0</v>
      </c>
      <c r="H71" s="124">
        <f>IFERROR(VLOOKUP($B71,'[2]TBG G Cuenta'!$A$6:$AA$1000,COLUMN('[2]TBG G Cuenta'!E220),FALSE),0)</f>
        <v>0</v>
      </c>
      <c r="I71" s="124">
        <f>IFERROR(VLOOKUP($B71,'[2]TBG G Cuenta'!$A$6:$AA$1000,COLUMN('[2]TBG G Cuenta'!F220),FALSE),0)</f>
        <v>0</v>
      </c>
      <c r="J71" s="124">
        <f>IFERROR(VLOOKUP($B71,'[2]TBG G Cuenta'!$A$6:$AA$1000,COLUMN('[2]TBG G Cuenta'!G220),FALSE),0)</f>
        <v>0</v>
      </c>
      <c r="K71" s="124">
        <f>IFERROR(VLOOKUP($B71,'[2]TBG G Cuenta'!$A$6:$AA$1000,COLUMN('[2]TBG G Cuenta'!H220),FALSE),0)</f>
        <v>0</v>
      </c>
      <c r="L71" s="124">
        <f>IFERROR(VLOOKUP($B71,'[2]TBG G Cuenta'!$A$6:$AA$1000,COLUMN('[2]TBG G Cuenta'!I220),FALSE),0)</f>
        <v>0</v>
      </c>
      <c r="M71" s="124">
        <f>IFERROR(VLOOKUP($B71,'[2]TBG G Cuenta'!$A$6:$AA$1000,COLUMN('[2]TBG G Cuenta'!J220),FALSE),0)</f>
        <v>745.85299999999995</v>
      </c>
      <c r="N71" s="124">
        <f>IFERROR(VLOOKUP($B71,'[2]TBG G Cuenta'!$A$6:$AA$1000,COLUMN('[2]TBG G Cuenta'!K220),FALSE),0)</f>
        <v>365.00900000000001</v>
      </c>
      <c r="O71" s="124">
        <f>IFERROR(VLOOKUP($B71,'[2]TBG G Cuenta'!$A$6:$AA$1000,COLUMN('[2]TBG G Cuenta'!L220),FALSE),0)</f>
        <v>0</v>
      </c>
      <c r="P71" s="124">
        <f>IFERROR(VLOOKUP($B71,'[2]TBG G Cuenta'!$A$6:$AA$1000,COLUMN('[2]TBG G Cuenta'!M220),FALSE),0)</f>
        <v>0</v>
      </c>
      <c r="Q71" s="125">
        <f t="shared" si="29"/>
        <v>1110.8620000000001</v>
      </c>
      <c r="R71" s="124">
        <f>IFERROR(VLOOKUP($B71,'[2]TBG G Cuenta'!$A$6:$AA$1000,COLUMN('[2]TBG G Cuenta'!O220),FALSE),0)</f>
        <v>0</v>
      </c>
      <c r="S71" s="124">
        <f>IFERROR(VLOOKUP($B71,'[2]TBG G Cuenta'!$A$6:$AA$1000,COLUMN('[2]TBG G Cuenta'!P220),FALSE),0)</f>
        <v>0</v>
      </c>
      <c r="T71" s="124">
        <f>IFERROR(VLOOKUP($B71,'[2]TBG G Cuenta'!$A$6:$AA$1000,COLUMN('[2]TBG G Cuenta'!Q220),FALSE),0)</f>
        <v>0</v>
      </c>
      <c r="U71" s="124">
        <f>IFERROR(VLOOKUP($B71,'[2]TBG G Cuenta'!$A$6:$AA$1000,COLUMN('[2]TBG G Cuenta'!R220),FALSE),0)</f>
        <v>0</v>
      </c>
      <c r="V71" s="124">
        <f>IFERROR(VLOOKUP($B71,'[2]TBG G Cuenta'!$A$6:$AA$1000,COLUMN('[2]TBG G Cuenta'!S220),FALSE),0)</f>
        <v>0</v>
      </c>
      <c r="W71" s="124">
        <f>IFERROR(VLOOKUP($B71,'[2]TBG G Cuenta'!$A$6:$AA$1000,COLUMN('[2]TBG G Cuenta'!T220),FALSE),0)</f>
        <v>0</v>
      </c>
      <c r="X71" s="124">
        <f>IFERROR(VLOOKUP($B71,'[2]TBG G Cuenta'!$A$6:$AA$1000,COLUMN('[2]TBG G Cuenta'!U220),FALSE),0)</f>
        <v>0</v>
      </c>
      <c r="Y71" s="124">
        <f>IFERROR(VLOOKUP($B71,'[2]TBG G Cuenta'!$A$6:$AA$1000,COLUMN('[2]TBG G Cuenta'!V220),FALSE),0)</f>
        <v>10</v>
      </c>
      <c r="Z71" s="124">
        <f>IFERROR(VLOOKUP($B71,'[2]TBG G Cuenta'!$A$6:$AA$1000,COLUMN('[2]TBG G Cuenta'!W220),FALSE),0)</f>
        <v>50</v>
      </c>
      <c r="AA71" s="124">
        <f>IFERROR(VLOOKUP($B71,'[2]TBG G Cuenta'!$A$6:$AA$1000,COLUMN('[2]TBG G Cuenta'!X220),FALSE),0)</f>
        <v>0</v>
      </c>
      <c r="AB71" s="124">
        <f>IFERROR(VLOOKUP($B71,'[2]TBG G Cuenta'!$A$6:$AA$1000,COLUMN('[2]TBG G Cuenta'!Y220),FALSE),0)</f>
        <v>0</v>
      </c>
      <c r="AC71" s="124">
        <f>IFERROR(VLOOKUP($B71,'[2]TBG G Cuenta'!$A$6:$AA$1000,COLUMN('[2]TBG G Cuenta'!Z220),FALSE),0)</f>
        <v>3531.4</v>
      </c>
      <c r="AD71" s="125">
        <f t="shared" si="30"/>
        <v>3591.4</v>
      </c>
      <c r="AE71" s="124">
        <f>IFERROR(VLOOKUP($B71,'[2]TBG G Cuenta'!$A$6:$AZ$1000,COLUMN('[2]TBG G Cuenta'!AB220),FALSE),0)</f>
        <v>0</v>
      </c>
      <c r="AF71" s="124">
        <f>IFERROR(VLOOKUP($B71,'[2]TBG G Cuenta'!$A$6:$AZ$1000,COLUMN('[2]TBG G Cuenta'!AC220),FALSE),0)</f>
        <v>0</v>
      </c>
      <c r="AG71" s="124">
        <f>IFERROR(VLOOKUP($B71,'[2]TBG G Cuenta'!$A$6:$AZ$1000,COLUMN('[2]TBG G Cuenta'!AD220),FALSE),0)</f>
        <v>100</v>
      </c>
      <c r="AH71" s="124"/>
      <c r="AI71" s="124"/>
      <c r="AJ71" s="124"/>
      <c r="AK71" s="124"/>
      <c r="AL71" s="124"/>
      <c r="AM71" s="124"/>
      <c r="AN71" s="124"/>
      <c r="AO71" s="124"/>
      <c r="AP71" s="124"/>
      <c r="AQ71" s="125">
        <f t="shared" si="33"/>
        <v>100</v>
      </c>
    </row>
    <row r="72" spans="2:43" ht="12.5" outlineLevel="1" x14ac:dyDescent="0.25">
      <c r="B72" s="2" t="str">
        <f t="shared" si="34"/>
        <v>PAN5315</v>
      </c>
      <c r="C72" s="102">
        <v>5315</v>
      </c>
      <c r="D72" s="123" t="s">
        <v>141</v>
      </c>
      <c r="E72" s="124">
        <f>IFERROR(VLOOKUP($B72,'[2]TBG G Cuenta'!$A$6:$AA$1000,COLUMN('[2]TBG G Cuenta'!B221),FALSE),0)</f>
        <v>1E-3</v>
      </c>
      <c r="F72" s="124">
        <f>IFERROR(VLOOKUP($B72,'[2]TBG G Cuenta'!$A$6:$AA$1000,COLUMN('[2]TBG G Cuenta'!C221),FALSE),0)</f>
        <v>-1.98763</v>
      </c>
      <c r="G72" s="124">
        <f>IFERROR(VLOOKUP($B72,'[2]TBG G Cuenta'!$A$6:$AA$1000,COLUMN('[2]TBG G Cuenta'!D221),FALSE),0)</f>
        <v>5.7000000000000002E-2</v>
      </c>
      <c r="H72" s="124">
        <f>IFERROR(VLOOKUP($B72,'[2]TBG G Cuenta'!$A$6:$AA$1000,COLUMN('[2]TBG G Cuenta'!E221),FALSE),0)</f>
        <v>0.22599000000000002</v>
      </c>
      <c r="I72" s="124">
        <f>IFERROR(VLOOKUP($B72,'[2]TBG G Cuenta'!$A$6:$AA$1000,COLUMN('[2]TBG G Cuenta'!F221),FALSE),0)</f>
        <v>-0.249</v>
      </c>
      <c r="J72" s="124">
        <f>IFERROR(VLOOKUP($B72,'[2]TBG G Cuenta'!$A$6:$AA$1000,COLUMN('[2]TBG G Cuenta'!G221),FALSE),0)</f>
        <v>1.0391700000000001</v>
      </c>
      <c r="K72" s="124">
        <f>IFERROR(VLOOKUP($B72,'[2]TBG G Cuenta'!$A$6:$AA$1000,COLUMN('[2]TBG G Cuenta'!H221),FALSE),0)</f>
        <v>500.56599999999997</v>
      </c>
      <c r="L72" s="124">
        <f>IFERROR(VLOOKUP($B72,'[2]TBG G Cuenta'!$A$6:$AA$1000,COLUMN('[2]TBG G Cuenta'!I221),FALSE),0)</f>
        <v>897.26754000000005</v>
      </c>
      <c r="M72" s="124">
        <f>IFERROR(VLOOKUP($B72,'[2]TBG G Cuenta'!$A$6:$AA$1000,COLUMN('[2]TBG G Cuenta'!J221),FALSE),0)</f>
        <v>320.19</v>
      </c>
      <c r="N72" s="124">
        <f>IFERROR(VLOOKUP($B72,'[2]TBG G Cuenta'!$A$6:$AA$1000,COLUMN('[2]TBG G Cuenta'!K221),FALSE),0)</f>
        <v>1.8026000000000002</v>
      </c>
      <c r="O72" s="124">
        <f>IFERROR(VLOOKUP($B72,'[2]TBG G Cuenta'!$A$6:$AA$1000,COLUMN('[2]TBG G Cuenta'!L221),FALSE),0)</f>
        <v>589.00599999999997</v>
      </c>
      <c r="P72" s="124">
        <f>IFERROR(VLOOKUP($B72,'[2]TBG G Cuenta'!$A$6:$AA$1000,COLUMN('[2]TBG G Cuenta'!M221),FALSE),0)</f>
        <v>-30.638369999999998</v>
      </c>
      <c r="Q72" s="125">
        <f>SUM(E72:P72)</f>
        <v>2277.2802999999999</v>
      </c>
      <c r="R72" s="124">
        <f>IFERROR(VLOOKUP($B72,'[2]TBG G Cuenta'!$A$6:$AA$1000,COLUMN('[2]TBG G Cuenta'!O221),FALSE),0)</f>
        <v>-5.0999999999999997E-2</v>
      </c>
      <c r="S72" s="124">
        <f>IFERROR(VLOOKUP($B72,'[2]TBG G Cuenta'!$A$6:$AA$1000,COLUMN('[2]TBG G Cuenta'!P221),FALSE),0)</f>
        <v>5.9597499999999997</v>
      </c>
      <c r="T72" s="124">
        <f>IFERROR(VLOOKUP($B72,'[2]TBG G Cuenta'!$A$6:$AA$1000,COLUMN('[2]TBG G Cuenta'!Q221),FALSE),0)</f>
        <v>0.46100000000000002</v>
      </c>
      <c r="U72" s="124">
        <f>IFERROR(VLOOKUP($B72,'[2]TBG G Cuenta'!$A$6:$AA$1000,COLUMN('[2]TBG G Cuenta'!R221),FALSE),0)</f>
        <v>0.99166999999999983</v>
      </c>
      <c r="V72" s="124">
        <f>IFERROR(VLOOKUP($B72,'[2]TBG G Cuenta'!$A$6:$AA$1000,COLUMN('[2]TBG G Cuenta'!S221),FALSE),0)</f>
        <v>10.55879</v>
      </c>
      <c r="W72" s="124">
        <f>IFERROR(VLOOKUP($B72,'[2]TBG G Cuenta'!$A$6:$AA$1000,COLUMN('[2]TBG G Cuenta'!T221),FALSE),0)</f>
        <v>433.74191999999994</v>
      </c>
      <c r="X72" s="124">
        <f>IFERROR(VLOOKUP($B72,'[2]TBG G Cuenta'!$A$6:$AA$1000,COLUMN('[2]TBG G Cuenta'!U221),FALSE),0)</f>
        <v>2.2770800000000002</v>
      </c>
      <c r="Y72" s="124">
        <f>IFERROR(VLOOKUP($B72,'[2]TBG G Cuenta'!$A$6:$AA$1000,COLUMN('[2]TBG G Cuenta'!V221),FALSE),0)</f>
        <v>980.48080000000004</v>
      </c>
      <c r="Z72" s="124">
        <f>IFERROR(VLOOKUP($B72,'[2]TBG G Cuenta'!$A$6:$AA$1000,COLUMN('[2]TBG G Cuenta'!W221),FALSE),0)</f>
        <v>48.963000000000001</v>
      </c>
      <c r="AA72" s="124">
        <f>IFERROR(VLOOKUP($B72,'[2]TBG G Cuenta'!$A$6:$AA$1000,COLUMN('[2]TBG G Cuenta'!X221),FALSE),0)</f>
        <v>9.2061900000000012</v>
      </c>
      <c r="AB72" s="124">
        <f>IFERROR(VLOOKUP($B72,'[2]TBG G Cuenta'!$A$6:$AA$1000,COLUMN('[2]TBG G Cuenta'!Y221),FALSE),0)</f>
        <v>79.399059999999992</v>
      </c>
      <c r="AC72" s="124">
        <f>IFERROR(VLOOKUP($B72,'[2]TBG G Cuenta'!$A$6:$AA$1000,COLUMN('[2]TBG G Cuenta'!Z221),FALSE),0)</f>
        <v>1489.5430499999998</v>
      </c>
      <c r="AD72" s="125">
        <f t="shared" si="30"/>
        <v>3061.5313099999998</v>
      </c>
      <c r="AE72" s="124">
        <f>IFERROR(VLOOKUP($B72,'[2]TBG G Cuenta'!$A$6:$AZ$1000,COLUMN('[2]TBG G Cuenta'!AB221),FALSE),0)</f>
        <v>56.933</v>
      </c>
      <c r="AF72" s="124">
        <f>IFERROR(VLOOKUP($B72,'[2]TBG G Cuenta'!$A$6:$AZ$1000,COLUMN('[2]TBG G Cuenta'!AC221),FALSE),0)</f>
        <v>1742.88249</v>
      </c>
      <c r="AG72" s="124">
        <f>IFERROR(VLOOKUP($B72,'[2]TBG G Cuenta'!$A$6:$AZ$1000,COLUMN('[2]TBG G Cuenta'!AD221),FALSE),0)</f>
        <v>1606.308</v>
      </c>
      <c r="AH72" s="124"/>
      <c r="AI72" s="124"/>
      <c r="AJ72" s="124"/>
      <c r="AK72" s="124"/>
      <c r="AL72" s="124"/>
      <c r="AM72" s="124"/>
      <c r="AN72" s="124"/>
      <c r="AO72" s="124"/>
      <c r="AP72" s="124"/>
      <c r="AQ72" s="125">
        <f t="shared" si="33"/>
        <v>3406.1234899999999</v>
      </c>
    </row>
    <row r="73" spans="2:43" ht="12.5" outlineLevel="1" x14ac:dyDescent="0.25">
      <c r="B73" s="2" t="str">
        <f t="shared" si="34"/>
        <v>PAN5395</v>
      </c>
      <c r="C73" s="102">
        <v>5395</v>
      </c>
      <c r="D73" s="123" t="s">
        <v>122</v>
      </c>
      <c r="E73" s="124">
        <f>IFERROR(VLOOKUP($B73,'[2]TBG G Cuenta'!$A$6:$AA$1000,COLUMN('[2]TBG G Cuenta'!B222),FALSE),0)</f>
        <v>0</v>
      </c>
      <c r="F73" s="124">
        <f>IFERROR(VLOOKUP($B73,'[2]TBG G Cuenta'!$A$6:$AA$1000,COLUMN('[2]TBG G Cuenta'!C222),FALSE),0)</f>
        <v>0</v>
      </c>
      <c r="G73" s="124">
        <f>IFERROR(VLOOKUP($B73,'[2]TBG G Cuenta'!$A$6:$AA$1000,COLUMN('[2]TBG G Cuenta'!D222),FALSE),0)</f>
        <v>0</v>
      </c>
      <c r="H73" s="124">
        <f>IFERROR(VLOOKUP($B73,'[2]TBG G Cuenta'!$A$6:$AA$1000,COLUMN('[2]TBG G Cuenta'!E222),FALSE),0)</f>
        <v>0</v>
      </c>
      <c r="I73" s="124">
        <f>IFERROR(VLOOKUP($B73,'[2]TBG G Cuenta'!$A$6:$AA$1000,COLUMN('[2]TBG G Cuenta'!F222),FALSE),0)</f>
        <v>0</v>
      </c>
      <c r="J73" s="124">
        <f>IFERROR(VLOOKUP($B73,'[2]TBG G Cuenta'!$A$6:$AA$1000,COLUMN('[2]TBG G Cuenta'!G222),FALSE),0)</f>
        <v>0</v>
      </c>
      <c r="K73" s="124">
        <f>IFERROR(VLOOKUP($B73,'[2]TBG G Cuenta'!$A$6:$AA$1000,COLUMN('[2]TBG G Cuenta'!H222),FALSE),0)</f>
        <v>0</v>
      </c>
      <c r="L73" s="124">
        <f>IFERROR(VLOOKUP($B73,'[2]TBG G Cuenta'!$A$6:$AA$1000,COLUMN('[2]TBG G Cuenta'!I222),FALSE),0)</f>
        <v>0</v>
      </c>
      <c r="M73" s="124">
        <f>IFERROR(VLOOKUP($B73,'[2]TBG G Cuenta'!$A$6:$AA$1000,COLUMN('[2]TBG G Cuenta'!J222),FALSE),0)</f>
        <v>0</v>
      </c>
      <c r="N73" s="124">
        <f>IFERROR(VLOOKUP($B73,'[2]TBG G Cuenta'!$A$6:$AA$1000,COLUMN('[2]TBG G Cuenta'!K222),FALSE),0)</f>
        <v>0</v>
      </c>
      <c r="O73" s="124">
        <f>IFERROR(VLOOKUP($B73,'[2]TBG G Cuenta'!$A$6:$AA$1000,COLUMN('[2]TBG G Cuenta'!L222),FALSE),0)</f>
        <v>0</v>
      </c>
      <c r="P73" s="124">
        <f>IFERROR(VLOOKUP($B73,'[2]TBG G Cuenta'!$A$6:$AA$1000,COLUMN('[2]TBG G Cuenta'!M222),FALSE),0)</f>
        <v>0</v>
      </c>
      <c r="Q73" s="125">
        <f t="shared" si="29"/>
        <v>0</v>
      </c>
      <c r="R73" s="124">
        <f>IFERROR(VLOOKUP($B73,'[2]TBG G Cuenta'!$A$6:$AA$1000,COLUMN('[2]TBG G Cuenta'!O222),FALSE),0)</f>
        <v>0</v>
      </c>
      <c r="S73" s="124">
        <f>IFERROR(VLOOKUP($B73,'[2]TBG G Cuenta'!$A$6:$AA$1000,COLUMN('[2]TBG G Cuenta'!P222),FALSE),0)</f>
        <v>0</v>
      </c>
      <c r="T73" s="124">
        <f>IFERROR(VLOOKUP($B73,'[2]TBG G Cuenta'!$A$6:$AA$1000,COLUMN('[2]TBG G Cuenta'!Q222),FALSE),0)</f>
        <v>0</v>
      </c>
      <c r="U73" s="124">
        <f>IFERROR(VLOOKUP($B73,'[2]TBG G Cuenta'!$A$6:$AA$1000,COLUMN('[2]TBG G Cuenta'!R222),FALSE),0)</f>
        <v>0</v>
      </c>
      <c r="V73" s="124">
        <f>IFERROR(VLOOKUP($B73,'[2]TBG G Cuenta'!$A$6:$AA$1000,COLUMN('[2]TBG G Cuenta'!S222),FALSE),0)</f>
        <v>0</v>
      </c>
      <c r="W73" s="124">
        <f>IFERROR(VLOOKUP($B73,'[2]TBG G Cuenta'!$A$6:$AA$1000,COLUMN('[2]TBG G Cuenta'!T222),FALSE),0)</f>
        <v>0</v>
      </c>
      <c r="X73" s="124">
        <f>IFERROR(VLOOKUP($B73,'[2]TBG G Cuenta'!$A$6:$AA$1000,COLUMN('[2]TBG G Cuenta'!U222),FALSE),0)</f>
        <v>0</v>
      </c>
      <c r="Y73" s="124">
        <f>IFERROR(VLOOKUP($B73,'[2]TBG G Cuenta'!$A$6:$AA$1000,COLUMN('[2]TBG G Cuenta'!V222),FALSE),0)</f>
        <v>0</v>
      </c>
      <c r="Z73" s="124">
        <f>IFERROR(VLOOKUP($B73,'[2]TBG G Cuenta'!$A$6:$AA$1000,COLUMN('[2]TBG G Cuenta'!W222),FALSE),0)</f>
        <v>0</v>
      </c>
      <c r="AA73" s="124">
        <f>IFERROR(VLOOKUP($B73,'[2]TBG G Cuenta'!$A$6:$AA$1000,COLUMN('[2]TBG G Cuenta'!X222),FALSE),0)</f>
        <v>0</v>
      </c>
      <c r="AB73" s="124"/>
      <c r="AC73" s="124"/>
      <c r="AD73" s="125">
        <f t="shared" si="30"/>
        <v>0</v>
      </c>
      <c r="AE73" s="124">
        <f>IFERROR(VLOOKUP($B73,'[2]TBG G Cuenta'!$A$6:$AZ$1000,COLUMN('[2]TBG G Cuenta'!AB222),FALSE),0)</f>
        <v>0</v>
      </c>
      <c r="AF73" s="124">
        <f>IFERROR(VLOOKUP($B73,'[2]TBG G Cuenta'!$A$6:$AZ$1000,COLUMN('[2]TBG G Cuenta'!AC222),FALSE),0)</f>
        <v>0</v>
      </c>
      <c r="AG73" s="124">
        <f>IFERROR(VLOOKUP($B73,'[2]TBG G Cuenta'!$A$6:$AZ$1000,COLUMN('[2]TBG G Cuenta'!AD222),FALSE),0)</f>
        <v>0</v>
      </c>
      <c r="AH73" s="124"/>
      <c r="AI73" s="124"/>
      <c r="AJ73" s="124"/>
      <c r="AK73" s="124"/>
      <c r="AL73" s="124"/>
      <c r="AM73" s="124"/>
      <c r="AN73" s="124"/>
      <c r="AO73" s="124"/>
      <c r="AP73" s="124"/>
      <c r="AQ73" s="125">
        <f t="shared" si="33"/>
        <v>0</v>
      </c>
    </row>
    <row r="74" spans="2:43" ht="12.5" outlineLevel="1" x14ac:dyDescent="0.25">
      <c r="B74" s="2" t="str">
        <f t="shared" si="34"/>
        <v>PAN</v>
      </c>
      <c r="D74" s="123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5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  <c r="AD74" s="125"/>
      <c r="AE74" s="124"/>
      <c r="AF74" s="124"/>
      <c r="AG74" s="124"/>
      <c r="AH74" s="124"/>
      <c r="AI74" s="124"/>
      <c r="AJ74" s="124"/>
      <c r="AK74" s="124"/>
      <c r="AL74" s="124"/>
      <c r="AM74" s="124"/>
      <c r="AN74" s="124"/>
      <c r="AO74" s="124"/>
      <c r="AP74" s="124"/>
      <c r="AQ74" s="125"/>
    </row>
    <row r="75" spans="2:43" ht="12.5" x14ac:dyDescent="0.25">
      <c r="B75" s="2" t="str">
        <f t="shared" si="34"/>
        <v>PAN</v>
      </c>
      <c r="D75" s="144" t="s">
        <v>142</v>
      </c>
      <c r="E75" s="145">
        <f t="shared" ref="E75:AC75" si="35">+E53-E55</f>
        <v>117906.16451999993</v>
      </c>
      <c r="F75" s="145">
        <f t="shared" si="35"/>
        <v>28431.144010000076</v>
      </c>
      <c r="G75" s="145">
        <f t="shared" si="35"/>
        <v>85649.594440000044</v>
      </c>
      <c r="H75" s="146">
        <f t="shared" si="35"/>
        <v>260.31862000015644</v>
      </c>
      <c r="I75" s="145">
        <f t="shared" si="35"/>
        <v>86547.385190000015</v>
      </c>
      <c r="J75" s="145">
        <f t="shared" si="35"/>
        <v>9431.2155900001089</v>
      </c>
      <c r="K75" s="146">
        <f t="shared" si="35"/>
        <v>129664.28140999997</v>
      </c>
      <c r="L75" s="145">
        <f t="shared" si="35"/>
        <v>147834.67382999999</v>
      </c>
      <c r="M75" s="145">
        <f t="shared" si="35"/>
        <v>151776.81795000008</v>
      </c>
      <c r="N75" s="145">
        <f t="shared" si="35"/>
        <v>116294.52453</v>
      </c>
      <c r="O75" s="145">
        <f t="shared" si="35"/>
        <v>135679.11083999986</v>
      </c>
      <c r="P75" s="145">
        <f t="shared" si="35"/>
        <v>-21597.682920000072</v>
      </c>
      <c r="Q75" s="147">
        <f t="shared" si="35"/>
        <v>987877.54801000177</v>
      </c>
      <c r="R75" s="145">
        <f t="shared" si="35"/>
        <v>199288.42272000009</v>
      </c>
      <c r="S75" s="145">
        <f t="shared" si="35"/>
        <v>157699.21880000003</v>
      </c>
      <c r="T75" s="145">
        <f t="shared" si="35"/>
        <v>117085.18070000003</v>
      </c>
      <c r="U75" s="145">
        <f t="shared" si="35"/>
        <v>80386.36215999999</v>
      </c>
      <c r="V75" s="145">
        <f t="shared" si="35"/>
        <v>190026.84119000001</v>
      </c>
      <c r="W75" s="145">
        <f t="shared" si="35"/>
        <v>21308.609989999968</v>
      </c>
      <c r="X75" s="145">
        <f t="shared" si="35"/>
        <v>137366.91787999988</v>
      </c>
      <c r="Y75" s="145">
        <f t="shared" si="35"/>
        <v>86707.78403000001</v>
      </c>
      <c r="Z75" s="145">
        <f t="shared" si="35"/>
        <v>78539.857730000076</v>
      </c>
      <c r="AA75" s="145">
        <f t="shared" si="35"/>
        <v>32008.003049999967</v>
      </c>
      <c r="AB75" s="145">
        <f t="shared" si="35"/>
        <v>64997.918809999836</v>
      </c>
      <c r="AC75" s="145">
        <f t="shared" si="35"/>
        <v>87074.27172999992</v>
      </c>
      <c r="AD75" s="147">
        <f>+AD53-AD55</f>
        <v>1252489.3887899995</v>
      </c>
      <c r="AE75" s="145">
        <f t="shared" ref="AE75:AP75" si="36">+AE53-AE55</f>
        <v>201059.25755999994</v>
      </c>
      <c r="AF75" s="145">
        <f t="shared" si="36"/>
        <v>-10631.146379999978</v>
      </c>
      <c r="AG75" s="145">
        <f t="shared" si="36"/>
        <v>243410.40983000014</v>
      </c>
      <c r="AH75" s="145">
        <f t="shared" si="36"/>
        <v>0</v>
      </c>
      <c r="AI75" s="145">
        <f t="shared" si="36"/>
        <v>0</v>
      </c>
      <c r="AJ75" s="145">
        <f t="shared" si="36"/>
        <v>0</v>
      </c>
      <c r="AK75" s="145">
        <f t="shared" si="36"/>
        <v>0</v>
      </c>
      <c r="AL75" s="145">
        <f t="shared" si="36"/>
        <v>0</v>
      </c>
      <c r="AM75" s="145">
        <f t="shared" si="36"/>
        <v>0</v>
      </c>
      <c r="AN75" s="145">
        <f t="shared" si="36"/>
        <v>0</v>
      </c>
      <c r="AO75" s="145">
        <f t="shared" si="36"/>
        <v>0</v>
      </c>
      <c r="AP75" s="145">
        <f t="shared" si="36"/>
        <v>0</v>
      </c>
      <c r="AQ75" s="147">
        <f>+AQ53-AQ55</f>
        <v>433838.5210100002</v>
      </c>
    </row>
    <row r="76" spans="2:43" ht="12.5" x14ac:dyDescent="0.25">
      <c r="B76" s="2" t="str">
        <f t="shared" si="34"/>
        <v>PAN</v>
      </c>
      <c r="D76" s="123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5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  <c r="AD76" s="125"/>
      <c r="AE76" s="124"/>
      <c r="AF76" s="124"/>
      <c r="AG76" s="124"/>
      <c r="AH76" s="124"/>
      <c r="AI76" s="124"/>
      <c r="AJ76" s="124"/>
      <c r="AK76" s="124"/>
      <c r="AL76" s="124"/>
      <c r="AM76" s="124"/>
      <c r="AN76" s="124"/>
      <c r="AO76" s="124"/>
      <c r="AP76" s="124"/>
      <c r="AQ76" s="125"/>
    </row>
    <row r="77" spans="2:43" ht="12.5" x14ac:dyDescent="0.25">
      <c r="B77" s="2" t="str">
        <f t="shared" si="34"/>
        <v>PAN5405</v>
      </c>
      <c r="C77" s="101">
        <v>5405</v>
      </c>
      <c r="D77" s="148" t="s">
        <v>143</v>
      </c>
      <c r="E77" s="127">
        <v>0</v>
      </c>
      <c r="F77" s="127">
        <v>0</v>
      </c>
      <c r="G77" s="127">
        <v>0</v>
      </c>
      <c r="H77" s="127">
        <v>0</v>
      </c>
      <c r="I77" s="127">
        <v>0</v>
      </c>
      <c r="J77" s="127">
        <v>0</v>
      </c>
      <c r="K77" s="127">
        <v>0</v>
      </c>
      <c r="L77" s="127">
        <v>0</v>
      </c>
      <c r="M77" s="127">
        <v>0</v>
      </c>
      <c r="N77" s="127">
        <v>0</v>
      </c>
      <c r="O77" s="127">
        <v>0</v>
      </c>
      <c r="P77" s="149">
        <f>IFERROR(VLOOKUP($B77,'[2]TBG G Cuenta'!$A$6:$AA$1000,COLUMN('[2]TBG G Cuenta'!M226),FALSE),0)</f>
        <v>352362.68</v>
      </c>
      <c r="Q77" s="150">
        <f>+P77</f>
        <v>352362.68</v>
      </c>
      <c r="R77" s="127">
        <v>0</v>
      </c>
      <c r="S77" s="127">
        <v>0</v>
      </c>
      <c r="T77" s="127">
        <v>0</v>
      </c>
      <c r="U77" s="127">
        <v>0</v>
      </c>
      <c r="V77" s="127">
        <v>0</v>
      </c>
      <c r="W77" s="124">
        <f>IFERROR(VLOOKUP($B77,'[2]TBG G Cuenta'!$A$6:$AA$1000,COLUMN('[2]TBG G Cuenta'!T226),FALSE),0)</f>
        <v>0</v>
      </c>
      <c r="X77" s="124">
        <f>IFERROR(VLOOKUP($B77,'[2]TBG G Cuenta'!$A$6:$AA$1000,COLUMN('[2]TBG G Cuenta'!U226),FALSE),0)</f>
        <v>0</v>
      </c>
      <c r="Y77" s="124">
        <f>IFERROR(VLOOKUP($B77,'[2]TBG G Cuenta'!$A$6:$AA$1000,COLUMN('[2]TBG G Cuenta'!V226),FALSE),0)</f>
        <v>0</v>
      </c>
      <c r="Z77" s="124">
        <f>IFERROR(VLOOKUP($B77,'[2]TBG G Cuenta'!$A$6:$AA$1000,COLUMN('[2]TBG G Cuenta'!W226),FALSE),0)</f>
        <v>0</v>
      </c>
      <c r="AA77" s="124">
        <f>IFERROR(VLOOKUP($B77,'[2]TBG G Cuenta'!$A$6:$AA$1000,COLUMN('[2]TBG G Cuenta'!X226),FALSE),0)</f>
        <v>0</v>
      </c>
      <c r="AB77" s="124">
        <f>IFERROR(VLOOKUP($B77,'[2]TBG G Cuenta'!$A$6:$AA$1000,COLUMN('[2]TBG G Cuenta'!Y226),FALSE),0)</f>
        <v>0</v>
      </c>
      <c r="AD77" s="124">
        <f>IFERROR(VLOOKUP($B77,'[2]TBG G Cuenta'!$A$6:$AA$1000,COLUMN('[2]TBG G Cuenta'!Z226),FALSE),0)</f>
        <v>447853.18157999997</v>
      </c>
      <c r="AE77" s="127">
        <v>0</v>
      </c>
      <c r="AF77" s="127">
        <v>0</v>
      </c>
      <c r="AG77" s="127">
        <v>0</v>
      </c>
      <c r="AH77" s="127"/>
      <c r="AI77" s="127"/>
      <c r="AJ77" s="124"/>
      <c r="AK77" s="124"/>
      <c r="AL77" s="124"/>
      <c r="AM77" s="124"/>
      <c r="AN77" s="124"/>
      <c r="AO77" s="124"/>
      <c r="AQ77" s="124">
        <f>IFERROR(VLOOKUP($B77,'[2]TBG G Cuenta'!$A$6:$AZ$1000,COLUMN('[2]TBG G Cuenta'!AM226),FALSE),0)</f>
        <v>0</v>
      </c>
    </row>
    <row r="78" spans="2:43" ht="12.5" x14ac:dyDescent="0.25">
      <c r="B78" s="2" t="str">
        <f t="shared" si="34"/>
        <v>PAN</v>
      </c>
      <c r="D78" s="123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5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  <c r="AD78" s="125"/>
      <c r="AE78" s="124"/>
      <c r="AF78" s="124"/>
      <c r="AG78" s="124"/>
      <c r="AH78" s="124"/>
      <c r="AI78" s="124"/>
      <c r="AJ78" s="124"/>
      <c r="AK78" s="124"/>
      <c r="AL78" s="124"/>
      <c r="AM78" s="124"/>
      <c r="AN78" s="124"/>
      <c r="AO78" s="124"/>
      <c r="AP78" s="124"/>
      <c r="AQ78" s="125"/>
    </row>
    <row r="79" spans="2:43" ht="12.5" x14ac:dyDescent="0.25">
      <c r="B79" s="2" t="str">
        <f t="shared" si="34"/>
        <v>PAN</v>
      </c>
      <c r="D79" s="120" t="s">
        <v>144</v>
      </c>
      <c r="E79" s="121">
        <f t="shared" ref="E79:H79" si="37">+E75-E77</f>
        <v>117906.16451999993</v>
      </c>
      <c r="F79" s="121">
        <f t="shared" si="37"/>
        <v>28431.144010000076</v>
      </c>
      <c r="G79" s="121">
        <f t="shared" si="37"/>
        <v>85649.594440000044</v>
      </c>
      <c r="H79" s="121">
        <f t="shared" si="37"/>
        <v>260.31862000015644</v>
      </c>
      <c r="I79" s="121">
        <f>+I75-I77</f>
        <v>86547.385190000015</v>
      </c>
      <c r="J79" s="121">
        <f>+J75-J77</f>
        <v>9431.2155900001089</v>
      </c>
      <c r="K79" s="121">
        <f t="shared" ref="K79:P79" si="38">+K75-K77</f>
        <v>129664.28140999997</v>
      </c>
      <c r="L79" s="121">
        <f t="shared" si="38"/>
        <v>147834.67382999999</v>
      </c>
      <c r="M79" s="121">
        <f>+M75-M77</f>
        <v>151776.81795000008</v>
      </c>
      <c r="N79" s="121">
        <f t="shared" si="38"/>
        <v>116294.52453</v>
      </c>
      <c r="O79" s="121">
        <f t="shared" si="38"/>
        <v>135679.11083999986</v>
      </c>
      <c r="P79" s="121">
        <f t="shared" si="38"/>
        <v>-373960.36292000004</v>
      </c>
      <c r="Q79" s="147">
        <f>+Q75-Q77</f>
        <v>635514.86801000172</v>
      </c>
      <c r="R79" s="121">
        <f t="shared" ref="R79:U79" si="39">+R75-R77</f>
        <v>199288.42272000009</v>
      </c>
      <c r="S79" s="121">
        <f t="shared" si="39"/>
        <v>157699.21880000003</v>
      </c>
      <c r="T79" s="121">
        <f t="shared" si="39"/>
        <v>117085.18070000003</v>
      </c>
      <c r="U79" s="121">
        <f t="shared" si="39"/>
        <v>80386.36215999999</v>
      </c>
      <c r="V79" s="121">
        <f>+V75-V77</f>
        <v>190026.84119000001</v>
      </c>
      <c r="W79" s="121">
        <f>+W75-W77</f>
        <v>21308.609989999968</v>
      </c>
      <c r="X79" s="121">
        <f t="shared" ref="X79:AH79" si="40">+X75-X77</f>
        <v>137366.91787999988</v>
      </c>
      <c r="Y79" s="121">
        <f t="shared" si="40"/>
        <v>86707.78403000001</v>
      </c>
      <c r="Z79" s="121">
        <f t="shared" si="40"/>
        <v>78539.857730000076</v>
      </c>
      <c r="AA79" s="121">
        <f t="shared" si="40"/>
        <v>32008.003049999967</v>
      </c>
      <c r="AB79" s="121">
        <f t="shared" si="40"/>
        <v>64997.918809999836</v>
      </c>
      <c r="AC79" s="121">
        <f t="shared" si="40"/>
        <v>87074.27172999992</v>
      </c>
      <c r="AD79" s="121">
        <f t="shared" si="40"/>
        <v>804636.20720999956</v>
      </c>
      <c r="AE79" s="121">
        <f t="shared" si="40"/>
        <v>201059.25755999994</v>
      </c>
      <c r="AF79" s="121">
        <f t="shared" si="40"/>
        <v>-10631.146379999978</v>
      </c>
      <c r="AG79" s="121">
        <f t="shared" si="40"/>
        <v>243410.40983000014</v>
      </c>
      <c r="AH79" s="121">
        <f t="shared" si="40"/>
        <v>0</v>
      </c>
      <c r="AI79" s="121">
        <f>+AI75-AI77</f>
        <v>0</v>
      </c>
      <c r="AJ79" s="121">
        <f>+AJ75-AJ77</f>
        <v>0</v>
      </c>
      <c r="AK79" s="121">
        <f t="shared" ref="AK79:AQ79" si="41">+AK75-AK77</f>
        <v>0</v>
      </c>
      <c r="AL79" s="121">
        <f t="shared" si="41"/>
        <v>0</v>
      </c>
      <c r="AM79" s="121">
        <f t="shared" si="41"/>
        <v>0</v>
      </c>
      <c r="AN79" s="121">
        <f t="shared" si="41"/>
        <v>0</v>
      </c>
      <c r="AO79" s="121">
        <f t="shared" si="41"/>
        <v>0</v>
      </c>
      <c r="AP79" s="121">
        <f t="shared" si="41"/>
        <v>0</v>
      </c>
      <c r="AQ79" s="121">
        <f t="shared" si="41"/>
        <v>433838.5210100002</v>
      </c>
    </row>
    <row r="80" spans="2:43" ht="12" thickBot="1" x14ac:dyDescent="0.3">
      <c r="D80" s="151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3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3"/>
      <c r="AE80" s="152"/>
      <c r="AF80" s="152"/>
      <c r="AG80" s="152"/>
      <c r="AH80" s="152"/>
      <c r="AI80" s="152"/>
      <c r="AJ80" s="152"/>
      <c r="AK80" s="152"/>
      <c r="AL80" s="152"/>
      <c r="AM80" s="152"/>
      <c r="AN80" s="152"/>
      <c r="AO80" s="152"/>
      <c r="AP80" s="152"/>
      <c r="AQ80" s="153"/>
    </row>
    <row r="81" spans="2:43" x14ac:dyDescent="0.25">
      <c r="D81" s="102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  <c r="AG81" s="154"/>
      <c r="AH81" s="154"/>
      <c r="AI81" s="154"/>
      <c r="AJ81" s="154"/>
      <c r="AK81" s="154"/>
      <c r="AL81" s="154"/>
      <c r="AM81" s="154"/>
      <c r="AN81" s="154"/>
      <c r="AO81" s="154"/>
      <c r="AP81" s="154"/>
      <c r="AQ81" s="154"/>
    </row>
    <row r="82" spans="2:43" x14ac:dyDescent="0.25">
      <c r="D82" s="102"/>
      <c r="E82" s="102"/>
      <c r="F82" s="102"/>
      <c r="G82" s="102"/>
      <c r="H82" s="102"/>
      <c r="I82" s="154"/>
      <c r="J82" s="154"/>
      <c r="K82" s="154"/>
      <c r="L82" s="154"/>
      <c r="M82" s="154"/>
      <c r="N82" s="154"/>
      <c r="O82" s="154"/>
      <c r="P82" s="154"/>
      <c r="Q82" s="154"/>
      <c r="R82" s="102"/>
      <c r="S82" s="102"/>
      <c r="T82" s="102"/>
      <c r="U82" s="102"/>
      <c r="V82" s="154"/>
      <c r="W82" s="154"/>
      <c r="X82" s="154"/>
      <c r="Y82" s="154"/>
      <c r="Z82" s="154"/>
      <c r="AA82" s="154"/>
      <c r="AB82" s="154"/>
      <c r="AC82" s="154"/>
      <c r="AD82" s="154"/>
      <c r="AE82" s="102"/>
      <c r="AF82" s="102"/>
      <c r="AG82" s="102"/>
      <c r="AH82" s="102"/>
      <c r="AI82" s="154"/>
      <c r="AJ82" s="154"/>
      <c r="AK82" s="154"/>
      <c r="AL82" s="154"/>
      <c r="AM82" s="154"/>
      <c r="AN82" s="154"/>
      <c r="AO82" s="154"/>
      <c r="AP82" s="154"/>
      <c r="AQ82" s="154"/>
    </row>
    <row r="83" spans="2:43" s="157" customFormat="1" x14ac:dyDescent="0.25">
      <c r="B83" s="101"/>
      <c r="C83" s="155"/>
      <c r="D83" s="156" t="s">
        <v>95</v>
      </c>
      <c r="E83" s="156">
        <f>-BCE!M69-'P Y G'!E79</f>
        <v>0</v>
      </c>
      <c r="F83" s="156">
        <f>-BCE!N69+BCE!M69-F75</f>
        <v>0</v>
      </c>
      <c r="G83" s="156">
        <f>-BCE!O69+BCE!N69-G75</f>
        <v>0</v>
      </c>
      <c r="H83" s="156">
        <f>-BCE!P69+BCE!O69-H75</f>
        <v>-5.4569682106375694E-12</v>
      </c>
      <c r="I83" s="156">
        <f>-BCE!Q69+BCE!P69-I75</f>
        <v>0</v>
      </c>
      <c r="J83" s="156">
        <f>-BCE!R69+BCE!Q69-J75</f>
        <v>-1.4551915228366852E-11</v>
      </c>
      <c r="K83" s="156">
        <f>-BCE!S69+BCE!R69-K75</f>
        <v>0</v>
      </c>
      <c r="L83" s="156">
        <f>-BCE!T69+BCE!S69-L75</f>
        <v>0</v>
      </c>
      <c r="M83" s="156">
        <f>-BCE!U69+BCE!T69-M75</f>
        <v>0</v>
      </c>
      <c r="N83" s="156">
        <f>-BCE!V69+BCE!U69-N75</f>
        <v>0</v>
      </c>
      <c r="O83" s="156">
        <f>-BCE!W69+BCE!V69-O75</f>
        <v>0</v>
      </c>
      <c r="P83" s="156">
        <f>-BCE!X69+BCE!W69-P79</f>
        <v>0</v>
      </c>
      <c r="Q83" s="156">
        <f>-BCE!Y69+BCE!X69-Q79</f>
        <v>-1071741.3133000017</v>
      </c>
      <c r="R83" s="156">
        <f>+(BCE!Y69-BCE!X69)+R79</f>
        <v>635514.86801000009</v>
      </c>
      <c r="S83" s="156">
        <f>+(BCE!Z69-BCE!Y69)+S79</f>
        <v>0</v>
      </c>
      <c r="T83" s="156">
        <f>+(BCE!AA69-BCE!Z69)+T79</f>
        <v>0</v>
      </c>
      <c r="U83" s="156">
        <f>+(BCE!AB69-BCE!AA69)+U79</f>
        <v>0</v>
      </c>
      <c r="V83" s="156">
        <f>+(BCE!AC69-BCE!AB69)+V79</f>
        <v>0</v>
      </c>
      <c r="W83" s="156">
        <f>+(BCE!AD69-BCE!AC69)+W79</f>
        <v>-5.8207660913467407E-11</v>
      </c>
      <c r="X83" s="156">
        <f>+(BCE!AE69-BCE!AD69)+X79</f>
        <v>0</v>
      </c>
      <c r="Y83" s="156">
        <f>+(BCE!AF69-BCE!AE69)+Y79</f>
        <v>0</v>
      </c>
      <c r="Z83" s="156">
        <f>+(BCE!AG69-BCE!AF69)+Z79</f>
        <v>0</v>
      </c>
      <c r="AA83" s="156">
        <f>+(BCE!AH69-BCE!AG69)+AA79</f>
        <v>0</v>
      </c>
      <c r="AB83" s="156">
        <f>+(BCE!AI69-BCE!AH69)+AB79</f>
        <v>-1.0913936421275139E-10</v>
      </c>
      <c r="AC83" s="156">
        <f>+(BCE!AJ69-BCE!AI69)+AC79</f>
        <v>447853.18157999997</v>
      </c>
      <c r="AD83" s="156">
        <f>-BCE!AL69+BCE!AK69-AD75</f>
        <v>-1263120.5351699996</v>
      </c>
      <c r="AE83" s="156">
        <f>+(BCE!AL69-BCE!AK69)+AE79</f>
        <v>211690.40393999993</v>
      </c>
      <c r="AF83" s="156">
        <f>+(BCE!AM69-BCE!AL69)+AF79</f>
        <v>-254041.55621000013</v>
      </c>
      <c r="AG83" s="156">
        <f>+(BCE!AN69-BCE!AM69)+AG79</f>
        <v>243410.40983000014</v>
      </c>
      <c r="AH83" s="156">
        <f>+(BCE!AO69-BCE!AN69)+AH79</f>
        <v>0</v>
      </c>
      <c r="AI83" s="156">
        <f>+(BCE!AP69-BCE!AO69)+AI79</f>
        <v>0</v>
      </c>
      <c r="AJ83" s="156">
        <f>+(BCE!AQ69-BCE!AP69)+AJ79</f>
        <v>0</v>
      </c>
      <c r="AK83" s="156">
        <f>+(BCE!AR69-BCE!AQ69)+AK79</f>
        <v>0</v>
      </c>
      <c r="AL83" s="156">
        <f>+(BCE!AS69-BCE!AR69)+AL79</f>
        <v>0</v>
      </c>
      <c r="AM83" s="156">
        <f>+(BCE!AT69-BCE!AS69)+AM79</f>
        <v>0</v>
      </c>
      <c r="AN83" s="156">
        <f>+(BCE!AU69-BCE!AT69)+AN79</f>
        <v>0</v>
      </c>
      <c r="AO83" s="156">
        <f>+(BCE!AV69-BCE!AU69)+AO79</f>
        <v>0</v>
      </c>
      <c r="AP83" s="156">
        <f>+(BCE!AW69-BCE!AV69)+AP79</f>
        <v>433838.52101000008</v>
      </c>
      <c r="AQ83" s="156">
        <f>-BCE!AY69+BCE!AX69-AQ75</f>
        <v>-433838.5210100002</v>
      </c>
    </row>
    <row r="84" spans="2:43" x14ac:dyDescent="0.25">
      <c r="D84" s="102"/>
      <c r="E84" s="102"/>
      <c r="F84" s="102"/>
      <c r="G84" s="102"/>
      <c r="H84" s="102"/>
      <c r="I84" s="154"/>
      <c r="J84" s="154"/>
      <c r="K84" s="154"/>
      <c r="L84" s="154"/>
      <c r="M84" s="154"/>
      <c r="N84" s="154"/>
      <c r="O84" s="154"/>
      <c r="P84" s="154"/>
      <c r="Q84" s="154"/>
      <c r="R84" s="102"/>
      <c r="S84" s="102"/>
      <c r="T84" s="102"/>
      <c r="U84" s="102"/>
      <c r="V84" s="154"/>
      <c r="W84" s="154"/>
      <c r="X84" s="154"/>
      <c r="Y84" s="154"/>
      <c r="Z84" s="154"/>
      <c r="AA84" s="154"/>
      <c r="AB84" s="154"/>
      <c r="AC84" s="154"/>
      <c r="AD84" s="154"/>
      <c r="AE84" s="102"/>
      <c r="AF84" s="102"/>
      <c r="AG84" s="102"/>
      <c r="AH84" s="102"/>
      <c r="AI84" s="154"/>
      <c r="AJ84" s="154"/>
      <c r="AK84" s="154"/>
      <c r="AL84" s="154"/>
      <c r="AM84" s="154"/>
      <c r="AN84" s="154"/>
      <c r="AO84" s="154"/>
      <c r="AP84" s="154"/>
      <c r="AQ84" s="154"/>
    </row>
    <row r="85" spans="2:43" x14ac:dyDescent="0.25">
      <c r="D85" s="158" t="s">
        <v>145</v>
      </c>
      <c r="E85" s="155">
        <f>+BCE!M69-BCE!L69</f>
        <v>354760.9155400006</v>
      </c>
      <c r="F85" s="155">
        <f>+BCE!N69-BCE!M69</f>
        <v>-28431.144010000076</v>
      </c>
      <c r="G85" s="155">
        <f>+BCE!O69-BCE!N69</f>
        <v>-85649.594440000044</v>
      </c>
      <c r="H85" s="155">
        <f>+BCE!P69-BCE!O69</f>
        <v>-260.31862000015099</v>
      </c>
      <c r="I85" s="155">
        <f>+BCE!Q69-BCE!P69</f>
        <v>-86547.385190000001</v>
      </c>
      <c r="J85" s="155">
        <f>+BCE!R69-BCE!Q69</f>
        <v>-9431.2155900000944</v>
      </c>
      <c r="K85" s="155">
        <f>+BCE!S69-BCE!R69</f>
        <v>-129664.28140999994</v>
      </c>
      <c r="L85" s="155">
        <f>+BCE!T69-BCE!S69</f>
        <v>-147834.67382999999</v>
      </c>
      <c r="M85" s="155">
        <f>+BCE!U69-BCE!T69</f>
        <v>-151776.81795000006</v>
      </c>
      <c r="N85" s="155">
        <f>+BCE!V69-BCE!U69</f>
        <v>-116294.52453000005</v>
      </c>
      <c r="O85" s="155">
        <f>+BCE!W69-BCE!V69</f>
        <v>-135679.11083999986</v>
      </c>
      <c r="P85" s="155">
        <f>+BCE!X69-BCE!W69</f>
        <v>373960.3629200001</v>
      </c>
      <c r="Q85" s="155">
        <f>+BCE!Y69-BCE!X69</f>
        <v>436226.44529</v>
      </c>
      <c r="R85" s="155">
        <f>-BCE!Y69</f>
        <v>199288.42272000009</v>
      </c>
      <c r="S85" s="155">
        <f>+BCE!Z69-BCE!Y69</f>
        <v>-157699.21880000003</v>
      </c>
      <c r="T85" s="155">
        <f>+BCE!AA69-BCE!Z69</f>
        <v>-117085.18070000003</v>
      </c>
      <c r="U85" s="155">
        <f>+BCE!AB69-BCE!AA69</f>
        <v>-80386.362159999961</v>
      </c>
      <c r="V85" s="155">
        <f>+BCE!AC69-BCE!AB69</f>
        <v>-190026.84118999995</v>
      </c>
      <c r="W85" s="155">
        <f>+BCE!AD69-BCE!AC69</f>
        <v>-21308.609990000026</v>
      </c>
      <c r="X85" s="155">
        <f>+BCE!AE69-BCE!AD69</f>
        <v>-137366.91787999985</v>
      </c>
      <c r="Y85" s="155">
        <f>+BCE!AF69-BCE!AE69</f>
        <v>-86707.784029999981</v>
      </c>
      <c r="Z85" s="155">
        <f>+BCE!AG69-BCE!AF69</f>
        <v>-78539.857730000047</v>
      </c>
      <c r="AA85" s="155">
        <f>+BCE!AH69-BCE!AG69</f>
        <v>-32008.003049999941</v>
      </c>
      <c r="AB85" s="154"/>
      <c r="AC85" s="154"/>
      <c r="AD85" s="154"/>
      <c r="AE85" s="155">
        <f>-BCE!AL69</f>
        <v>190428.11117999995</v>
      </c>
      <c r="AF85" s="155">
        <f>+BCE!AM69-BCE!AL69</f>
        <v>-243410.40983000014</v>
      </c>
      <c r="AG85" s="155">
        <f>+BCE!AN69-BCE!AM69</f>
        <v>0</v>
      </c>
      <c r="AH85" s="155">
        <f>+BCE!AO69-BCE!AN69</f>
        <v>0</v>
      </c>
      <c r="AI85" s="155">
        <f>+BCE!AP69-BCE!AO69</f>
        <v>0</v>
      </c>
      <c r="AJ85" s="155">
        <f>+BCE!AQ69-BCE!AP69</f>
        <v>0</v>
      </c>
      <c r="AK85" s="155">
        <f>+BCE!AR69-BCE!AQ69</f>
        <v>0</v>
      </c>
      <c r="AL85" s="155">
        <f>+BCE!AS69-BCE!AR69</f>
        <v>0</v>
      </c>
      <c r="AM85" s="155">
        <f>+BCE!AT69-BCE!AS69</f>
        <v>0</v>
      </c>
      <c r="AN85" s="155">
        <f>+BCE!AU69-BCE!AT69</f>
        <v>0</v>
      </c>
      <c r="AO85" s="154"/>
      <c r="AP85" s="154"/>
      <c r="AQ85" s="154"/>
    </row>
    <row r="86" spans="2:43" x14ac:dyDescent="0.25">
      <c r="D86" s="102"/>
      <c r="E86" s="102"/>
      <c r="F86" s="102"/>
      <c r="G86" s="102"/>
      <c r="H86" s="102"/>
      <c r="I86" s="154"/>
      <c r="J86" s="154"/>
      <c r="K86" s="154"/>
      <c r="L86" s="154"/>
      <c r="M86" s="154"/>
      <c r="N86" s="154"/>
      <c r="O86" s="154"/>
      <c r="P86" s="154"/>
      <c r="Q86" s="154"/>
      <c r="R86" s="102"/>
      <c r="S86" s="102"/>
      <c r="T86" s="102"/>
      <c r="U86" s="102"/>
      <c r="V86" s="154"/>
      <c r="W86" s="101">
        <v>21</v>
      </c>
      <c r="X86" s="101">
        <v>22</v>
      </c>
      <c r="Y86" s="101">
        <v>23</v>
      </c>
      <c r="Z86" s="101">
        <v>24</v>
      </c>
      <c r="AA86" s="101">
        <v>25</v>
      </c>
      <c r="AB86" s="101">
        <v>26</v>
      </c>
      <c r="AC86" s="101">
        <v>27</v>
      </c>
      <c r="AD86" s="101">
        <v>28</v>
      </c>
    </row>
    <row r="87" spans="2:43" x14ac:dyDescent="0.25">
      <c r="D87" s="102" t="s">
        <v>146</v>
      </c>
      <c r="E87" s="159">
        <f>+E5/$Q$5</f>
        <v>7.9576119337242804E-2</v>
      </c>
      <c r="F87" s="159">
        <f t="shared" ref="F87:P87" si="42">+F5/$Q$5</f>
        <v>7.1810825232695774E-2</v>
      </c>
      <c r="G87" s="159">
        <f t="shared" si="42"/>
        <v>6.9233791705104297E-2</v>
      </c>
      <c r="H87" s="159">
        <f t="shared" si="42"/>
        <v>7.1050429293690653E-2</v>
      </c>
      <c r="I87" s="159">
        <f t="shared" si="42"/>
        <v>7.4749260288297134E-2</v>
      </c>
      <c r="J87" s="159">
        <f t="shared" si="42"/>
        <v>6.7610203088204215E-2</v>
      </c>
      <c r="K87" s="159">
        <f t="shared" si="42"/>
        <v>8.7554290291839254E-2</v>
      </c>
      <c r="L87" s="159">
        <f t="shared" si="42"/>
        <v>0.10038284525776357</v>
      </c>
      <c r="M87" s="159">
        <f t="shared" si="42"/>
        <v>9.2184169455473045E-2</v>
      </c>
      <c r="N87" s="159">
        <f t="shared" si="42"/>
        <v>9.6742897322229793E-2</v>
      </c>
      <c r="O87" s="159">
        <f t="shared" si="42"/>
        <v>9.4006844006844739E-2</v>
      </c>
      <c r="P87" s="159">
        <f t="shared" si="42"/>
        <v>9.5098324720614483E-2</v>
      </c>
      <c r="Q87" s="154"/>
      <c r="R87" s="102"/>
      <c r="S87" s="102"/>
      <c r="T87" s="102"/>
      <c r="U87" s="102"/>
      <c r="V87" s="154"/>
      <c r="W87" s="154"/>
      <c r="X87" s="154"/>
      <c r="Y87" s="154"/>
      <c r="Z87" s="154"/>
      <c r="AA87" s="154"/>
      <c r="AB87" s="154"/>
      <c r="AC87" s="154"/>
      <c r="AD87" s="154"/>
    </row>
    <row r="88" spans="2:43" x14ac:dyDescent="0.25">
      <c r="D88" s="102"/>
      <c r="E88" s="160" t="s">
        <v>147</v>
      </c>
      <c r="F88" s="160"/>
      <c r="G88" s="160"/>
      <c r="H88" s="160"/>
      <c r="I88" s="160"/>
      <c r="J88" s="160"/>
      <c r="K88" s="160"/>
      <c r="L88" s="160"/>
      <c r="M88" s="154"/>
      <c r="N88" s="154"/>
      <c r="O88" s="154">
        <f>+O87*3</f>
        <v>0.28202053202053423</v>
      </c>
      <c r="P88" s="154"/>
      <c r="Q88" s="154"/>
      <c r="R88" s="102"/>
      <c r="S88" s="102"/>
      <c r="T88" s="102"/>
      <c r="U88" s="102"/>
      <c r="V88" s="154"/>
      <c r="W88" s="154"/>
      <c r="X88" s="154"/>
      <c r="Y88" s="154"/>
      <c r="Z88" s="154"/>
      <c r="AA88" s="154"/>
      <c r="AB88" s="154"/>
      <c r="AC88" s="154"/>
      <c r="AD88" s="154"/>
    </row>
    <row r="89" spans="2:43" x14ac:dyDescent="0.25">
      <c r="D89" s="102"/>
      <c r="E89" s="160"/>
      <c r="F89" s="160"/>
      <c r="G89" s="160"/>
      <c r="H89" s="160"/>
      <c r="I89" s="160"/>
      <c r="J89" s="160"/>
      <c r="K89" s="160"/>
      <c r="L89" s="160"/>
      <c r="M89" s="154"/>
      <c r="N89" s="154"/>
      <c r="O89" s="154"/>
      <c r="P89" s="154"/>
      <c r="Q89" s="154"/>
      <c r="R89" s="102"/>
      <c r="S89" s="102"/>
      <c r="T89" s="102"/>
      <c r="U89" s="102"/>
      <c r="V89" s="154"/>
      <c r="W89" s="154"/>
      <c r="X89" s="154"/>
      <c r="Y89" s="154"/>
      <c r="Z89" s="154"/>
      <c r="AA89" s="154"/>
      <c r="AB89" s="154"/>
      <c r="AC89" s="154"/>
      <c r="AD89" s="154"/>
    </row>
    <row r="90" spans="2:43" x14ac:dyDescent="0.25">
      <c r="D90" s="102"/>
      <c r="E90" s="160"/>
      <c r="F90" s="160"/>
      <c r="G90" s="160"/>
      <c r="H90" s="160"/>
      <c r="I90" s="160"/>
      <c r="J90" s="160"/>
      <c r="K90" s="160"/>
      <c r="L90" s="160"/>
      <c r="M90" s="154"/>
      <c r="N90" s="154"/>
      <c r="O90" s="154"/>
      <c r="P90" s="154"/>
      <c r="Q90" s="154"/>
      <c r="R90" s="102"/>
      <c r="S90" s="102"/>
      <c r="T90" s="102"/>
      <c r="U90" s="102"/>
      <c r="V90" s="154">
        <f>SUBTOTAL(9,R79:V79)</f>
        <v>744486.02557000006</v>
      </c>
      <c r="W90" s="154"/>
      <c r="X90" s="154"/>
      <c r="Y90" s="154"/>
      <c r="Z90" s="154"/>
      <c r="AA90" s="154"/>
      <c r="AB90" s="154">
        <f>SUBTOTAL(9,W79:AB79)</f>
        <v>420929.09148999967</v>
      </c>
      <c r="AC90" s="154"/>
      <c r="AD90" s="154">
        <f>+AD79-Q75</f>
        <v>-183241.34080000222</v>
      </c>
    </row>
    <row r="91" spans="2:43" x14ac:dyDescent="0.25">
      <c r="D91" s="102"/>
      <c r="E91" s="160"/>
      <c r="F91" s="160"/>
      <c r="G91" s="160"/>
      <c r="H91" s="160"/>
      <c r="I91" s="160"/>
      <c r="J91" s="160"/>
      <c r="K91" s="160"/>
      <c r="L91" s="160"/>
      <c r="M91" s="154"/>
      <c r="N91" s="154"/>
      <c r="O91" s="154"/>
      <c r="P91" s="154"/>
      <c r="Q91" s="154"/>
      <c r="R91" s="102"/>
      <c r="S91" s="102"/>
      <c r="T91" s="102"/>
      <c r="U91" s="102"/>
      <c r="V91" s="154"/>
      <c r="W91" s="154"/>
      <c r="X91" s="154"/>
      <c r="Y91" s="154"/>
      <c r="Z91" s="154"/>
      <c r="AA91" s="154"/>
      <c r="AB91" s="154"/>
      <c r="AC91" s="154">
        <v>1</v>
      </c>
      <c r="AD91" s="154">
        <f>+Q75</f>
        <v>987877.54801000177</v>
      </c>
    </row>
    <row r="92" spans="2:43" x14ac:dyDescent="0.25">
      <c r="D92" s="102"/>
      <c r="E92" s="160"/>
      <c r="F92" s="160"/>
      <c r="G92" s="160"/>
      <c r="H92" s="160"/>
      <c r="I92" s="160"/>
      <c r="J92" s="160"/>
      <c r="K92" s="160"/>
      <c r="L92" s="160"/>
      <c r="M92" s="154"/>
      <c r="N92" s="154"/>
      <c r="O92" s="154"/>
      <c r="P92" s="154"/>
      <c r="Q92" s="154"/>
      <c r="R92" s="102"/>
      <c r="S92" s="102"/>
      <c r="T92" s="102"/>
      <c r="U92" s="102"/>
      <c r="V92" s="154"/>
      <c r="W92" s="154"/>
      <c r="X92" s="154"/>
      <c r="Y92" s="154"/>
      <c r="Z92" s="154"/>
      <c r="AA92" s="154"/>
      <c r="AB92" s="154"/>
      <c r="AC92" s="161">
        <f>+AC91*AD92/AD91</f>
        <v>0.81451006638512347</v>
      </c>
      <c r="AD92" s="154">
        <f>+AD79</f>
        <v>804636.20720999956</v>
      </c>
    </row>
    <row r="93" spans="2:43" x14ac:dyDescent="0.25">
      <c r="D93" s="102"/>
      <c r="E93" s="160"/>
      <c r="F93" s="160"/>
      <c r="G93" s="160"/>
      <c r="H93" s="160"/>
      <c r="I93" s="160"/>
      <c r="J93" s="160"/>
      <c r="K93" s="160"/>
      <c r="L93" s="160"/>
      <c r="M93" s="154"/>
      <c r="N93" s="154"/>
      <c r="O93" s="154"/>
      <c r="P93" s="154"/>
      <c r="Q93" s="154"/>
      <c r="R93" s="102"/>
      <c r="S93" s="102"/>
      <c r="T93" s="102"/>
      <c r="U93" s="102"/>
      <c r="V93" s="154"/>
      <c r="W93" s="154"/>
      <c r="X93" s="154"/>
      <c r="Y93" s="154"/>
      <c r="Z93" s="154"/>
      <c r="AA93" s="154"/>
      <c r="AB93" s="154"/>
      <c r="AC93" s="154"/>
      <c r="AD93" s="154">
        <f>+AD91*56%</f>
        <v>553211.42688560102</v>
      </c>
    </row>
    <row r="94" spans="2:43" x14ac:dyDescent="0.25">
      <c r="D94" s="102"/>
      <c r="E94" s="160"/>
      <c r="F94" s="160"/>
      <c r="G94" s="160"/>
      <c r="H94" s="160"/>
      <c r="I94" s="160"/>
      <c r="J94" s="160"/>
      <c r="K94" s="160"/>
      <c r="L94" s="160"/>
      <c r="M94" s="154"/>
      <c r="N94" s="154"/>
      <c r="O94" s="154"/>
      <c r="P94" s="154"/>
      <c r="Q94" s="154"/>
      <c r="R94" s="102"/>
      <c r="S94" s="102"/>
      <c r="T94" s="102"/>
      <c r="U94" s="102"/>
      <c r="V94" s="154"/>
      <c r="W94" s="154"/>
      <c r="X94" s="154"/>
      <c r="Y94" s="154"/>
      <c r="Z94" s="154"/>
      <c r="AA94" s="154"/>
      <c r="AB94" s="154"/>
      <c r="AC94" s="154"/>
      <c r="AD94" s="154"/>
    </row>
    <row r="95" spans="2:43" x14ac:dyDescent="0.25">
      <c r="D95" s="102"/>
      <c r="E95" s="160"/>
      <c r="F95" s="160"/>
      <c r="G95" s="160"/>
      <c r="H95" s="160"/>
      <c r="I95" s="160"/>
      <c r="J95" s="160"/>
      <c r="K95" s="160"/>
      <c r="L95" s="160"/>
      <c r="M95" s="154"/>
      <c r="N95" s="154"/>
      <c r="O95" s="154"/>
      <c r="P95" s="154"/>
      <c r="Q95" s="154"/>
      <c r="R95" s="102"/>
      <c r="S95" s="102"/>
      <c r="T95" s="102"/>
      <c r="U95" s="102"/>
      <c r="V95" s="154"/>
      <c r="W95" s="154"/>
      <c r="X95" s="154"/>
      <c r="Y95" s="154"/>
      <c r="Z95" s="154"/>
      <c r="AA95" s="154"/>
      <c r="AB95" s="154"/>
      <c r="AC95" s="154"/>
      <c r="AD95" s="154"/>
    </row>
    <row r="96" spans="2:43" x14ac:dyDescent="0.25">
      <c r="D96" s="102"/>
      <c r="E96" s="160"/>
      <c r="F96" s="160"/>
      <c r="G96" s="160"/>
      <c r="H96" s="160"/>
      <c r="I96" s="160"/>
      <c r="J96" s="160"/>
      <c r="K96" s="160"/>
      <c r="L96" s="160"/>
      <c r="M96" s="154"/>
      <c r="N96" s="154"/>
      <c r="O96" s="154"/>
      <c r="P96" s="154"/>
      <c r="Q96" s="154"/>
      <c r="R96" s="102"/>
      <c r="S96" s="102"/>
      <c r="T96" s="102"/>
      <c r="U96" s="102"/>
      <c r="V96" s="154"/>
      <c r="W96" s="154"/>
      <c r="X96" s="154"/>
      <c r="Y96" s="154"/>
      <c r="Z96" s="154"/>
      <c r="AA96" s="154"/>
      <c r="AB96" s="154"/>
      <c r="AC96" s="154"/>
      <c r="AD96" s="154"/>
    </row>
    <row r="97" spans="1:31" x14ac:dyDescent="0.25">
      <c r="D97" s="102"/>
      <c r="E97" s="160"/>
      <c r="F97" s="160"/>
      <c r="G97" s="160"/>
      <c r="H97" s="160"/>
      <c r="I97" s="160"/>
      <c r="J97" s="160"/>
      <c r="K97" s="160"/>
      <c r="L97" s="160"/>
      <c r="M97" s="154"/>
      <c r="N97" s="154"/>
      <c r="O97" s="154"/>
      <c r="P97" s="154"/>
      <c r="Q97" s="154"/>
      <c r="R97" s="102"/>
      <c r="S97" s="102"/>
      <c r="T97" s="102"/>
      <c r="U97" s="102"/>
      <c r="V97" s="154"/>
      <c r="W97" s="154"/>
      <c r="X97" s="154"/>
      <c r="Y97" s="154"/>
      <c r="Z97" s="154"/>
      <c r="AA97" s="154"/>
      <c r="AB97" s="154"/>
      <c r="AC97" s="154"/>
      <c r="AD97" s="154"/>
    </row>
    <row r="98" spans="1:31" x14ac:dyDescent="0.25">
      <c r="D98" s="102"/>
      <c r="E98" s="102"/>
      <c r="F98" s="102"/>
      <c r="G98" s="102"/>
      <c r="H98" s="102"/>
      <c r="I98" s="154"/>
      <c r="J98" s="154"/>
      <c r="K98" s="154"/>
      <c r="L98" s="154"/>
      <c r="M98" s="154"/>
      <c r="N98" s="154"/>
      <c r="O98" s="154"/>
      <c r="P98" s="154"/>
      <c r="Q98" s="154"/>
      <c r="R98" s="102"/>
      <c r="S98" s="102"/>
      <c r="T98" s="102"/>
      <c r="U98" s="102"/>
      <c r="V98" s="154"/>
      <c r="W98" s="154"/>
      <c r="X98" s="154"/>
      <c r="Y98" s="154"/>
      <c r="Z98" s="154"/>
      <c r="AA98" s="154"/>
      <c r="AB98" s="154"/>
      <c r="AC98" s="154"/>
      <c r="AD98" s="154"/>
    </row>
    <row r="99" spans="1:31" x14ac:dyDescent="0.25">
      <c r="D99" s="102"/>
      <c r="E99" s="102"/>
      <c r="F99" s="102"/>
      <c r="G99" s="102"/>
      <c r="H99" s="102"/>
      <c r="I99" s="154"/>
      <c r="J99" s="154"/>
      <c r="K99" s="154"/>
      <c r="L99" s="154"/>
      <c r="M99" s="154"/>
      <c r="N99" s="154"/>
      <c r="O99" s="154"/>
      <c r="P99" s="154"/>
      <c r="Q99" s="154"/>
      <c r="R99" s="102"/>
      <c r="S99" s="102"/>
      <c r="T99" s="102"/>
      <c r="U99" s="102"/>
      <c r="V99" s="154"/>
      <c r="W99" s="154"/>
      <c r="X99" s="154"/>
      <c r="Y99" s="154"/>
      <c r="Z99" s="154"/>
      <c r="AA99" s="154"/>
      <c r="AB99" s="154"/>
      <c r="AC99" s="154"/>
      <c r="AD99" s="154"/>
    </row>
    <row r="100" spans="1:31" x14ac:dyDescent="0.25">
      <c r="D100" s="102"/>
      <c r="E100" s="102"/>
      <c r="F100" s="102"/>
      <c r="G100" s="102"/>
      <c r="H100" s="102"/>
      <c r="I100" s="154"/>
      <c r="J100" s="154"/>
      <c r="K100" s="154"/>
      <c r="L100" s="154"/>
      <c r="M100" s="154"/>
      <c r="N100" s="154"/>
      <c r="O100" s="154"/>
      <c r="P100" s="154"/>
      <c r="Q100" s="154"/>
      <c r="R100" s="102"/>
      <c r="S100" s="102"/>
      <c r="T100" s="102"/>
      <c r="U100" s="102"/>
      <c r="V100" s="154"/>
      <c r="W100" s="154"/>
      <c r="X100" s="154"/>
      <c r="Y100" s="154"/>
      <c r="Z100" s="154"/>
      <c r="AA100" s="154"/>
      <c r="AB100" s="154"/>
      <c r="AC100" s="154"/>
      <c r="AD100" s="154"/>
    </row>
    <row r="101" spans="1:31" x14ac:dyDescent="0.25">
      <c r="D101" s="102"/>
      <c r="E101" s="102"/>
      <c r="F101" s="102"/>
      <c r="G101" s="102"/>
      <c r="H101" s="102"/>
      <c r="I101" s="154"/>
      <c r="J101" s="154"/>
      <c r="K101" s="154"/>
      <c r="L101" s="154"/>
      <c r="M101" s="154"/>
      <c r="N101" s="154"/>
      <c r="O101" s="154"/>
      <c r="P101" s="154"/>
      <c r="Q101" s="154"/>
      <c r="R101" s="102"/>
      <c r="S101" s="102"/>
      <c r="T101" s="102"/>
      <c r="U101" s="102"/>
      <c r="V101" s="154"/>
      <c r="W101" s="154"/>
      <c r="X101" s="154"/>
      <c r="Y101" s="154"/>
      <c r="Z101" s="154"/>
      <c r="AA101" s="154"/>
      <c r="AB101" s="154"/>
      <c r="AC101" s="154"/>
      <c r="AD101" s="154"/>
    </row>
    <row r="102" spans="1:31" x14ac:dyDescent="0.25">
      <c r="D102" s="102"/>
      <c r="E102" s="102"/>
      <c r="F102" s="102"/>
      <c r="G102" s="102"/>
      <c r="H102" s="102"/>
      <c r="I102" s="154"/>
      <c r="J102" s="154"/>
      <c r="K102" s="154"/>
      <c r="L102" s="154"/>
      <c r="M102" s="154"/>
      <c r="N102" s="154"/>
      <c r="O102" s="154"/>
      <c r="P102" s="154"/>
      <c r="Q102" s="154"/>
      <c r="R102" s="102"/>
      <c r="S102" s="102"/>
      <c r="T102" s="102"/>
      <c r="U102" s="102"/>
      <c r="V102" s="154"/>
      <c r="W102" s="154"/>
      <c r="X102" s="154"/>
      <c r="Y102" s="154"/>
      <c r="Z102" s="154"/>
      <c r="AA102" s="154"/>
      <c r="AB102" s="154"/>
      <c r="AC102" s="154"/>
      <c r="AD102" s="154"/>
    </row>
    <row r="103" spans="1:31" x14ac:dyDescent="0.25">
      <c r="D103" s="102"/>
      <c r="E103" s="102"/>
      <c r="F103" s="102"/>
      <c r="G103" s="102"/>
      <c r="H103" s="102"/>
      <c r="I103" s="154"/>
      <c r="J103" s="154"/>
      <c r="K103" s="154"/>
      <c r="L103" s="154"/>
      <c r="M103" s="154"/>
      <c r="N103" s="154"/>
      <c r="O103" s="154"/>
      <c r="P103" s="154"/>
      <c r="Q103" s="154"/>
      <c r="R103" s="102"/>
      <c r="S103" s="102"/>
      <c r="T103" s="102"/>
      <c r="U103" s="102"/>
      <c r="V103" s="154"/>
      <c r="W103" s="154"/>
      <c r="X103" s="154"/>
      <c r="Y103" s="154"/>
      <c r="Z103" s="154"/>
      <c r="AA103" s="154"/>
      <c r="AB103" s="154"/>
      <c r="AC103" s="154"/>
      <c r="AD103" s="154"/>
    </row>
    <row r="104" spans="1:31" s="162" customFormat="1" x14ac:dyDescent="0.25">
      <c r="A104" s="101"/>
      <c r="B104" s="101"/>
      <c r="C104" s="102"/>
      <c r="D104" s="102"/>
      <c r="E104" s="102"/>
      <c r="F104" s="102"/>
      <c r="G104" s="102"/>
      <c r="H104" s="102"/>
      <c r="I104" s="154"/>
      <c r="J104" s="154"/>
      <c r="K104" s="154"/>
      <c r="L104" s="154"/>
      <c r="M104" s="154"/>
      <c r="N104" s="154"/>
      <c r="O104" s="154"/>
      <c r="P104" s="154"/>
      <c r="Q104" s="154"/>
      <c r="R104" s="102"/>
      <c r="S104" s="102"/>
      <c r="T104" s="102"/>
      <c r="U104" s="102"/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01"/>
    </row>
    <row r="105" spans="1:31" s="162" customFormat="1" x14ac:dyDescent="0.25">
      <c r="A105" s="101"/>
      <c r="B105" s="101"/>
      <c r="C105" s="102"/>
      <c r="D105" s="102"/>
      <c r="E105" s="102"/>
      <c r="F105" s="102"/>
      <c r="G105" s="102"/>
      <c r="H105" s="102"/>
      <c r="I105" s="154"/>
      <c r="J105" s="154"/>
      <c r="K105" s="154"/>
      <c r="L105" s="154"/>
      <c r="M105" s="154"/>
      <c r="N105" s="154"/>
      <c r="O105" s="154"/>
      <c r="P105" s="154"/>
      <c r="Q105" s="154"/>
      <c r="R105" s="102"/>
      <c r="S105" s="102"/>
      <c r="T105" s="102"/>
      <c r="U105" s="102"/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01"/>
    </row>
    <row r="106" spans="1:31" s="162" customFormat="1" x14ac:dyDescent="0.25">
      <c r="A106" s="101"/>
      <c r="B106" s="101"/>
      <c r="C106" s="102"/>
      <c r="D106" s="102"/>
      <c r="E106" s="102"/>
      <c r="F106" s="102"/>
      <c r="G106" s="102"/>
      <c r="H106" s="102"/>
      <c r="I106" s="154"/>
      <c r="J106" s="154"/>
      <c r="K106" s="154"/>
      <c r="L106" s="154"/>
      <c r="M106" s="154"/>
      <c r="N106" s="154"/>
      <c r="O106" s="154"/>
      <c r="P106" s="154"/>
      <c r="Q106" s="154"/>
      <c r="R106" s="102"/>
      <c r="S106" s="102"/>
      <c r="T106" s="102"/>
      <c r="U106" s="102"/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01"/>
    </row>
    <row r="107" spans="1:31" s="162" customFormat="1" x14ac:dyDescent="0.25">
      <c r="A107" s="101"/>
      <c r="B107" s="101"/>
      <c r="C107" s="102"/>
      <c r="D107" s="102"/>
      <c r="E107" s="102"/>
      <c r="F107" s="102"/>
      <c r="G107" s="102"/>
      <c r="H107" s="102"/>
      <c r="I107" s="154"/>
      <c r="J107" s="154"/>
      <c r="K107" s="154"/>
      <c r="L107" s="154"/>
      <c r="M107" s="154"/>
      <c r="N107" s="154"/>
      <c r="O107" s="154"/>
      <c r="P107" s="154"/>
      <c r="Q107" s="154"/>
      <c r="R107" s="102"/>
      <c r="S107" s="102"/>
      <c r="T107" s="102"/>
      <c r="U107" s="102"/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01"/>
    </row>
    <row r="108" spans="1:31" s="162" customFormat="1" x14ac:dyDescent="0.25">
      <c r="A108" s="101"/>
      <c r="B108" s="101"/>
      <c r="C108" s="102"/>
      <c r="D108" s="102"/>
      <c r="E108" s="102"/>
      <c r="F108" s="102"/>
      <c r="G108" s="102"/>
      <c r="H108" s="102"/>
      <c r="I108" s="154"/>
      <c r="J108" s="154"/>
      <c r="K108" s="154"/>
      <c r="L108" s="154"/>
      <c r="M108" s="154"/>
      <c r="N108" s="154"/>
      <c r="O108" s="154"/>
      <c r="P108" s="154"/>
      <c r="Q108" s="154"/>
      <c r="R108" s="102"/>
      <c r="S108" s="102"/>
      <c r="T108" s="102"/>
      <c r="U108" s="102"/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01"/>
    </row>
    <row r="109" spans="1:31" s="162" customFormat="1" x14ac:dyDescent="0.25">
      <c r="A109" s="101"/>
      <c r="B109" s="101"/>
      <c r="C109" s="102"/>
      <c r="D109" s="102"/>
      <c r="E109" s="102"/>
      <c r="F109" s="102"/>
      <c r="G109" s="102"/>
      <c r="H109" s="102"/>
      <c r="I109" s="154"/>
      <c r="J109" s="154"/>
      <c r="K109" s="154"/>
      <c r="L109" s="154"/>
      <c r="M109" s="154"/>
      <c r="N109" s="154"/>
      <c r="O109" s="154"/>
      <c r="P109" s="154"/>
      <c r="Q109" s="154"/>
      <c r="R109" s="102"/>
      <c r="S109" s="102"/>
      <c r="T109" s="102"/>
      <c r="U109" s="102"/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01"/>
    </row>
    <row r="110" spans="1:31" s="162" customFormat="1" x14ac:dyDescent="0.25">
      <c r="A110" s="101"/>
      <c r="B110" s="101"/>
      <c r="C110" s="102"/>
      <c r="D110" s="102"/>
      <c r="E110" s="102"/>
      <c r="F110" s="102"/>
      <c r="G110" s="102"/>
      <c r="H110" s="102"/>
      <c r="I110" s="154"/>
      <c r="J110" s="154"/>
      <c r="K110" s="154"/>
      <c r="L110" s="154"/>
      <c r="M110" s="154"/>
      <c r="N110" s="154"/>
      <c r="O110" s="154"/>
      <c r="P110" s="154"/>
      <c r="Q110" s="154"/>
      <c r="R110" s="102"/>
      <c r="S110" s="102"/>
      <c r="T110" s="102"/>
      <c r="U110" s="102"/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01"/>
    </row>
    <row r="111" spans="1:31" s="162" customFormat="1" x14ac:dyDescent="0.25">
      <c r="A111" s="101"/>
      <c r="B111" s="101"/>
      <c r="C111" s="102"/>
      <c r="D111" s="102"/>
      <c r="E111" s="102"/>
      <c r="F111" s="102"/>
      <c r="G111" s="102"/>
      <c r="H111" s="102"/>
      <c r="I111" s="154"/>
      <c r="J111" s="154"/>
      <c r="K111" s="154"/>
      <c r="L111" s="154"/>
      <c r="M111" s="154"/>
      <c r="N111" s="154"/>
      <c r="O111" s="154"/>
      <c r="P111" s="154"/>
      <c r="Q111" s="154"/>
      <c r="R111" s="102"/>
      <c r="S111" s="102"/>
      <c r="T111" s="102"/>
      <c r="U111" s="102"/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01"/>
    </row>
    <row r="112" spans="1:31" s="162" customFormat="1" x14ac:dyDescent="0.25">
      <c r="A112" s="101"/>
      <c r="B112" s="101"/>
      <c r="C112" s="102"/>
      <c r="D112" s="102"/>
      <c r="E112" s="102"/>
      <c r="F112" s="102"/>
      <c r="G112" s="102"/>
      <c r="H112" s="102"/>
      <c r="I112" s="154"/>
      <c r="J112" s="154"/>
      <c r="K112" s="154"/>
      <c r="L112" s="154"/>
      <c r="M112" s="154"/>
      <c r="N112" s="154"/>
      <c r="O112" s="154"/>
      <c r="P112" s="154"/>
      <c r="Q112" s="154"/>
      <c r="R112" s="102"/>
      <c r="S112" s="102"/>
      <c r="T112" s="102"/>
      <c r="U112" s="102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01"/>
    </row>
    <row r="113" spans="1:31" s="162" customFormat="1" x14ac:dyDescent="0.25">
      <c r="A113" s="101"/>
      <c r="B113" s="101"/>
      <c r="C113" s="102"/>
      <c r="D113" s="102"/>
      <c r="E113" s="102"/>
      <c r="F113" s="102"/>
      <c r="G113" s="102"/>
      <c r="H113" s="102"/>
      <c r="I113" s="154"/>
      <c r="J113" s="154"/>
      <c r="K113" s="154"/>
      <c r="L113" s="154"/>
      <c r="M113" s="154"/>
      <c r="N113" s="154"/>
      <c r="O113" s="154"/>
      <c r="P113" s="154"/>
      <c r="Q113" s="154"/>
      <c r="R113" s="102"/>
      <c r="S113" s="102"/>
      <c r="T113" s="102"/>
      <c r="U113" s="102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01"/>
    </row>
    <row r="114" spans="1:31" s="162" customFormat="1" x14ac:dyDescent="0.25">
      <c r="A114" s="101"/>
      <c r="B114" s="101"/>
      <c r="C114" s="102"/>
      <c r="D114" s="102"/>
      <c r="E114" s="102"/>
      <c r="F114" s="102"/>
      <c r="G114" s="102"/>
      <c r="H114" s="102"/>
      <c r="I114" s="154"/>
      <c r="J114" s="154"/>
      <c r="K114" s="154"/>
      <c r="L114" s="154"/>
      <c r="M114" s="154"/>
      <c r="N114" s="154"/>
      <c r="O114" s="154"/>
      <c r="P114" s="154"/>
      <c r="Q114" s="154"/>
      <c r="R114" s="102"/>
      <c r="S114" s="102"/>
      <c r="T114" s="102"/>
      <c r="U114" s="102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01"/>
    </row>
    <row r="115" spans="1:31" s="162" customFormat="1" x14ac:dyDescent="0.25">
      <c r="A115" s="101"/>
      <c r="B115" s="101"/>
      <c r="C115" s="102"/>
      <c r="D115" s="102"/>
      <c r="E115" s="102"/>
      <c r="F115" s="102"/>
      <c r="G115" s="102"/>
      <c r="H115" s="102"/>
      <c r="I115" s="154"/>
      <c r="J115" s="154"/>
      <c r="K115" s="154"/>
      <c r="L115" s="154"/>
      <c r="M115" s="154"/>
      <c r="N115" s="154"/>
      <c r="O115" s="154"/>
      <c r="P115" s="154"/>
      <c r="Q115" s="154"/>
      <c r="R115" s="102"/>
      <c r="S115" s="102"/>
      <c r="T115" s="102"/>
      <c r="U115" s="102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01"/>
    </row>
    <row r="116" spans="1:31" s="162" customFormat="1" x14ac:dyDescent="0.25">
      <c r="A116" s="101"/>
      <c r="B116" s="101"/>
      <c r="C116" s="102"/>
      <c r="D116" s="102"/>
      <c r="E116" s="102"/>
      <c r="F116" s="102"/>
      <c r="G116" s="102"/>
      <c r="H116" s="102"/>
      <c r="I116" s="154"/>
      <c r="J116" s="154"/>
      <c r="K116" s="154"/>
      <c r="L116" s="154"/>
      <c r="M116" s="154"/>
      <c r="N116" s="154"/>
      <c r="O116" s="154"/>
      <c r="P116" s="154"/>
      <c r="Q116" s="154"/>
      <c r="R116" s="102"/>
      <c r="S116" s="102"/>
      <c r="T116" s="102"/>
      <c r="U116" s="102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01"/>
    </row>
    <row r="117" spans="1:31" s="162" customFormat="1" x14ac:dyDescent="0.25">
      <c r="A117" s="101"/>
      <c r="B117" s="101"/>
      <c r="C117" s="102"/>
      <c r="D117" s="102"/>
      <c r="E117" s="102"/>
      <c r="F117" s="102"/>
      <c r="G117" s="102"/>
      <c r="H117" s="102"/>
      <c r="I117" s="154"/>
      <c r="J117" s="154"/>
      <c r="K117" s="154"/>
      <c r="L117" s="154"/>
      <c r="M117" s="154"/>
      <c r="N117" s="154"/>
      <c r="O117" s="154"/>
      <c r="P117" s="154"/>
      <c r="Q117" s="154"/>
      <c r="R117" s="102"/>
      <c r="S117" s="102"/>
      <c r="T117" s="102"/>
      <c r="U117" s="102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01"/>
    </row>
    <row r="118" spans="1:31" s="162" customFormat="1" x14ac:dyDescent="0.25">
      <c r="A118" s="101"/>
      <c r="B118" s="101"/>
      <c r="C118" s="102"/>
      <c r="D118" s="102"/>
      <c r="E118" s="102"/>
      <c r="F118" s="102"/>
      <c r="G118" s="102"/>
      <c r="H118" s="102"/>
      <c r="I118" s="154"/>
      <c r="J118" s="154"/>
      <c r="K118" s="154"/>
      <c r="L118" s="154"/>
      <c r="M118" s="154"/>
      <c r="N118" s="154"/>
      <c r="O118" s="154"/>
      <c r="P118" s="154"/>
      <c r="Q118" s="154"/>
      <c r="R118" s="102"/>
      <c r="S118" s="102"/>
      <c r="T118" s="102"/>
      <c r="U118" s="102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01"/>
    </row>
    <row r="119" spans="1:31" s="162" customFormat="1" x14ac:dyDescent="0.25">
      <c r="A119" s="101"/>
      <c r="B119" s="101"/>
      <c r="C119" s="102"/>
      <c r="D119" s="102"/>
      <c r="E119" s="102"/>
      <c r="F119" s="102"/>
      <c r="G119" s="102"/>
      <c r="H119" s="102"/>
      <c r="I119" s="154"/>
      <c r="J119" s="154"/>
      <c r="K119" s="154"/>
      <c r="L119" s="154"/>
      <c r="M119" s="154"/>
      <c r="N119" s="154"/>
      <c r="O119" s="154"/>
      <c r="P119" s="154"/>
      <c r="Q119" s="154"/>
      <c r="R119" s="102"/>
      <c r="S119" s="102"/>
      <c r="T119" s="102"/>
      <c r="U119" s="102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01"/>
    </row>
    <row r="120" spans="1:31" s="162" customFormat="1" x14ac:dyDescent="0.25">
      <c r="A120" s="101"/>
      <c r="B120" s="101"/>
      <c r="C120" s="102"/>
      <c r="D120" s="102"/>
      <c r="E120" s="102"/>
      <c r="F120" s="102"/>
      <c r="G120" s="102"/>
      <c r="H120" s="102"/>
      <c r="I120" s="154"/>
      <c r="J120" s="154"/>
      <c r="K120" s="154"/>
      <c r="L120" s="154"/>
      <c r="M120" s="154"/>
      <c r="N120" s="154"/>
      <c r="O120" s="154"/>
      <c r="P120" s="154"/>
      <c r="Q120" s="154"/>
      <c r="R120" s="102"/>
      <c r="S120" s="102"/>
      <c r="T120" s="102"/>
      <c r="U120" s="102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01"/>
    </row>
    <row r="121" spans="1:31" s="162" customFormat="1" x14ac:dyDescent="0.25">
      <c r="A121" s="101"/>
      <c r="B121" s="101"/>
      <c r="C121" s="102"/>
      <c r="D121" s="102"/>
      <c r="E121" s="102"/>
      <c r="F121" s="102"/>
      <c r="G121" s="102"/>
      <c r="H121" s="102"/>
      <c r="I121" s="154"/>
      <c r="J121" s="154"/>
      <c r="K121" s="154"/>
      <c r="L121" s="154"/>
      <c r="M121" s="154"/>
      <c r="N121" s="154"/>
      <c r="O121" s="154"/>
      <c r="P121" s="154"/>
      <c r="Q121" s="154"/>
      <c r="R121" s="102"/>
      <c r="S121" s="102"/>
      <c r="T121" s="102"/>
      <c r="U121" s="102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01"/>
    </row>
    <row r="122" spans="1:31" s="162" customFormat="1" x14ac:dyDescent="0.25">
      <c r="A122" s="101"/>
      <c r="B122" s="101"/>
      <c r="C122" s="102"/>
      <c r="D122" s="102"/>
      <c r="E122" s="102"/>
      <c r="F122" s="102"/>
      <c r="G122" s="102"/>
      <c r="H122" s="102"/>
      <c r="I122" s="154"/>
      <c r="J122" s="154"/>
      <c r="K122" s="154"/>
      <c r="L122" s="154"/>
      <c r="M122" s="154"/>
      <c r="N122" s="154"/>
      <c r="O122" s="154"/>
      <c r="P122" s="154"/>
      <c r="Q122" s="154"/>
      <c r="R122" s="102"/>
      <c r="S122" s="102"/>
      <c r="T122" s="102"/>
      <c r="U122" s="102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01"/>
    </row>
    <row r="123" spans="1:31" s="162" customFormat="1" x14ac:dyDescent="0.25">
      <c r="A123" s="101"/>
      <c r="B123" s="101"/>
      <c r="C123" s="102"/>
      <c r="D123" s="102"/>
      <c r="E123" s="102"/>
      <c r="F123" s="102"/>
      <c r="G123" s="102"/>
      <c r="H123" s="102"/>
      <c r="I123" s="154"/>
      <c r="J123" s="154"/>
      <c r="K123" s="154"/>
      <c r="L123" s="154"/>
      <c r="M123" s="154"/>
      <c r="N123" s="154"/>
      <c r="O123" s="154"/>
      <c r="P123" s="154"/>
      <c r="Q123" s="154"/>
      <c r="R123" s="102"/>
      <c r="S123" s="102"/>
      <c r="T123" s="102"/>
      <c r="U123" s="102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01"/>
    </row>
    <row r="124" spans="1:31" s="162" customFormat="1" x14ac:dyDescent="0.25">
      <c r="A124" s="101"/>
      <c r="B124" s="101"/>
      <c r="C124" s="102"/>
      <c r="D124" s="102"/>
      <c r="E124" s="102"/>
      <c r="F124" s="102"/>
      <c r="G124" s="102"/>
      <c r="H124" s="102"/>
      <c r="I124" s="154"/>
      <c r="J124" s="154"/>
      <c r="K124" s="154"/>
      <c r="L124" s="154"/>
      <c r="M124" s="154"/>
      <c r="N124" s="154"/>
      <c r="O124" s="154"/>
      <c r="P124" s="154"/>
      <c r="Q124" s="154"/>
      <c r="R124" s="102"/>
      <c r="S124" s="102"/>
      <c r="T124" s="102"/>
      <c r="U124" s="102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01"/>
    </row>
    <row r="125" spans="1:31" s="162" customFormat="1" x14ac:dyDescent="0.25">
      <c r="A125" s="101"/>
      <c r="B125" s="101"/>
      <c r="C125" s="102"/>
      <c r="D125" s="102"/>
      <c r="E125" s="102"/>
      <c r="F125" s="102"/>
      <c r="G125" s="102"/>
      <c r="H125" s="102"/>
      <c r="I125" s="154"/>
      <c r="J125" s="154"/>
      <c r="K125" s="154"/>
      <c r="L125" s="154"/>
      <c r="M125" s="154"/>
      <c r="N125" s="154"/>
      <c r="O125" s="154"/>
      <c r="P125" s="154"/>
      <c r="Q125" s="154"/>
      <c r="R125" s="102"/>
      <c r="S125" s="102"/>
      <c r="T125" s="102"/>
      <c r="U125" s="102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01"/>
    </row>
    <row r="126" spans="1:31" s="162" customFormat="1" x14ac:dyDescent="0.25">
      <c r="A126" s="101"/>
      <c r="B126" s="101"/>
      <c r="C126" s="102"/>
      <c r="D126" s="102"/>
      <c r="E126" s="102"/>
      <c r="F126" s="102"/>
      <c r="G126" s="102"/>
      <c r="H126" s="102"/>
      <c r="I126" s="154"/>
      <c r="J126" s="154"/>
      <c r="K126" s="154"/>
      <c r="L126" s="154"/>
      <c r="M126" s="154"/>
      <c r="N126" s="154"/>
      <c r="O126" s="154"/>
      <c r="P126" s="154"/>
      <c r="Q126" s="154"/>
      <c r="R126" s="102"/>
      <c r="S126" s="102"/>
      <c r="T126" s="102"/>
      <c r="U126" s="102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01"/>
    </row>
    <row r="127" spans="1:31" s="162" customFormat="1" x14ac:dyDescent="0.25">
      <c r="A127" s="101"/>
      <c r="B127" s="101"/>
      <c r="C127" s="102"/>
      <c r="D127" s="102"/>
      <c r="E127" s="102"/>
      <c r="F127" s="102"/>
      <c r="G127" s="102"/>
      <c r="H127" s="102"/>
      <c r="I127" s="154"/>
      <c r="J127" s="154"/>
      <c r="K127" s="154"/>
      <c r="L127" s="154"/>
      <c r="M127" s="154"/>
      <c r="N127" s="154"/>
      <c r="O127" s="154"/>
      <c r="P127" s="154"/>
      <c r="Q127" s="154"/>
      <c r="R127" s="102"/>
      <c r="S127" s="102"/>
      <c r="T127" s="102"/>
      <c r="U127" s="102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01"/>
    </row>
    <row r="128" spans="1:31" s="162" customFormat="1" x14ac:dyDescent="0.25">
      <c r="A128" s="101"/>
      <c r="B128" s="101"/>
      <c r="C128" s="102"/>
      <c r="D128" s="102"/>
      <c r="E128" s="102"/>
      <c r="F128" s="102"/>
      <c r="G128" s="102"/>
      <c r="H128" s="102"/>
      <c r="I128" s="154"/>
      <c r="J128" s="154"/>
      <c r="K128" s="154"/>
      <c r="L128" s="154"/>
      <c r="M128" s="154"/>
      <c r="N128" s="154"/>
      <c r="O128" s="154"/>
      <c r="P128" s="154"/>
      <c r="Q128" s="154"/>
      <c r="R128" s="102"/>
      <c r="S128" s="102"/>
      <c r="T128" s="102"/>
      <c r="U128" s="102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01"/>
    </row>
    <row r="129" spans="1:31" s="162" customFormat="1" x14ac:dyDescent="0.25">
      <c r="A129" s="101"/>
      <c r="B129" s="101"/>
      <c r="C129" s="102"/>
      <c r="D129" s="102"/>
      <c r="E129" s="102"/>
      <c r="F129" s="102"/>
      <c r="G129" s="102"/>
      <c r="H129" s="102"/>
      <c r="I129" s="154"/>
      <c r="J129" s="154"/>
      <c r="K129" s="154"/>
      <c r="L129" s="154"/>
      <c r="M129" s="154"/>
      <c r="N129" s="154"/>
      <c r="O129" s="154"/>
      <c r="P129" s="154"/>
      <c r="Q129" s="154"/>
      <c r="R129" s="102"/>
      <c r="S129" s="102"/>
      <c r="T129" s="102"/>
      <c r="U129" s="102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01"/>
    </row>
    <row r="130" spans="1:31" s="162" customFormat="1" x14ac:dyDescent="0.25">
      <c r="A130" s="101"/>
      <c r="B130" s="101"/>
      <c r="C130" s="102"/>
      <c r="D130" s="102"/>
      <c r="E130" s="102"/>
      <c r="F130" s="102"/>
      <c r="G130" s="102"/>
      <c r="H130" s="102"/>
      <c r="I130" s="154"/>
      <c r="J130" s="154"/>
      <c r="K130" s="154"/>
      <c r="L130" s="154"/>
      <c r="M130" s="154"/>
      <c r="N130" s="154"/>
      <c r="O130" s="154"/>
      <c r="P130" s="154"/>
      <c r="Q130" s="154"/>
      <c r="R130" s="102"/>
      <c r="S130" s="102"/>
      <c r="T130" s="102"/>
      <c r="U130" s="102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01"/>
    </row>
    <row r="131" spans="1:31" s="162" customFormat="1" x14ac:dyDescent="0.25">
      <c r="A131" s="101"/>
      <c r="B131" s="101"/>
      <c r="C131" s="102"/>
      <c r="D131" s="102"/>
      <c r="E131" s="102"/>
      <c r="F131" s="102"/>
      <c r="G131" s="102"/>
      <c r="H131" s="102"/>
      <c r="I131" s="154"/>
      <c r="J131" s="154"/>
      <c r="K131" s="154"/>
      <c r="L131" s="154"/>
      <c r="M131" s="154"/>
      <c r="N131" s="154"/>
      <c r="O131" s="154"/>
      <c r="P131" s="154"/>
      <c r="Q131" s="154"/>
      <c r="R131" s="102"/>
      <c r="S131" s="102"/>
      <c r="T131" s="102"/>
      <c r="U131" s="102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01"/>
    </row>
    <row r="132" spans="1:31" s="162" customFormat="1" x14ac:dyDescent="0.25">
      <c r="A132" s="101"/>
      <c r="B132" s="101"/>
      <c r="C132" s="102"/>
      <c r="D132" s="102"/>
      <c r="E132" s="102"/>
      <c r="F132" s="102"/>
      <c r="G132" s="102"/>
      <c r="H132" s="102"/>
      <c r="I132" s="154"/>
      <c r="J132" s="154"/>
      <c r="K132" s="154"/>
      <c r="L132" s="154"/>
      <c r="M132" s="154"/>
      <c r="N132" s="154"/>
      <c r="O132" s="154"/>
      <c r="P132" s="154"/>
      <c r="Q132" s="154"/>
      <c r="R132" s="102"/>
      <c r="S132" s="102"/>
      <c r="T132" s="102"/>
      <c r="U132" s="102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01"/>
    </row>
    <row r="133" spans="1:31" s="162" customFormat="1" x14ac:dyDescent="0.25">
      <c r="A133" s="101"/>
      <c r="B133" s="101"/>
      <c r="C133" s="102"/>
      <c r="D133" s="102"/>
      <c r="E133" s="102"/>
      <c r="F133" s="102"/>
      <c r="G133" s="102"/>
      <c r="H133" s="102"/>
      <c r="I133" s="154"/>
      <c r="J133" s="154"/>
      <c r="K133" s="154"/>
      <c r="L133" s="154"/>
      <c r="M133" s="154"/>
      <c r="N133" s="154"/>
      <c r="O133" s="154"/>
      <c r="P133" s="154"/>
      <c r="Q133" s="154"/>
      <c r="R133" s="102"/>
      <c r="S133" s="102"/>
      <c r="T133" s="102"/>
      <c r="U133" s="102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01"/>
    </row>
    <row r="134" spans="1:31" s="162" customFormat="1" x14ac:dyDescent="0.25">
      <c r="A134" s="101"/>
      <c r="B134" s="101"/>
      <c r="C134" s="102"/>
      <c r="D134" s="102"/>
      <c r="E134" s="102"/>
      <c r="F134" s="102"/>
      <c r="G134" s="102"/>
      <c r="H134" s="102"/>
      <c r="I134" s="154"/>
      <c r="J134" s="154"/>
      <c r="K134" s="154"/>
      <c r="L134" s="154"/>
      <c r="M134" s="154"/>
      <c r="N134" s="154"/>
      <c r="O134" s="154"/>
      <c r="P134" s="154"/>
      <c r="Q134" s="154"/>
      <c r="R134" s="102"/>
      <c r="S134" s="102"/>
      <c r="T134" s="102"/>
      <c r="U134" s="102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01"/>
    </row>
    <row r="135" spans="1:31" s="162" customFormat="1" x14ac:dyDescent="0.25">
      <c r="A135" s="101"/>
      <c r="B135" s="101"/>
      <c r="C135" s="102"/>
      <c r="D135" s="102"/>
      <c r="E135" s="102"/>
      <c r="F135" s="102"/>
      <c r="G135" s="102"/>
      <c r="H135" s="102"/>
      <c r="I135" s="154"/>
      <c r="J135" s="154"/>
      <c r="K135" s="154"/>
      <c r="L135" s="154"/>
      <c r="M135" s="154"/>
      <c r="N135" s="154"/>
      <c r="O135" s="154"/>
      <c r="P135" s="154"/>
      <c r="Q135" s="154"/>
      <c r="R135" s="102"/>
      <c r="S135" s="102"/>
      <c r="T135" s="102"/>
      <c r="U135" s="102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01"/>
    </row>
    <row r="136" spans="1:31" s="162" customFormat="1" x14ac:dyDescent="0.25">
      <c r="A136" s="101"/>
      <c r="B136" s="101"/>
      <c r="C136" s="102"/>
      <c r="D136" s="102"/>
      <c r="E136" s="102"/>
      <c r="F136" s="102"/>
      <c r="G136" s="102"/>
      <c r="H136" s="102"/>
      <c r="I136" s="154"/>
      <c r="J136" s="154"/>
      <c r="K136" s="154"/>
      <c r="L136" s="154"/>
      <c r="M136" s="154"/>
      <c r="N136" s="154"/>
      <c r="O136" s="154"/>
      <c r="P136" s="154"/>
      <c r="Q136" s="154"/>
      <c r="R136" s="102"/>
      <c r="S136" s="102"/>
      <c r="T136" s="102"/>
      <c r="U136" s="102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01"/>
    </row>
    <row r="137" spans="1:31" s="162" customFormat="1" x14ac:dyDescent="0.25">
      <c r="A137" s="101"/>
      <c r="B137" s="101"/>
      <c r="C137" s="102"/>
      <c r="D137" s="102"/>
      <c r="E137" s="102"/>
      <c r="F137" s="102"/>
      <c r="G137" s="102"/>
      <c r="H137" s="102"/>
      <c r="I137" s="154"/>
      <c r="J137" s="154"/>
      <c r="K137" s="154"/>
      <c r="L137" s="154"/>
      <c r="M137" s="154"/>
      <c r="N137" s="154"/>
      <c r="O137" s="154"/>
      <c r="P137" s="154"/>
      <c r="Q137" s="154"/>
      <c r="R137" s="102"/>
      <c r="S137" s="102"/>
      <c r="T137" s="102"/>
      <c r="U137" s="102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01"/>
    </row>
    <row r="138" spans="1:31" s="162" customFormat="1" x14ac:dyDescent="0.25">
      <c r="A138" s="101"/>
      <c r="B138" s="101"/>
      <c r="C138" s="102"/>
      <c r="D138" s="102"/>
      <c r="E138" s="102"/>
      <c r="F138" s="102"/>
      <c r="G138" s="102"/>
      <c r="H138" s="102"/>
      <c r="I138" s="154"/>
      <c r="J138" s="154"/>
      <c r="K138" s="154"/>
      <c r="L138" s="154"/>
      <c r="M138" s="154"/>
      <c r="N138" s="154"/>
      <c r="O138" s="154"/>
      <c r="P138" s="154"/>
      <c r="Q138" s="154"/>
      <c r="R138" s="102"/>
      <c r="S138" s="102"/>
      <c r="T138" s="102"/>
      <c r="U138" s="102"/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01"/>
    </row>
    <row r="139" spans="1:31" s="162" customFormat="1" x14ac:dyDescent="0.25">
      <c r="A139" s="101"/>
      <c r="B139" s="101"/>
      <c r="C139" s="102"/>
      <c r="D139" s="102"/>
      <c r="E139" s="102"/>
      <c r="F139" s="102"/>
      <c r="G139" s="102"/>
      <c r="H139" s="102"/>
      <c r="I139" s="154"/>
      <c r="J139" s="154"/>
      <c r="K139" s="154"/>
      <c r="L139" s="154"/>
      <c r="M139" s="154"/>
      <c r="N139" s="154"/>
      <c r="O139" s="154"/>
      <c r="P139" s="154"/>
      <c r="Q139" s="154"/>
      <c r="R139" s="102"/>
      <c r="S139" s="102"/>
      <c r="T139" s="102"/>
      <c r="U139" s="102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01"/>
    </row>
    <row r="140" spans="1:31" s="162" customFormat="1" x14ac:dyDescent="0.25">
      <c r="A140" s="101"/>
      <c r="B140" s="101"/>
      <c r="C140" s="102"/>
      <c r="D140" s="102"/>
      <c r="E140" s="102"/>
      <c r="F140" s="102"/>
      <c r="G140" s="102"/>
      <c r="H140" s="102"/>
      <c r="I140" s="154"/>
      <c r="J140" s="154"/>
      <c r="K140" s="154"/>
      <c r="L140" s="154"/>
      <c r="M140" s="154"/>
      <c r="N140" s="154"/>
      <c r="O140" s="154"/>
      <c r="P140" s="154"/>
      <c r="Q140" s="154"/>
      <c r="R140" s="102"/>
      <c r="S140" s="102"/>
      <c r="T140" s="102"/>
      <c r="U140" s="102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01"/>
    </row>
    <row r="141" spans="1:31" s="162" customFormat="1" x14ac:dyDescent="0.25">
      <c r="A141" s="101"/>
      <c r="B141" s="101"/>
      <c r="C141" s="102"/>
      <c r="D141" s="102"/>
      <c r="E141" s="102"/>
      <c r="F141" s="102"/>
      <c r="G141" s="102"/>
      <c r="H141" s="102"/>
      <c r="I141" s="154"/>
      <c r="J141" s="154"/>
      <c r="K141" s="154"/>
      <c r="L141" s="154"/>
      <c r="M141" s="154"/>
      <c r="N141" s="154"/>
      <c r="O141" s="154"/>
      <c r="P141" s="154"/>
      <c r="Q141" s="154"/>
      <c r="R141" s="102"/>
      <c r="S141" s="102"/>
      <c r="T141" s="102"/>
      <c r="U141" s="102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01"/>
    </row>
    <row r="142" spans="1:31" s="162" customFormat="1" x14ac:dyDescent="0.25">
      <c r="A142" s="101"/>
      <c r="B142" s="101"/>
      <c r="C142" s="102"/>
      <c r="D142" s="102"/>
      <c r="E142" s="102"/>
      <c r="F142" s="102"/>
      <c r="G142" s="102"/>
      <c r="H142" s="102"/>
      <c r="I142" s="154"/>
      <c r="J142" s="154"/>
      <c r="K142" s="154"/>
      <c r="L142" s="154"/>
      <c r="M142" s="154"/>
      <c r="N142" s="154"/>
      <c r="O142" s="154"/>
      <c r="P142" s="154"/>
      <c r="Q142" s="154"/>
      <c r="R142" s="102"/>
      <c r="S142" s="102"/>
      <c r="T142" s="102"/>
      <c r="U142" s="102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01"/>
    </row>
    <row r="143" spans="1:31" s="162" customFormat="1" x14ac:dyDescent="0.25">
      <c r="A143" s="101"/>
      <c r="B143" s="101"/>
      <c r="C143" s="102"/>
      <c r="D143" s="102"/>
      <c r="E143" s="102"/>
      <c r="F143" s="102"/>
      <c r="G143" s="102"/>
      <c r="H143" s="102"/>
      <c r="I143" s="154"/>
      <c r="J143" s="154"/>
      <c r="K143" s="154"/>
      <c r="L143" s="154"/>
      <c r="M143" s="154"/>
      <c r="N143" s="154"/>
      <c r="O143" s="154"/>
      <c r="P143" s="154"/>
      <c r="Q143" s="154"/>
      <c r="R143" s="102"/>
      <c r="S143" s="102"/>
      <c r="T143" s="102"/>
      <c r="U143" s="102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01"/>
    </row>
    <row r="144" spans="1:31" s="162" customFormat="1" x14ac:dyDescent="0.25">
      <c r="A144" s="101"/>
      <c r="B144" s="101"/>
      <c r="C144" s="102"/>
      <c r="D144" s="102"/>
      <c r="E144" s="102"/>
      <c r="F144" s="102"/>
      <c r="G144" s="102"/>
      <c r="H144" s="102"/>
      <c r="I144" s="154"/>
      <c r="J144" s="154"/>
      <c r="K144" s="154"/>
      <c r="L144" s="154"/>
      <c r="M144" s="154"/>
      <c r="N144" s="154"/>
      <c r="O144" s="154"/>
      <c r="P144" s="154"/>
      <c r="Q144" s="154"/>
      <c r="R144" s="102"/>
      <c r="S144" s="102"/>
      <c r="T144" s="102"/>
      <c r="U144" s="102"/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01"/>
    </row>
    <row r="145" spans="1:31" s="162" customFormat="1" x14ac:dyDescent="0.25">
      <c r="A145" s="101"/>
      <c r="B145" s="101"/>
      <c r="C145" s="102"/>
      <c r="D145" s="102"/>
      <c r="E145" s="102"/>
      <c r="F145" s="102"/>
      <c r="G145" s="102"/>
      <c r="H145" s="102"/>
      <c r="I145" s="154"/>
      <c r="J145" s="154"/>
      <c r="K145" s="154"/>
      <c r="L145" s="154"/>
      <c r="M145" s="154"/>
      <c r="N145" s="154"/>
      <c r="O145" s="154"/>
      <c r="P145" s="154"/>
      <c r="Q145" s="154"/>
      <c r="R145" s="102"/>
      <c r="S145" s="102"/>
      <c r="T145" s="102"/>
      <c r="U145" s="102"/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01"/>
    </row>
    <row r="146" spans="1:31" s="162" customFormat="1" x14ac:dyDescent="0.25">
      <c r="A146" s="101"/>
      <c r="B146" s="101"/>
      <c r="C146" s="102"/>
      <c r="D146" s="102"/>
      <c r="E146" s="102"/>
      <c r="F146" s="102"/>
      <c r="G146" s="102"/>
      <c r="H146" s="102"/>
      <c r="I146" s="154"/>
      <c r="J146" s="154"/>
      <c r="K146" s="154"/>
      <c r="L146" s="154"/>
      <c r="M146" s="154"/>
      <c r="N146" s="154"/>
      <c r="O146" s="154"/>
      <c r="P146" s="154"/>
      <c r="Q146" s="154"/>
      <c r="R146" s="102"/>
      <c r="S146" s="102"/>
      <c r="T146" s="102"/>
      <c r="U146" s="102"/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01"/>
    </row>
    <row r="147" spans="1:31" s="162" customFormat="1" x14ac:dyDescent="0.25">
      <c r="A147" s="101"/>
      <c r="B147" s="101"/>
      <c r="C147" s="102"/>
      <c r="D147" s="102"/>
      <c r="E147" s="102"/>
      <c r="F147" s="102"/>
      <c r="G147" s="102"/>
      <c r="H147" s="102"/>
      <c r="I147" s="154"/>
      <c r="J147" s="154"/>
      <c r="K147" s="154"/>
      <c r="L147" s="154"/>
      <c r="M147" s="154"/>
      <c r="N147" s="154"/>
      <c r="O147" s="154"/>
      <c r="P147" s="154"/>
      <c r="Q147" s="154"/>
      <c r="R147" s="102"/>
      <c r="S147" s="102"/>
      <c r="T147" s="102"/>
      <c r="U147" s="102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01"/>
    </row>
    <row r="148" spans="1:31" s="162" customFormat="1" x14ac:dyDescent="0.25">
      <c r="A148" s="101"/>
      <c r="B148" s="101"/>
      <c r="C148" s="102"/>
      <c r="D148" s="102"/>
      <c r="E148" s="102"/>
      <c r="F148" s="102"/>
      <c r="G148" s="102"/>
      <c r="H148" s="102"/>
      <c r="I148" s="154"/>
      <c r="J148" s="154"/>
      <c r="K148" s="154"/>
      <c r="L148" s="154"/>
      <c r="M148" s="154"/>
      <c r="N148" s="154"/>
      <c r="O148" s="154"/>
      <c r="P148" s="154"/>
      <c r="Q148" s="154"/>
      <c r="R148" s="102"/>
      <c r="S148" s="102"/>
      <c r="T148" s="102"/>
      <c r="U148" s="102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01"/>
    </row>
    <row r="149" spans="1:31" s="162" customFormat="1" x14ac:dyDescent="0.25">
      <c r="A149" s="101"/>
      <c r="B149" s="101"/>
      <c r="C149" s="102"/>
      <c r="D149" s="102"/>
      <c r="E149" s="102"/>
      <c r="F149" s="102"/>
      <c r="G149" s="102"/>
      <c r="H149" s="102"/>
      <c r="I149" s="154"/>
      <c r="J149" s="154"/>
      <c r="K149" s="154"/>
      <c r="L149" s="154"/>
      <c r="M149" s="154"/>
      <c r="N149" s="154"/>
      <c r="O149" s="154"/>
      <c r="P149" s="154"/>
      <c r="Q149" s="154"/>
      <c r="R149" s="102"/>
      <c r="S149" s="102"/>
      <c r="T149" s="102"/>
      <c r="U149" s="102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01"/>
    </row>
    <row r="150" spans="1:31" s="162" customFormat="1" x14ac:dyDescent="0.25">
      <c r="A150" s="101"/>
      <c r="B150" s="101"/>
      <c r="C150" s="102"/>
      <c r="D150" s="102"/>
      <c r="E150" s="102"/>
      <c r="F150" s="102"/>
      <c r="G150" s="102"/>
      <c r="H150" s="102"/>
      <c r="I150" s="154"/>
      <c r="J150" s="154"/>
      <c r="K150" s="154"/>
      <c r="L150" s="154"/>
      <c r="M150" s="154"/>
      <c r="N150" s="154"/>
      <c r="O150" s="154"/>
      <c r="P150" s="154"/>
      <c r="Q150" s="154"/>
      <c r="R150" s="102"/>
      <c r="S150" s="102"/>
      <c r="T150" s="102"/>
      <c r="U150" s="102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01"/>
    </row>
    <row r="151" spans="1:31" s="162" customFormat="1" x14ac:dyDescent="0.25">
      <c r="A151" s="101"/>
      <c r="B151" s="101"/>
      <c r="C151" s="102"/>
      <c r="D151" s="102"/>
      <c r="E151" s="102"/>
      <c r="F151" s="102"/>
      <c r="G151" s="102"/>
      <c r="H151" s="102"/>
      <c r="I151" s="154"/>
      <c r="J151" s="154"/>
      <c r="K151" s="154"/>
      <c r="L151" s="154"/>
      <c r="M151" s="154"/>
      <c r="N151" s="154"/>
      <c r="O151" s="154"/>
      <c r="P151" s="154"/>
      <c r="Q151" s="154"/>
      <c r="R151" s="102"/>
      <c r="S151" s="102"/>
      <c r="T151" s="102"/>
      <c r="U151" s="102"/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01"/>
    </row>
    <row r="152" spans="1:31" s="162" customFormat="1" x14ac:dyDescent="0.25">
      <c r="A152" s="101"/>
      <c r="B152" s="101"/>
      <c r="C152" s="102"/>
      <c r="D152" s="102"/>
      <c r="E152" s="102"/>
      <c r="F152" s="102"/>
      <c r="G152" s="102"/>
      <c r="H152" s="102"/>
      <c r="I152" s="154"/>
      <c r="J152" s="154"/>
      <c r="K152" s="154"/>
      <c r="L152" s="154"/>
      <c r="M152" s="154"/>
      <c r="N152" s="154"/>
      <c r="O152" s="154"/>
      <c r="P152" s="154"/>
      <c r="Q152" s="154"/>
      <c r="R152" s="102"/>
      <c r="S152" s="102"/>
      <c r="T152" s="102"/>
      <c r="U152" s="102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01"/>
    </row>
    <row r="153" spans="1:31" s="162" customFormat="1" x14ac:dyDescent="0.25">
      <c r="A153" s="101"/>
      <c r="B153" s="101"/>
      <c r="C153" s="102"/>
      <c r="D153" s="102"/>
      <c r="E153" s="102"/>
      <c r="F153" s="102"/>
      <c r="G153" s="102"/>
      <c r="H153" s="102"/>
      <c r="I153" s="154"/>
      <c r="J153" s="154"/>
      <c r="K153" s="154"/>
      <c r="L153" s="154"/>
      <c r="M153" s="154"/>
      <c r="N153" s="154"/>
      <c r="O153" s="154"/>
      <c r="P153" s="154"/>
      <c r="Q153" s="154"/>
      <c r="R153" s="102"/>
      <c r="S153" s="102"/>
      <c r="T153" s="102"/>
      <c r="U153" s="102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01"/>
    </row>
    <row r="154" spans="1:31" s="162" customFormat="1" x14ac:dyDescent="0.25">
      <c r="A154" s="101"/>
      <c r="B154" s="101"/>
      <c r="C154" s="102"/>
      <c r="D154" s="102"/>
      <c r="E154" s="102"/>
      <c r="F154" s="102"/>
      <c r="G154" s="102"/>
      <c r="H154" s="102"/>
      <c r="I154" s="154"/>
      <c r="J154" s="154"/>
      <c r="K154" s="154"/>
      <c r="L154" s="154"/>
      <c r="M154" s="154"/>
      <c r="N154" s="154"/>
      <c r="O154" s="154"/>
      <c r="P154" s="154"/>
      <c r="Q154" s="154"/>
      <c r="R154" s="102"/>
      <c r="S154" s="102"/>
      <c r="T154" s="102"/>
      <c r="U154" s="102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01"/>
    </row>
    <row r="155" spans="1:31" s="162" customFormat="1" x14ac:dyDescent="0.25">
      <c r="A155" s="101"/>
      <c r="B155" s="101"/>
      <c r="C155" s="102"/>
      <c r="D155" s="102"/>
      <c r="E155" s="102"/>
      <c r="F155" s="102"/>
      <c r="G155" s="102"/>
      <c r="H155" s="102"/>
      <c r="I155" s="154"/>
      <c r="J155" s="154"/>
      <c r="K155" s="154"/>
      <c r="L155" s="154"/>
      <c r="M155" s="154"/>
      <c r="N155" s="154"/>
      <c r="O155" s="154"/>
      <c r="P155" s="154"/>
      <c r="Q155" s="154"/>
      <c r="R155" s="102"/>
      <c r="S155" s="102"/>
      <c r="T155" s="102"/>
      <c r="U155" s="102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01"/>
    </row>
    <row r="156" spans="1:31" s="162" customFormat="1" x14ac:dyDescent="0.25">
      <c r="A156" s="101"/>
      <c r="B156" s="101"/>
      <c r="C156" s="102"/>
      <c r="D156" s="102"/>
      <c r="E156" s="102"/>
      <c r="F156" s="102"/>
      <c r="G156" s="102"/>
      <c r="H156" s="102"/>
      <c r="I156" s="154"/>
      <c r="J156" s="154"/>
      <c r="K156" s="154"/>
      <c r="L156" s="154"/>
      <c r="M156" s="154"/>
      <c r="N156" s="154"/>
      <c r="O156" s="154"/>
      <c r="P156" s="154"/>
      <c r="Q156" s="154"/>
      <c r="R156" s="102"/>
      <c r="S156" s="102"/>
      <c r="T156" s="102"/>
      <c r="U156" s="102"/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01"/>
    </row>
    <row r="157" spans="1:31" s="162" customFormat="1" x14ac:dyDescent="0.25">
      <c r="A157" s="101"/>
      <c r="B157" s="101"/>
      <c r="C157" s="102"/>
      <c r="D157" s="102"/>
      <c r="E157" s="102"/>
      <c r="F157" s="102"/>
      <c r="G157" s="102"/>
      <c r="H157" s="102"/>
      <c r="I157" s="154"/>
      <c r="J157" s="154"/>
      <c r="K157" s="154"/>
      <c r="L157" s="154"/>
      <c r="M157" s="154"/>
      <c r="N157" s="154"/>
      <c r="O157" s="154"/>
      <c r="P157" s="154"/>
      <c r="Q157" s="154"/>
      <c r="R157" s="102"/>
      <c r="S157" s="102"/>
      <c r="T157" s="102"/>
      <c r="U157" s="102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01"/>
    </row>
    <row r="158" spans="1:31" s="162" customFormat="1" x14ac:dyDescent="0.25">
      <c r="A158" s="101"/>
      <c r="B158" s="101"/>
      <c r="C158" s="102"/>
      <c r="D158" s="102"/>
      <c r="E158" s="102"/>
      <c r="F158" s="102"/>
      <c r="G158" s="102"/>
      <c r="H158" s="102"/>
      <c r="I158" s="154"/>
      <c r="J158" s="154"/>
      <c r="K158" s="154"/>
      <c r="L158" s="154"/>
      <c r="M158" s="154"/>
      <c r="N158" s="154"/>
      <c r="O158" s="154"/>
      <c r="P158" s="154"/>
      <c r="Q158" s="154"/>
      <c r="R158" s="102"/>
      <c r="S158" s="102"/>
      <c r="T158" s="102"/>
      <c r="U158" s="102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01"/>
    </row>
    <row r="159" spans="1:31" s="162" customFormat="1" x14ac:dyDescent="0.25">
      <c r="A159" s="101"/>
      <c r="B159" s="101"/>
      <c r="C159" s="102"/>
      <c r="D159" s="102"/>
      <c r="E159" s="102"/>
      <c r="F159" s="102"/>
      <c r="G159" s="102"/>
      <c r="H159" s="102"/>
      <c r="I159" s="154"/>
      <c r="J159" s="154"/>
      <c r="K159" s="154"/>
      <c r="L159" s="154"/>
      <c r="M159" s="154"/>
      <c r="N159" s="154"/>
      <c r="O159" s="154"/>
      <c r="P159" s="154"/>
      <c r="Q159" s="154"/>
      <c r="R159" s="102"/>
      <c r="S159" s="102"/>
      <c r="T159" s="102"/>
      <c r="U159" s="102"/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01"/>
    </row>
    <row r="160" spans="1:31" s="162" customFormat="1" x14ac:dyDescent="0.25">
      <c r="A160" s="101"/>
      <c r="B160" s="101"/>
      <c r="C160" s="102"/>
      <c r="D160" s="102"/>
      <c r="E160" s="102"/>
      <c r="F160" s="102"/>
      <c r="G160" s="102"/>
      <c r="H160" s="102"/>
      <c r="I160" s="154"/>
      <c r="J160" s="154"/>
      <c r="K160" s="154"/>
      <c r="L160" s="154"/>
      <c r="M160" s="154"/>
      <c r="N160" s="154"/>
      <c r="O160" s="154"/>
      <c r="P160" s="154"/>
      <c r="Q160" s="154"/>
      <c r="R160" s="102"/>
      <c r="S160" s="102"/>
      <c r="T160" s="102"/>
      <c r="U160" s="102"/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01"/>
    </row>
    <row r="161" spans="1:31" s="162" customFormat="1" x14ac:dyDescent="0.25">
      <c r="A161" s="101"/>
      <c r="B161" s="101"/>
      <c r="C161" s="102"/>
      <c r="D161" s="102"/>
      <c r="E161" s="102"/>
      <c r="F161" s="102"/>
      <c r="G161" s="102"/>
      <c r="H161" s="102"/>
      <c r="I161" s="154"/>
      <c r="J161" s="154"/>
      <c r="K161" s="154"/>
      <c r="L161" s="154"/>
      <c r="M161" s="154"/>
      <c r="N161" s="154"/>
      <c r="O161" s="154"/>
      <c r="P161" s="154"/>
      <c r="Q161" s="154"/>
      <c r="R161" s="102"/>
      <c r="S161" s="102"/>
      <c r="T161" s="102"/>
      <c r="U161" s="102"/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01"/>
    </row>
    <row r="162" spans="1:31" s="162" customFormat="1" x14ac:dyDescent="0.25">
      <c r="A162" s="101"/>
      <c r="B162" s="101"/>
      <c r="C162" s="102"/>
      <c r="D162" s="102"/>
      <c r="E162" s="102"/>
      <c r="F162" s="102"/>
      <c r="G162" s="102"/>
      <c r="H162" s="102"/>
      <c r="I162" s="154"/>
      <c r="J162" s="154"/>
      <c r="K162" s="154"/>
      <c r="L162" s="154"/>
      <c r="M162" s="154"/>
      <c r="N162" s="154"/>
      <c r="O162" s="154"/>
      <c r="P162" s="154"/>
      <c r="Q162" s="154"/>
      <c r="R162" s="102"/>
      <c r="S162" s="102"/>
      <c r="T162" s="102"/>
      <c r="U162" s="102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01"/>
    </row>
    <row r="163" spans="1:31" s="162" customFormat="1" x14ac:dyDescent="0.25">
      <c r="A163" s="101"/>
      <c r="B163" s="101"/>
      <c r="C163" s="102"/>
      <c r="D163" s="102"/>
      <c r="E163" s="102"/>
      <c r="F163" s="102"/>
      <c r="G163" s="102"/>
      <c r="H163" s="102"/>
      <c r="I163" s="154"/>
      <c r="J163" s="154"/>
      <c r="K163" s="154"/>
      <c r="L163" s="154"/>
      <c r="M163" s="154"/>
      <c r="N163" s="154"/>
      <c r="O163" s="154"/>
      <c r="P163" s="154"/>
      <c r="Q163" s="154"/>
      <c r="R163" s="102"/>
      <c r="S163" s="102"/>
      <c r="T163" s="102"/>
      <c r="U163" s="102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01"/>
    </row>
    <row r="164" spans="1:31" s="162" customFormat="1" x14ac:dyDescent="0.25">
      <c r="A164" s="101"/>
      <c r="B164" s="101"/>
      <c r="C164" s="102"/>
      <c r="D164" s="102"/>
      <c r="E164" s="102"/>
      <c r="F164" s="102"/>
      <c r="G164" s="102"/>
      <c r="H164" s="102"/>
      <c r="I164" s="154"/>
      <c r="J164" s="154"/>
      <c r="K164" s="154"/>
      <c r="L164" s="154"/>
      <c r="M164" s="154"/>
      <c r="N164" s="154"/>
      <c r="O164" s="154"/>
      <c r="P164" s="154"/>
      <c r="Q164" s="154"/>
      <c r="R164" s="102"/>
      <c r="S164" s="102"/>
      <c r="T164" s="102"/>
      <c r="U164" s="102"/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01"/>
    </row>
    <row r="165" spans="1:31" s="162" customFormat="1" x14ac:dyDescent="0.25">
      <c r="A165" s="101"/>
      <c r="B165" s="101"/>
      <c r="C165" s="102"/>
      <c r="D165" s="102"/>
      <c r="E165" s="102"/>
      <c r="F165" s="102"/>
      <c r="G165" s="102"/>
      <c r="H165" s="102"/>
      <c r="I165" s="154"/>
      <c r="J165" s="154"/>
      <c r="K165" s="154"/>
      <c r="L165" s="154"/>
      <c r="M165" s="154"/>
      <c r="N165" s="154"/>
      <c r="O165" s="154"/>
      <c r="P165" s="154"/>
      <c r="Q165" s="154"/>
      <c r="R165" s="102"/>
      <c r="S165" s="102"/>
      <c r="T165" s="102"/>
      <c r="U165" s="102"/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01"/>
    </row>
    <row r="166" spans="1:31" s="162" customFormat="1" x14ac:dyDescent="0.25">
      <c r="A166" s="101"/>
      <c r="B166" s="101"/>
      <c r="C166" s="102"/>
      <c r="D166" s="102"/>
      <c r="E166" s="102"/>
      <c r="F166" s="102"/>
      <c r="G166" s="102"/>
      <c r="H166" s="102"/>
      <c r="I166" s="154"/>
      <c r="J166" s="154"/>
      <c r="K166" s="154"/>
      <c r="L166" s="154"/>
      <c r="M166" s="154"/>
      <c r="N166" s="154"/>
      <c r="O166" s="154"/>
      <c r="P166" s="154"/>
      <c r="Q166" s="154"/>
      <c r="R166" s="102"/>
      <c r="S166" s="102"/>
      <c r="T166" s="102"/>
      <c r="U166" s="102"/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01"/>
    </row>
    <row r="167" spans="1:31" s="162" customFormat="1" x14ac:dyDescent="0.25">
      <c r="A167" s="101"/>
      <c r="B167" s="101"/>
      <c r="C167" s="102"/>
      <c r="D167" s="102"/>
      <c r="E167" s="102"/>
      <c r="F167" s="102"/>
      <c r="G167" s="102"/>
      <c r="H167" s="102"/>
      <c r="I167" s="154"/>
      <c r="J167" s="154"/>
      <c r="K167" s="154"/>
      <c r="L167" s="154"/>
      <c r="M167" s="154"/>
      <c r="N167" s="154"/>
      <c r="O167" s="154"/>
      <c r="P167" s="154"/>
      <c r="Q167" s="154"/>
      <c r="R167" s="102"/>
      <c r="S167" s="102"/>
      <c r="T167" s="102"/>
      <c r="U167" s="102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01"/>
    </row>
    <row r="168" spans="1:31" s="162" customFormat="1" x14ac:dyDescent="0.25">
      <c r="A168" s="101"/>
      <c r="B168" s="101"/>
      <c r="C168" s="102"/>
      <c r="D168" s="102"/>
      <c r="E168" s="102"/>
      <c r="F168" s="102"/>
      <c r="G168" s="102"/>
      <c r="H168" s="102"/>
      <c r="I168" s="154"/>
      <c r="J168" s="154"/>
      <c r="K168" s="154"/>
      <c r="L168" s="154"/>
      <c r="M168" s="154"/>
      <c r="N168" s="154"/>
      <c r="O168" s="154"/>
      <c r="P168" s="154"/>
      <c r="Q168" s="154"/>
      <c r="R168" s="102"/>
      <c r="S168" s="102"/>
      <c r="T168" s="102"/>
      <c r="U168" s="102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01"/>
    </row>
    <row r="169" spans="1:31" s="162" customFormat="1" x14ac:dyDescent="0.25">
      <c r="A169" s="101"/>
      <c r="B169" s="101"/>
      <c r="C169" s="102"/>
      <c r="D169" s="102"/>
      <c r="E169" s="102"/>
      <c r="F169" s="102"/>
      <c r="G169" s="102"/>
      <c r="H169" s="102"/>
      <c r="I169" s="154"/>
      <c r="J169" s="154"/>
      <c r="K169" s="154"/>
      <c r="L169" s="154"/>
      <c r="M169" s="154"/>
      <c r="N169" s="154"/>
      <c r="O169" s="154"/>
      <c r="P169" s="154"/>
      <c r="Q169" s="154"/>
      <c r="R169" s="102"/>
      <c r="S169" s="102"/>
      <c r="T169" s="102"/>
      <c r="U169" s="102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01"/>
    </row>
    <row r="170" spans="1:31" s="162" customFormat="1" x14ac:dyDescent="0.25">
      <c r="A170" s="101"/>
      <c r="B170" s="101"/>
      <c r="C170" s="102"/>
      <c r="D170" s="102"/>
      <c r="E170" s="102"/>
      <c r="F170" s="102"/>
      <c r="G170" s="102"/>
      <c r="H170" s="102"/>
      <c r="I170" s="154"/>
      <c r="J170" s="154"/>
      <c r="K170" s="154"/>
      <c r="L170" s="154"/>
      <c r="M170" s="154"/>
      <c r="N170" s="154"/>
      <c r="O170" s="154"/>
      <c r="P170" s="154"/>
      <c r="Q170" s="154"/>
      <c r="R170" s="102"/>
      <c r="S170" s="102"/>
      <c r="T170" s="102"/>
      <c r="U170" s="102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01"/>
    </row>
    <row r="171" spans="1:31" s="162" customFormat="1" x14ac:dyDescent="0.25">
      <c r="A171" s="101"/>
      <c r="B171" s="101"/>
      <c r="C171" s="102"/>
      <c r="D171" s="102"/>
      <c r="E171" s="102"/>
      <c r="F171" s="102"/>
      <c r="G171" s="102"/>
      <c r="H171" s="102"/>
      <c r="I171" s="154"/>
      <c r="J171" s="154"/>
      <c r="K171" s="154"/>
      <c r="L171" s="154"/>
      <c r="M171" s="154"/>
      <c r="N171" s="154"/>
      <c r="O171" s="154"/>
      <c r="P171" s="154"/>
      <c r="Q171" s="154"/>
      <c r="R171" s="102"/>
      <c r="S171" s="102"/>
      <c r="T171" s="102"/>
      <c r="U171" s="102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01"/>
    </row>
    <row r="172" spans="1:31" s="162" customFormat="1" x14ac:dyDescent="0.25">
      <c r="A172" s="101"/>
      <c r="B172" s="101"/>
      <c r="C172" s="102"/>
      <c r="D172" s="102"/>
      <c r="E172" s="102"/>
      <c r="F172" s="102"/>
      <c r="G172" s="102"/>
      <c r="H172" s="102"/>
      <c r="I172" s="154"/>
      <c r="J172" s="154"/>
      <c r="K172" s="154"/>
      <c r="L172" s="154"/>
      <c r="M172" s="154"/>
      <c r="N172" s="154"/>
      <c r="O172" s="154"/>
      <c r="P172" s="154"/>
      <c r="Q172" s="154"/>
      <c r="R172" s="102"/>
      <c r="S172" s="102"/>
      <c r="T172" s="102"/>
      <c r="U172" s="102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01"/>
    </row>
    <row r="173" spans="1:31" s="162" customFormat="1" x14ac:dyDescent="0.25">
      <c r="A173" s="101"/>
      <c r="B173" s="101"/>
      <c r="C173" s="102"/>
      <c r="D173" s="102"/>
      <c r="E173" s="102"/>
      <c r="F173" s="102"/>
      <c r="G173" s="102"/>
      <c r="H173" s="102"/>
      <c r="I173" s="154"/>
      <c r="J173" s="154"/>
      <c r="K173" s="154"/>
      <c r="L173" s="154"/>
      <c r="M173" s="154"/>
      <c r="N173" s="154"/>
      <c r="O173" s="154"/>
      <c r="P173" s="154"/>
      <c r="Q173" s="154"/>
      <c r="R173" s="102"/>
      <c r="S173" s="102"/>
      <c r="T173" s="102"/>
      <c r="U173" s="102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01"/>
    </row>
    <row r="174" spans="1:31" s="162" customFormat="1" x14ac:dyDescent="0.25">
      <c r="A174" s="101"/>
      <c r="B174" s="101"/>
      <c r="C174" s="102"/>
      <c r="D174" s="102"/>
      <c r="E174" s="102"/>
      <c r="F174" s="102"/>
      <c r="G174" s="102"/>
      <c r="H174" s="102"/>
      <c r="I174" s="154"/>
      <c r="J174" s="154"/>
      <c r="K174" s="154"/>
      <c r="L174" s="154"/>
      <c r="M174" s="154"/>
      <c r="N174" s="154"/>
      <c r="O174" s="154"/>
      <c r="P174" s="154"/>
      <c r="Q174" s="154"/>
      <c r="R174" s="102"/>
      <c r="S174" s="102"/>
      <c r="T174" s="102"/>
      <c r="U174" s="102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01"/>
    </row>
    <row r="175" spans="1:31" s="162" customFormat="1" x14ac:dyDescent="0.25">
      <c r="A175" s="101"/>
      <c r="B175" s="101"/>
      <c r="C175" s="102"/>
      <c r="D175" s="102"/>
      <c r="E175" s="102"/>
      <c r="F175" s="102"/>
      <c r="G175" s="102"/>
      <c r="H175" s="102"/>
      <c r="I175" s="154"/>
      <c r="J175" s="154"/>
      <c r="K175" s="154"/>
      <c r="L175" s="154"/>
      <c r="M175" s="154"/>
      <c r="N175" s="154"/>
      <c r="O175" s="154"/>
      <c r="P175" s="154"/>
      <c r="Q175" s="154"/>
      <c r="R175" s="102"/>
      <c r="S175" s="102"/>
      <c r="T175" s="102"/>
      <c r="U175" s="102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01"/>
    </row>
    <row r="176" spans="1:31" s="162" customFormat="1" x14ac:dyDescent="0.25">
      <c r="A176" s="101"/>
      <c r="B176" s="101"/>
      <c r="C176" s="102"/>
      <c r="D176" s="102"/>
      <c r="E176" s="102"/>
      <c r="F176" s="102"/>
      <c r="G176" s="102"/>
      <c r="H176" s="102"/>
      <c r="I176" s="154"/>
      <c r="J176" s="154"/>
      <c r="K176" s="154"/>
      <c r="L176" s="154"/>
      <c r="M176" s="154"/>
      <c r="N176" s="154"/>
      <c r="O176" s="154"/>
      <c r="P176" s="154"/>
      <c r="Q176" s="154"/>
      <c r="R176" s="102"/>
      <c r="S176" s="102"/>
      <c r="T176" s="102"/>
      <c r="U176" s="102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01"/>
    </row>
    <row r="177" spans="1:31" s="162" customFormat="1" x14ac:dyDescent="0.25">
      <c r="A177" s="101"/>
      <c r="B177" s="101"/>
      <c r="C177" s="102"/>
      <c r="D177" s="102"/>
      <c r="E177" s="102"/>
      <c r="F177" s="102"/>
      <c r="G177" s="102"/>
      <c r="H177" s="102"/>
      <c r="I177" s="154"/>
      <c r="J177" s="154"/>
      <c r="K177" s="154"/>
      <c r="L177" s="154"/>
      <c r="M177" s="154"/>
      <c r="N177" s="154"/>
      <c r="O177" s="154"/>
      <c r="P177" s="154"/>
      <c r="Q177" s="154"/>
      <c r="R177" s="102"/>
      <c r="S177" s="102"/>
      <c r="T177" s="102"/>
      <c r="U177" s="102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01"/>
    </row>
    <row r="178" spans="1:31" s="162" customFormat="1" x14ac:dyDescent="0.25">
      <c r="A178" s="101"/>
      <c r="B178" s="101"/>
      <c r="C178" s="102"/>
      <c r="D178" s="102"/>
      <c r="E178" s="102"/>
      <c r="F178" s="102"/>
      <c r="G178" s="102"/>
      <c r="H178" s="102"/>
      <c r="I178" s="154"/>
      <c r="J178" s="154"/>
      <c r="K178" s="154"/>
      <c r="L178" s="154"/>
      <c r="M178" s="154"/>
      <c r="N178" s="154"/>
      <c r="O178" s="154"/>
      <c r="P178" s="154"/>
      <c r="Q178" s="154"/>
      <c r="R178" s="102"/>
      <c r="S178" s="102"/>
      <c r="T178" s="102"/>
      <c r="U178" s="102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01"/>
    </row>
    <row r="179" spans="1:31" s="162" customFormat="1" x14ac:dyDescent="0.25">
      <c r="A179" s="101"/>
      <c r="B179" s="101"/>
      <c r="C179" s="102"/>
      <c r="D179" s="102"/>
      <c r="E179" s="102"/>
      <c r="F179" s="102"/>
      <c r="G179" s="102"/>
      <c r="H179" s="102"/>
      <c r="I179" s="154"/>
      <c r="J179" s="154"/>
      <c r="K179" s="154"/>
      <c r="L179" s="154"/>
      <c r="M179" s="154"/>
      <c r="N179" s="154"/>
      <c r="O179" s="154"/>
      <c r="P179" s="154"/>
      <c r="Q179" s="154"/>
      <c r="R179" s="102"/>
      <c r="S179" s="102"/>
      <c r="T179" s="102"/>
      <c r="U179" s="102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01"/>
    </row>
    <row r="180" spans="1:31" s="162" customFormat="1" x14ac:dyDescent="0.25">
      <c r="A180" s="101"/>
      <c r="B180" s="101"/>
      <c r="C180" s="102"/>
      <c r="D180" s="102"/>
      <c r="E180" s="102"/>
      <c r="F180" s="102"/>
      <c r="G180" s="102"/>
      <c r="H180" s="102"/>
      <c r="I180" s="154"/>
      <c r="J180" s="154"/>
      <c r="K180" s="154"/>
      <c r="L180" s="154"/>
      <c r="M180" s="154"/>
      <c r="N180" s="154"/>
      <c r="O180" s="154"/>
      <c r="P180" s="154"/>
      <c r="Q180" s="154"/>
      <c r="R180" s="102"/>
      <c r="S180" s="102"/>
      <c r="T180" s="102"/>
      <c r="U180" s="102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01"/>
    </row>
    <row r="181" spans="1:31" s="162" customFormat="1" x14ac:dyDescent="0.25">
      <c r="A181" s="101"/>
      <c r="B181" s="101"/>
      <c r="C181" s="102"/>
      <c r="D181" s="102"/>
      <c r="E181" s="102"/>
      <c r="F181" s="102"/>
      <c r="G181" s="102"/>
      <c r="H181" s="102"/>
      <c r="I181" s="154"/>
      <c r="J181" s="154"/>
      <c r="K181" s="154"/>
      <c r="L181" s="154"/>
      <c r="M181" s="154"/>
      <c r="N181" s="154"/>
      <c r="O181" s="154"/>
      <c r="P181" s="154"/>
      <c r="Q181" s="154"/>
      <c r="R181" s="102"/>
      <c r="S181" s="102"/>
      <c r="T181" s="102"/>
      <c r="U181" s="102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01"/>
    </row>
    <row r="182" spans="1:31" s="162" customFormat="1" x14ac:dyDescent="0.25">
      <c r="A182" s="101"/>
      <c r="B182" s="101"/>
      <c r="C182" s="102"/>
      <c r="D182" s="102"/>
      <c r="E182" s="102"/>
      <c r="F182" s="102"/>
      <c r="G182" s="102"/>
      <c r="H182" s="102"/>
      <c r="I182" s="154"/>
      <c r="J182" s="154"/>
      <c r="K182" s="154"/>
      <c r="L182" s="154"/>
      <c r="M182" s="154"/>
      <c r="N182" s="154"/>
      <c r="O182" s="154"/>
      <c r="P182" s="154"/>
      <c r="Q182" s="154"/>
      <c r="R182" s="102"/>
      <c r="S182" s="102"/>
      <c r="T182" s="102"/>
      <c r="U182" s="102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01"/>
    </row>
    <row r="183" spans="1:31" s="162" customFormat="1" x14ac:dyDescent="0.25">
      <c r="A183" s="101"/>
      <c r="B183" s="101"/>
      <c r="C183" s="102"/>
      <c r="D183" s="102"/>
      <c r="E183" s="102"/>
      <c r="F183" s="102"/>
      <c r="G183" s="102"/>
      <c r="H183" s="102"/>
      <c r="I183" s="154"/>
      <c r="J183" s="154"/>
      <c r="K183" s="154"/>
      <c r="L183" s="154"/>
      <c r="M183" s="154"/>
      <c r="N183" s="154"/>
      <c r="O183" s="154"/>
      <c r="P183" s="154"/>
      <c r="Q183" s="154"/>
      <c r="R183" s="102"/>
      <c r="S183" s="102"/>
      <c r="T183" s="102"/>
      <c r="U183" s="102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01"/>
    </row>
    <row r="184" spans="1:31" s="162" customFormat="1" x14ac:dyDescent="0.25">
      <c r="A184" s="101"/>
      <c r="B184" s="101"/>
      <c r="C184" s="102"/>
      <c r="D184" s="102"/>
      <c r="E184" s="102"/>
      <c r="F184" s="102"/>
      <c r="G184" s="102"/>
      <c r="H184" s="102"/>
      <c r="I184" s="154"/>
      <c r="J184" s="154"/>
      <c r="K184" s="154"/>
      <c r="L184" s="154"/>
      <c r="M184" s="154"/>
      <c r="N184" s="154"/>
      <c r="O184" s="154"/>
      <c r="P184" s="154"/>
      <c r="Q184" s="154"/>
      <c r="R184" s="102"/>
      <c r="S184" s="102"/>
      <c r="T184" s="102"/>
      <c r="U184" s="102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01"/>
    </row>
    <row r="185" spans="1:31" s="162" customFormat="1" x14ac:dyDescent="0.25">
      <c r="A185" s="101"/>
      <c r="B185" s="101"/>
      <c r="C185" s="102"/>
      <c r="D185" s="102"/>
      <c r="E185" s="102"/>
      <c r="F185" s="102"/>
      <c r="G185" s="102"/>
      <c r="H185" s="102"/>
      <c r="I185" s="154"/>
      <c r="J185" s="154"/>
      <c r="K185" s="154"/>
      <c r="L185" s="154"/>
      <c r="M185" s="154"/>
      <c r="N185" s="154"/>
      <c r="O185" s="154"/>
      <c r="P185" s="154"/>
      <c r="Q185" s="154"/>
      <c r="R185" s="102"/>
      <c r="S185" s="102"/>
      <c r="T185" s="102"/>
      <c r="U185" s="102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01"/>
    </row>
    <row r="186" spans="1:31" s="162" customFormat="1" x14ac:dyDescent="0.25">
      <c r="A186" s="101"/>
      <c r="B186" s="101"/>
      <c r="C186" s="102"/>
      <c r="D186" s="102"/>
      <c r="E186" s="102"/>
      <c r="F186" s="102"/>
      <c r="G186" s="102"/>
      <c r="H186" s="102"/>
      <c r="I186" s="154"/>
      <c r="J186" s="154"/>
      <c r="K186" s="154"/>
      <c r="L186" s="154"/>
      <c r="M186" s="154"/>
      <c r="N186" s="154"/>
      <c r="O186" s="154"/>
      <c r="P186" s="154"/>
      <c r="Q186" s="154"/>
      <c r="R186" s="102"/>
      <c r="S186" s="102"/>
      <c r="T186" s="102"/>
      <c r="U186" s="102"/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01"/>
    </row>
    <row r="187" spans="1:31" s="162" customFormat="1" x14ac:dyDescent="0.25">
      <c r="A187" s="101"/>
      <c r="B187" s="101"/>
      <c r="C187" s="102"/>
      <c r="D187" s="102"/>
      <c r="E187" s="102"/>
      <c r="F187" s="102"/>
      <c r="G187" s="102"/>
      <c r="H187" s="102"/>
      <c r="I187" s="154"/>
      <c r="J187" s="154"/>
      <c r="K187" s="154"/>
      <c r="L187" s="154"/>
      <c r="M187" s="154"/>
      <c r="N187" s="154"/>
      <c r="O187" s="154"/>
      <c r="P187" s="154"/>
      <c r="Q187" s="154"/>
      <c r="R187" s="102"/>
      <c r="S187" s="102"/>
      <c r="T187" s="102"/>
      <c r="U187" s="102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01"/>
    </row>
    <row r="188" spans="1:31" s="162" customFormat="1" x14ac:dyDescent="0.25">
      <c r="A188" s="101"/>
      <c r="B188" s="101"/>
      <c r="C188" s="102"/>
      <c r="D188" s="102"/>
      <c r="E188" s="102"/>
      <c r="F188" s="102"/>
      <c r="G188" s="102"/>
      <c r="H188" s="102"/>
      <c r="I188" s="154"/>
      <c r="J188" s="154"/>
      <c r="K188" s="154"/>
      <c r="L188" s="154"/>
      <c r="M188" s="154"/>
      <c r="N188" s="154"/>
      <c r="O188" s="154"/>
      <c r="P188" s="154"/>
      <c r="Q188" s="154"/>
      <c r="R188" s="102"/>
      <c r="S188" s="102"/>
      <c r="T188" s="102"/>
      <c r="U188" s="102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01"/>
    </row>
    <row r="189" spans="1:31" s="162" customFormat="1" x14ac:dyDescent="0.25">
      <c r="A189" s="101"/>
      <c r="B189" s="101"/>
      <c r="C189" s="102"/>
      <c r="D189" s="102"/>
      <c r="E189" s="102"/>
      <c r="F189" s="102"/>
      <c r="G189" s="102"/>
      <c r="H189" s="102"/>
      <c r="I189" s="154"/>
      <c r="J189" s="154"/>
      <c r="K189" s="154"/>
      <c r="L189" s="154"/>
      <c r="M189" s="154"/>
      <c r="N189" s="154"/>
      <c r="O189" s="154"/>
      <c r="P189" s="154"/>
      <c r="Q189" s="154"/>
      <c r="R189" s="102"/>
      <c r="S189" s="102"/>
      <c r="T189" s="102"/>
      <c r="U189" s="102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01"/>
    </row>
    <row r="190" spans="1:31" s="162" customFormat="1" x14ac:dyDescent="0.25">
      <c r="A190" s="101"/>
      <c r="B190" s="101"/>
      <c r="C190" s="102"/>
      <c r="D190" s="102"/>
      <c r="E190" s="102"/>
      <c r="F190" s="102"/>
      <c r="G190" s="102"/>
      <c r="H190" s="102"/>
      <c r="I190" s="154"/>
      <c r="J190" s="154"/>
      <c r="K190" s="154"/>
      <c r="L190" s="154"/>
      <c r="M190" s="154"/>
      <c r="N190" s="154"/>
      <c r="O190" s="154"/>
      <c r="P190" s="154"/>
      <c r="Q190" s="154"/>
      <c r="R190" s="102"/>
      <c r="S190" s="102"/>
      <c r="T190" s="102"/>
      <c r="U190" s="102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01"/>
    </row>
    <row r="191" spans="1:31" s="162" customFormat="1" x14ac:dyDescent="0.25">
      <c r="A191" s="101"/>
      <c r="B191" s="101"/>
      <c r="C191" s="102"/>
      <c r="D191" s="102"/>
      <c r="E191" s="102"/>
      <c r="F191" s="102"/>
      <c r="G191" s="102"/>
      <c r="H191" s="102"/>
      <c r="I191" s="154"/>
      <c r="J191" s="154"/>
      <c r="K191" s="154"/>
      <c r="L191" s="154"/>
      <c r="M191" s="154"/>
      <c r="N191" s="154"/>
      <c r="O191" s="154"/>
      <c r="P191" s="154"/>
      <c r="Q191" s="154"/>
      <c r="R191" s="102"/>
      <c r="S191" s="102"/>
      <c r="T191" s="102"/>
      <c r="U191" s="102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01"/>
    </row>
    <row r="192" spans="1:31" s="162" customFormat="1" x14ac:dyDescent="0.25">
      <c r="A192" s="101"/>
      <c r="B192" s="101"/>
      <c r="C192" s="102"/>
      <c r="D192" s="102"/>
      <c r="E192" s="102"/>
      <c r="F192" s="102"/>
      <c r="G192" s="102"/>
      <c r="H192" s="102"/>
      <c r="I192" s="154"/>
      <c r="J192" s="154"/>
      <c r="K192" s="154"/>
      <c r="L192" s="154"/>
      <c r="M192" s="154"/>
      <c r="N192" s="154"/>
      <c r="O192" s="154"/>
      <c r="P192" s="154"/>
      <c r="Q192" s="154"/>
      <c r="R192" s="102"/>
      <c r="S192" s="102"/>
      <c r="T192" s="102"/>
      <c r="U192" s="102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01"/>
    </row>
    <row r="193" spans="1:31" s="162" customFormat="1" x14ac:dyDescent="0.25">
      <c r="A193" s="101"/>
      <c r="B193" s="101"/>
      <c r="C193" s="102"/>
      <c r="D193" s="102"/>
      <c r="E193" s="102"/>
      <c r="F193" s="102"/>
      <c r="G193" s="102"/>
      <c r="H193" s="102"/>
      <c r="I193" s="154"/>
      <c r="J193" s="154"/>
      <c r="K193" s="154"/>
      <c r="L193" s="154"/>
      <c r="M193" s="154"/>
      <c r="N193" s="154"/>
      <c r="O193" s="154"/>
      <c r="P193" s="154"/>
      <c r="Q193" s="154"/>
      <c r="R193" s="102"/>
      <c r="S193" s="102"/>
      <c r="T193" s="102"/>
      <c r="U193" s="102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01"/>
    </row>
    <row r="194" spans="1:31" s="162" customFormat="1" x14ac:dyDescent="0.25">
      <c r="A194" s="101"/>
      <c r="B194" s="101"/>
      <c r="C194" s="102"/>
      <c r="D194" s="102"/>
      <c r="E194" s="102"/>
      <c r="F194" s="102"/>
      <c r="G194" s="102"/>
      <c r="H194" s="102"/>
      <c r="I194" s="154"/>
      <c r="J194" s="154"/>
      <c r="K194" s="154"/>
      <c r="L194" s="154"/>
      <c r="M194" s="154"/>
      <c r="N194" s="154"/>
      <c r="O194" s="154"/>
      <c r="P194" s="154"/>
      <c r="Q194" s="154"/>
      <c r="R194" s="102"/>
      <c r="S194" s="102"/>
      <c r="T194" s="102"/>
      <c r="U194" s="102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01"/>
    </row>
    <row r="195" spans="1:31" s="162" customFormat="1" x14ac:dyDescent="0.25">
      <c r="A195" s="101"/>
      <c r="B195" s="101"/>
      <c r="C195" s="102"/>
      <c r="D195" s="102"/>
      <c r="E195" s="102"/>
      <c r="F195" s="102"/>
      <c r="G195" s="102"/>
      <c r="H195" s="102"/>
      <c r="I195" s="154"/>
      <c r="J195" s="154"/>
      <c r="K195" s="154"/>
      <c r="L195" s="154"/>
      <c r="M195" s="154"/>
      <c r="N195" s="154"/>
      <c r="O195" s="154"/>
      <c r="P195" s="154"/>
      <c r="Q195" s="154"/>
      <c r="R195" s="102"/>
      <c r="S195" s="102"/>
      <c r="T195" s="102"/>
      <c r="U195" s="102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01"/>
    </row>
    <row r="196" spans="1:31" s="162" customFormat="1" x14ac:dyDescent="0.25">
      <c r="A196" s="101"/>
      <c r="B196" s="101"/>
      <c r="C196" s="102"/>
      <c r="D196" s="102"/>
      <c r="E196" s="102"/>
      <c r="F196" s="102"/>
      <c r="G196" s="102"/>
      <c r="H196" s="102"/>
      <c r="I196" s="154"/>
      <c r="J196" s="154"/>
      <c r="K196" s="154"/>
      <c r="L196" s="154"/>
      <c r="M196" s="154"/>
      <c r="N196" s="154"/>
      <c r="O196" s="154"/>
      <c r="P196" s="154"/>
      <c r="Q196" s="154"/>
      <c r="R196" s="102"/>
      <c r="S196" s="102"/>
      <c r="T196" s="102"/>
      <c r="U196" s="102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01"/>
    </row>
    <row r="197" spans="1:31" s="162" customFormat="1" x14ac:dyDescent="0.25">
      <c r="A197" s="101"/>
      <c r="B197" s="101"/>
      <c r="C197" s="102"/>
      <c r="D197" s="102"/>
      <c r="E197" s="102"/>
      <c r="F197" s="102"/>
      <c r="G197" s="102"/>
      <c r="H197" s="102"/>
      <c r="I197" s="154"/>
      <c r="J197" s="154"/>
      <c r="K197" s="154"/>
      <c r="L197" s="154"/>
      <c r="M197" s="154"/>
      <c r="N197" s="154"/>
      <c r="O197" s="154"/>
      <c r="P197" s="154"/>
      <c r="Q197" s="154"/>
      <c r="R197" s="102"/>
      <c r="S197" s="102"/>
      <c r="T197" s="102"/>
      <c r="U197" s="102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01"/>
    </row>
    <row r="198" spans="1:31" s="162" customFormat="1" x14ac:dyDescent="0.25">
      <c r="A198" s="101"/>
      <c r="B198" s="101"/>
      <c r="C198" s="102"/>
      <c r="D198" s="102"/>
      <c r="E198" s="102"/>
      <c r="F198" s="102"/>
      <c r="G198" s="102"/>
      <c r="H198" s="102"/>
      <c r="I198" s="154"/>
      <c r="J198" s="154"/>
      <c r="K198" s="154"/>
      <c r="L198" s="154"/>
      <c r="M198" s="154"/>
      <c r="N198" s="154"/>
      <c r="O198" s="154"/>
      <c r="P198" s="154"/>
      <c r="Q198" s="154"/>
      <c r="R198" s="102"/>
      <c r="S198" s="102"/>
      <c r="T198" s="102"/>
      <c r="U198" s="102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01"/>
    </row>
    <row r="199" spans="1:31" s="162" customFormat="1" x14ac:dyDescent="0.25">
      <c r="A199" s="101"/>
      <c r="B199" s="101"/>
      <c r="C199" s="102"/>
      <c r="D199" s="102"/>
      <c r="E199" s="102"/>
      <c r="F199" s="102"/>
      <c r="G199" s="102"/>
      <c r="H199" s="102"/>
      <c r="I199" s="154"/>
      <c r="J199" s="154"/>
      <c r="K199" s="154"/>
      <c r="L199" s="154"/>
      <c r="M199" s="154"/>
      <c r="N199" s="154"/>
      <c r="O199" s="154"/>
      <c r="P199" s="154"/>
      <c r="Q199" s="154"/>
      <c r="R199" s="102"/>
      <c r="S199" s="102"/>
      <c r="T199" s="102"/>
      <c r="U199" s="102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01"/>
    </row>
    <row r="200" spans="1:31" s="162" customFormat="1" x14ac:dyDescent="0.25">
      <c r="A200" s="101"/>
      <c r="B200" s="101"/>
      <c r="C200" s="102"/>
      <c r="D200" s="102"/>
      <c r="E200" s="102"/>
      <c r="F200" s="102"/>
      <c r="G200" s="102"/>
      <c r="H200" s="102"/>
      <c r="I200" s="154"/>
      <c r="J200" s="154"/>
      <c r="K200" s="154"/>
      <c r="L200" s="154"/>
      <c r="M200" s="154"/>
      <c r="N200" s="154"/>
      <c r="O200" s="154"/>
      <c r="P200" s="154"/>
      <c r="Q200" s="154"/>
      <c r="R200" s="102"/>
      <c r="S200" s="102"/>
      <c r="T200" s="102"/>
      <c r="U200" s="102"/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01"/>
    </row>
    <row r="201" spans="1:31" s="162" customFormat="1" x14ac:dyDescent="0.25">
      <c r="A201" s="101"/>
      <c r="B201" s="101"/>
      <c r="C201" s="102"/>
      <c r="D201" s="102"/>
      <c r="E201" s="102"/>
      <c r="F201" s="102"/>
      <c r="G201" s="102"/>
      <c r="H201" s="102"/>
      <c r="I201" s="154"/>
      <c r="J201" s="154"/>
      <c r="K201" s="154"/>
      <c r="L201" s="154"/>
      <c r="M201" s="154"/>
      <c r="N201" s="154"/>
      <c r="O201" s="154"/>
      <c r="P201" s="154"/>
      <c r="Q201" s="154"/>
      <c r="R201" s="102"/>
      <c r="S201" s="102"/>
      <c r="T201" s="102"/>
      <c r="U201" s="102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01"/>
    </row>
    <row r="202" spans="1:31" s="162" customFormat="1" x14ac:dyDescent="0.25">
      <c r="A202" s="101"/>
      <c r="B202" s="101"/>
      <c r="C202" s="102"/>
      <c r="D202" s="102"/>
      <c r="E202" s="102"/>
      <c r="F202" s="102"/>
      <c r="G202" s="102"/>
      <c r="H202" s="102"/>
      <c r="I202" s="154"/>
      <c r="J202" s="154"/>
      <c r="K202" s="154"/>
      <c r="L202" s="154"/>
      <c r="M202" s="154"/>
      <c r="N202" s="154"/>
      <c r="O202" s="154"/>
      <c r="P202" s="154"/>
      <c r="Q202" s="154"/>
      <c r="R202" s="102"/>
      <c r="S202" s="102"/>
      <c r="T202" s="102"/>
      <c r="U202" s="102"/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01"/>
    </row>
    <row r="203" spans="1:31" s="162" customFormat="1" x14ac:dyDescent="0.25">
      <c r="A203" s="101"/>
      <c r="B203" s="101"/>
      <c r="C203" s="102"/>
      <c r="D203" s="102"/>
      <c r="E203" s="102"/>
      <c r="F203" s="102"/>
      <c r="G203" s="102"/>
      <c r="H203" s="102"/>
      <c r="I203" s="154"/>
      <c r="J203" s="154"/>
      <c r="K203" s="154"/>
      <c r="L203" s="154"/>
      <c r="M203" s="154"/>
      <c r="N203" s="154"/>
      <c r="O203" s="154"/>
      <c r="P203" s="154"/>
      <c r="Q203" s="154"/>
      <c r="R203" s="102"/>
      <c r="S203" s="102"/>
      <c r="T203" s="102"/>
      <c r="U203" s="102"/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01"/>
    </row>
    <row r="204" spans="1:31" s="162" customFormat="1" x14ac:dyDescent="0.25">
      <c r="A204" s="101"/>
      <c r="B204" s="101"/>
      <c r="C204" s="102"/>
      <c r="D204" s="102"/>
      <c r="E204" s="102"/>
      <c r="F204" s="102"/>
      <c r="G204" s="102"/>
      <c r="H204" s="102"/>
      <c r="I204" s="154"/>
      <c r="J204" s="154"/>
      <c r="K204" s="154"/>
      <c r="L204" s="154"/>
      <c r="M204" s="154"/>
      <c r="N204" s="154"/>
      <c r="O204" s="154"/>
      <c r="P204" s="154"/>
      <c r="Q204" s="154"/>
      <c r="R204" s="102"/>
      <c r="S204" s="102"/>
      <c r="T204" s="102"/>
      <c r="U204" s="102"/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01"/>
    </row>
    <row r="205" spans="1:31" s="162" customFormat="1" x14ac:dyDescent="0.25">
      <c r="A205" s="101"/>
      <c r="B205" s="101"/>
      <c r="C205" s="102"/>
      <c r="D205" s="102"/>
      <c r="E205" s="102"/>
      <c r="F205" s="102"/>
      <c r="G205" s="102"/>
      <c r="H205" s="102"/>
      <c r="I205" s="154"/>
      <c r="J205" s="154"/>
      <c r="K205" s="154"/>
      <c r="L205" s="154"/>
      <c r="M205" s="154"/>
      <c r="N205" s="154"/>
      <c r="O205" s="154"/>
      <c r="P205" s="154"/>
      <c r="Q205" s="154"/>
      <c r="R205" s="102"/>
      <c r="S205" s="102"/>
      <c r="T205" s="102"/>
      <c r="U205" s="102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01"/>
    </row>
    <row r="206" spans="1:31" s="162" customFormat="1" x14ac:dyDescent="0.25">
      <c r="A206" s="101"/>
      <c r="B206" s="101"/>
      <c r="C206" s="102"/>
      <c r="D206" s="102"/>
      <c r="E206" s="102"/>
      <c r="F206" s="102"/>
      <c r="G206" s="102"/>
      <c r="H206" s="102"/>
      <c r="I206" s="154"/>
      <c r="J206" s="154"/>
      <c r="K206" s="154"/>
      <c r="L206" s="154"/>
      <c r="M206" s="154"/>
      <c r="N206" s="154"/>
      <c r="O206" s="154"/>
      <c r="P206" s="154"/>
      <c r="Q206" s="154"/>
      <c r="R206" s="102"/>
      <c r="S206" s="102"/>
      <c r="T206" s="102"/>
      <c r="U206" s="102"/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01"/>
    </row>
    <row r="207" spans="1:31" s="162" customFormat="1" x14ac:dyDescent="0.25">
      <c r="A207" s="101"/>
      <c r="B207" s="101"/>
      <c r="C207" s="102"/>
      <c r="D207" s="102"/>
      <c r="E207" s="102"/>
      <c r="F207" s="102"/>
      <c r="G207" s="102"/>
      <c r="H207" s="102"/>
      <c r="I207" s="154"/>
      <c r="J207" s="154"/>
      <c r="K207" s="154"/>
      <c r="L207" s="154"/>
      <c r="M207" s="154"/>
      <c r="N207" s="154"/>
      <c r="O207" s="154"/>
      <c r="P207" s="154"/>
      <c r="Q207" s="154"/>
      <c r="R207" s="102"/>
      <c r="S207" s="102"/>
      <c r="T207" s="102"/>
      <c r="U207" s="102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01"/>
    </row>
    <row r="208" spans="1:31" s="162" customFormat="1" x14ac:dyDescent="0.25">
      <c r="A208" s="101"/>
      <c r="B208" s="101"/>
      <c r="C208" s="102"/>
      <c r="D208" s="102"/>
      <c r="E208" s="102"/>
      <c r="F208" s="102"/>
      <c r="G208" s="102"/>
      <c r="H208" s="102"/>
      <c r="I208" s="154"/>
      <c r="J208" s="154"/>
      <c r="K208" s="154"/>
      <c r="L208" s="154"/>
      <c r="M208" s="154"/>
      <c r="N208" s="154"/>
      <c r="O208" s="154"/>
      <c r="P208" s="154"/>
      <c r="Q208" s="154"/>
      <c r="R208" s="102"/>
      <c r="S208" s="102"/>
      <c r="T208" s="102"/>
      <c r="U208" s="102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01"/>
    </row>
    <row r="209" spans="1:31" s="162" customFormat="1" x14ac:dyDescent="0.25">
      <c r="A209" s="101"/>
      <c r="B209" s="101"/>
      <c r="C209" s="102"/>
      <c r="D209" s="102"/>
      <c r="E209" s="102"/>
      <c r="F209" s="102"/>
      <c r="G209" s="102"/>
      <c r="H209" s="102"/>
      <c r="I209" s="154"/>
      <c r="J209" s="154"/>
      <c r="K209" s="154"/>
      <c r="L209" s="154"/>
      <c r="M209" s="154"/>
      <c r="N209" s="154"/>
      <c r="O209" s="154"/>
      <c r="P209" s="154"/>
      <c r="Q209" s="154"/>
      <c r="R209" s="102"/>
      <c r="S209" s="102"/>
      <c r="T209" s="102"/>
      <c r="U209" s="102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01"/>
    </row>
    <row r="210" spans="1:31" s="162" customFormat="1" x14ac:dyDescent="0.25">
      <c r="A210" s="101"/>
      <c r="B210" s="101"/>
      <c r="C210" s="102"/>
      <c r="D210" s="102"/>
      <c r="E210" s="102"/>
      <c r="F210" s="102"/>
      <c r="G210" s="102"/>
      <c r="H210" s="102"/>
      <c r="I210" s="154"/>
      <c r="J210" s="154"/>
      <c r="K210" s="154"/>
      <c r="L210" s="154"/>
      <c r="M210" s="154"/>
      <c r="N210" s="154"/>
      <c r="O210" s="154"/>
      <c r="P210" s="154"/>
      <c r="Q210" s="154"/>
      <c r="R210" s="102"/>
      <c r="S210" s="102"/>
      <c r="T210" s="102"/>
      <c r="U210" s="102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01"/>
    </row>
    <row r="211" spans="1:31" s="162" customFormat="1" x14ac:dyDescent="0.25">
      <c r="A211" s="101"/>
      <c r="B211" s="101"/>
      <c r="C211" s="102"/>
      <c r="D211" s="102"/>
      <c r="E211" s="102"/>
      <c r="F211" s="102"/>
      <c r="G211" s="102"/>
      <c r="H211" s="102"/>
      <c r="I211" s="154"/>
      <c r="J211" s="154"/>
      <c r="K211" s="154"/>
      <c r="L211" s="154"/>
      <c r="M211" s="154"/>
      <c r="N211" s="154"/>
      <c r="O211" s="154"/>
      <c r="P211" s="154"/>
      <c r="Q211" s="154"/>
      <c r="R211" s="102"/>
      <c r="S211" s="102"/>
      <c r="T211" s="102"/>
      <c r="U211" s="102"/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01"/>
    </row>
    <row r="212" spans="1:31" s="162" customFormat="1" x14ac:dyDescent="0.25">
      <c r="A212" s="101"/>
      <c r="B212" s="101"/>
      <c r="C212" s="102"/>
      <c r="D212" s="102"/>
      <c r="E212" s="102"/>
      <c r="F212" s="102"/>
      <c r="G212" s="102"/>
      <c r="H212" s="102"/>
      <c r="I212" s="154"/>
      <c r="J212" s="154"/>
      <c r="K212" s="154"/>
      <c r="L212" s="154"/>
      <c r="M212" s="154"/>
      <c r="N212" s="154"/>
      <c r="O212" s="154"/>
      <c r="P212" s="154"/>
      <c r="Q212" s="154"/>
      <c r="R212" s="102"/>
      <c r="S212" s="102"/>
      <c r="T212" s="102"/>
      <c r="U212" s="102"/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01"/>
    </row>
    <row r="213" spans="1:31" s="162" customFormat="1" x14ac:dyDescent="0.25">
      <c r="A213" s="101"/>
      <c r="B213" s="101"/>
      <c r="C213" s="102"/>
      <c r="D213" s="102"/>
      <c r="E213" s="102"/>
      <c r="F213" s="102"/>
      <c r="G213" s="102"/>
      <c r="H213" s="102"/>
      <c r="I213" s="154"/>
      <c r="J213" s="154"/>
      <c r="K213" s="154"/>
      <c r="L213" s="154"/>
      <c r="M213" s="154"/>
      <c r="N213" s="154"/>
      <c r="O213" s="154"/>
      <c r="P213" s="154"/>
      <c r="Q213" s="154"/>
      <c r="R213" s="102"/>
      <c r="S213" s="102"/>
      <c r="T213" s="102"/>
      <c r="U213" s="102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01"/>
    </row>
    <row r="214" spans="1:31" s="162" customFormat="1" x14ac:dyDescent="0.25">
      <c r="A214" s="101"/>
      <c r="B214" s="101"/>
      <c r="C214" s="102"/>
      <c r="D214" s="102"/>
      <c r="E214" s="102"/>
      <c r="F214" s="102"/>
      <c r="G214" s="102"/>
      <c r="H214" s="102"/>
      <c r="I214" s="154"/>
      <c r="J214" s="154"/>
      <c r="K214" s="154"/>
      <c r="L214" s="154"/>
      <c r="M214" s="154"/>
      <c r="N214" s="154"/>
      <c r="O214" s="154"/>
      <c r="P214" s="154"/>
      <c r="Q214" s="154"/>
      <c r="R214" s="102"/>
      <c r="S214" s="102"/>
      <c r="T214" s="102"/>
      <c r="U214" s="102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01"/>
    </row>
    <row r="215" spans="1:31" s="162" customFormat="1" x14ac:dyDescent="0.25">
      <c r="A215" s="101"/>
      <c r="B215" s="101"/>
      <c r="C215" s="102"/>
      <c r="D215" s="102"/>
      <c r="E215" s="102"/>
      <c r="F215" s="102"/>
      <c r="G215" s="102"/>
      <c r="H215" s="102"/>
      <c r="I215" s="154"/>
      <c r="J215" s="154"/>
      <c r="K215" s="154"/>
      <c r="L215" s="154"/>
      <c r="M215" s="154"/>
      <c r="N215" s="154"/>
      <c r="O215" s="154"/>
      <c r="P215" s="154"/>
      <c r="Q215" s="154"/>
      <c r="R215" s="102"/>
      <c r="S215" s="102"/>
      <c r="T215" s="102"/>
      <c r="U215" s="102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01"/>
    </row>
    <row r="216" spans="1:31" s="162" customFormat="1" x14ac:dyDescent="0.25">
      <c r="A216" s="101"/>
      <c r="B216" s="101"/>
      <c r="C216" s="102"/>
      <c r="D216" s="102"/>
      <c r="E216" s="102"/>
      <c r="F216" s="102"/>
      <c r="G216" s="102"/>
      <c r="H216" s="102"/>
      <c r="I216" s="154"/>
      <c r="J216" s="154"/>
      <c r="K216" s="154"/>
      <c r="L216" s="154"/>
      <c r="M216" s="154"/>
      <c r="N216" s="154"/>
      <c r="O216" s="154"/>
      <c r="P216" s="154"/>
      <c r="Q216" s="154"/>
      <c r="R216" s="102"/>
      <c r="S216" s="102"/>
      <c r="T216" s="102"/>
      <c r="U216" s="102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01"/>
    </row>
    <row r="217" spans="1:31" s="162" customFormat="1" x14ac:dyDescent="0.25">
      <c r="A217" s="101"/>
      <c r="B217" s="101"/>
      <c r="C217" s="102"/>
      <c r="D217" s="102"/>
      <c r="E217" s="102"/>
      <c r="F217" s="102"/>
      <c r="G217" s="102"/>
      <c r="H217" s="102"/>
      <c r="I217" s="154"/>
      <c r="J217" s="154"/>
      <c r="K217" s="154"/>
      <c r="L217" s="154"/>
      <c r="M217" s="154"/>
      <c r="N217" s="154"/>
      <c r="O217" s="154"/>
      <c r="P217" s="154"/>
      <c r="Q217" s="154"/>
      <c r="R217" s="102"/>
      <c r="S217" s="102"/>
      <c r="T217" s="102"/>
      <c r="U217" s="102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01"/>
    </row>
    <row r="218" spans="1:31" s="162" customFormat="1" x14ac:dyDescent="0.25">
      <c r="A218" s="101"/>
      <c r="B218" s="101"/>
      <c r="C218" s="102"/>
      <c r="D218" s="102"/>
      <c r="E218" s="102"/>
      <c r="F218" s="102"/>
      <c r="G218" s="102"/>
      <c r="H218" s="102"/>
      <c r="I218" s="154"/>
      <c r="J218" s="154"/>
      <c r="K218" s="154"/>
      <c r="L218" s="154"/>
      <c r="M218" s="154"/>
      <c r="N218" s="154"/>
      <c r="O218" s="154"/>
      <c r="P218" s="154"/>
      <c r="Q218" s="154"/>
      <c r="R218" s="102"/>
      <c r="S218" s="102"/>
      <c r="T218" s="102"/>
      <c r="U218" s="102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01"/>
    </row>
    <row r="219" spans="1:31" s="162" customFormat="1" x14ac:dyDescent="0.25">
      <c r="A219" s="101"/>
      <c r="B219" s="101"/>
      <c r="C219" s="102"/>
      <c r="D219" s="102"/>
      <c r="E219" s="102"/>
      <c r="F219" s="102"/>
      <c r="G219" s="102"/>
      <c r="H219" s="102"/>
      <c r="I219" s="154"/>
      <c r="J219" s="154"/>
      <c r="K219" s="154"/>
      <c r="L219" s="154"/>
      <c r="M219" s="154"/>
      <c r="N219" s="154"/>
      <c r="O219" s="154"/>
      <c r="P219" s="154"/>
      <c r="Q219" s="154"/>
      <c r="R219" s="102"/>
      <c r="S219" s="102"/>
      <c r="T219" s="102"/>
      <c r="U219" s="102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01"/>
    </row>
    <row r="220" spans="1:31" s="162" customFormat="1" x14ac:dyDescent="0.25">
      <c r="A220" s="101"/>
      <c r="B220" s="101"/>
      <c r="C220" s="102"/>
      <c r="D220" s="102"/>
      <c r="E220" s="102"/>
      <c r="F220" s="102"/>
      <c r="G220" s="102"/>
      <c r="H220" s="102"/>
      <c r="I220" s="154"/>
      <c r="J220" s="154"/>
      <c r="K220" s="154"/>
      <c r="L220" s="154"/>
      <c r="M220" s="154"/>
      <c r="N220" s="154"/>
      <c r="O220" s="154"/>
      <c r="P220" s="154"/>
      <c r="Q220" s="154"/>
      <c r="R220" s="102"/>
      <c r="S220" s="102"/>
      <c r="T220" s="102"/>
      <c r="U220" s="102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01"/>
    </row>
    <row r="221" spans="1:31" s="162" customFormat="1" x14ac:dyDescent="0.25">
      <c r="A221" s="101"/>
      <c r="B221" s="101"/>
      <c r="C221" s="102"/>
      <c r="D221" s="102"/>
      <c r="E221" s="102"/>
      <c r="F221" s="102"/>
      <c r="G221" s="102"/>
      <c r="H221" s="102"/>
      <c r="I221" s="154"/>
      <c r="J221" s="154"/>
      <c r="K221" s="154"/>
      <c r="L221" s="154"/>
      <c r="M221" s="154"/>
      <c r="N221" s="154"/>
      <c r="O221" s="154"/>
      <c r="P221" s="154"/>
      <c r="Q221" s="154"/>
      <c r="R221" s="102"/>
      <c r="S221" s="102"/>
      <c r="T221" s="102"/>
      <c r="U221" s="102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01"/>
    </row>
    <row r="222" spans="1:31" s="162" customFormat="1" x14ac:dyDescent="0.25">
      <c r="A222" s="101"/>
      <c r="B222" s="101"/>
      <c r="C222" s="102"/>
      <c r="D222" s="102"/>
      <c r="E222" s="102"/>
      <c r="F222" s="102"/>
      <c r="G222" s="102"/>
      <c r="H222" s="102"/>
      <c r="I222" s="154"/>
      <c r="J222" s="154"/>
      <c r="K222" s="154"/>
      <c r="L222" s="154"/>
      <c r="M222" s="154"/>
      <c r="N222" s="154"/>
      <c r="O222" s="154"/>
      <c r="P222" s="154"/>
      <c r="Q222" s="154"/>
      <c r="R222" s="102"/>
      <c r="S222" s="102"/>
      <c r="T222" s="102"/>
      <c r="U222" s="102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01"/>
    </row>
    <row r="223" spans="1:31" s="162" customFormat="1" x14ac:dyDescent="0.25">
      <c r="A223" s="101"/>
      <c r="B223" s="101"/>
      <c r="C223" s="102"/>
      <c r="D223" s="102"/>
      <c r="E223" s="102"/>
      <c r="F223" s="102"/>
      <c r="G223" s="102"/>
      <c r="H223" s="102"/>
      <c r="I223" s="154"/>
      <c r="J223" s="154"/>
      <c r="K223" s="154"/>
      <c r="L223" s="154"/>
      <c r="M223" s="154"/>
      <c r="N223" s="154"/>
      <c r="O223" s="154"/>
      <c r="P223" s="154"/>
      <c r="Q223" s="154"/>
      <c r="R223" s="102"/>
      <c r="S223" s="102"/>
      <c r="T223" s="102"/>
      <c r="U223" s="102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01"/>
    </row>
    <row r="224" spans="1:31" s="162" customFormat="1" x14ac:dyDescent="0.25">
      <c r="A224" s="101"/>
      <c r="B224" s="101"/>
      <c r="C224" s="102"/>
      <c r="D224" s="102"/>
      <c r="E224" s="102"/>
      <c r="F224" s="102"/>
      <c r="G224" s="102"/>
      <c r="H224" s="102"/>
      <c r="I224" s="154"/>
      <c r="J224" s="154"/>
      <c r="K224" s="154"/>
      <c r="L224" s="154"/>
      <c r="M224" s="154"/>
      <c r="N224" s="154"/>
      <c r="O224" s="154"/>
      <c r="P224" s="154"/>
      <c r="Q224" s="154"/>
      <c r="R224" s="102"/>
      <c r="S224" s="102"/>
      <c r="T224" s="102"/>
      <c r="U224" s="102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01"/>
    </row>
    <row r="225" spans="1:31" s="162" customFormat="1" x14ac:dyDescent="0.25">
      <c r="A225" s="101"/>
      <c r="B225" s="101"/>
      <c r="C225" s="102"/>
      <c r="D225" s="102"/>
      <c r="E225" s="102"/>
      <c r="F225" s="102"/>
      <c r="G225" s="102"/>
      <c r="H225" s="102"/>
      <c r="I225" s="154"/>
      <c r="J225" s="154"/>
      <c r="K225" s="154"/>
      <c r="L225" s="154"/>
      <c r="M225" s="154"/>
      <c r="N225" s="154"/>
      <c r="O225" s="154"/>
      <c r="P225" s="154"/>
      <c r="Q225" s="154"/>
      <c r="R225" s="102"/>
      <c r="S225" s="102"/>
      <c r="T225" s="102"/>
      <c r="U225" s="102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01"/>
    </row>
    <row r="226" spans="1:31" s="162" customFormat="1" x14ac:dyDescent="0.25">
      <c r="A226" s="101"/>
      <c r="B226" s="101"/>
      <c r="C226" s="102"/>
      <c r="D226" s="102"/>
      <c r="E226" s="102"/>
      <c r="F226" s="102"/>
      <c r="G226" s="102"/>
      <c r="H226" s="102"/>
      <c r="I226" s="154"/>
      <c r="J226" s="154"/>
      <c r="K226" s="154"/>
      <c r="L226" s="154"/>
      <c r="M226" s="154"/>
      <c r="N226" s="154"/>
      <c r="O226" s="154"/>
      <c r="P226" s="154"/>
      <c r="Q226" s="154"/>
      <c r="R226" s="102"/>
      <c r="S226" s="102"/>
      <c r="T226" s="102"/>
      <c r="U226" s="102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01"/>
    </row>
    <row r="227" spans="1:31" s="162" customFormat="1" x14ac:dyDescent="0.25">
      <c r="A227" s="101"/>
      <c r="B227" s="101"/>
      <c r="C227" s="102"/>
      <c r="D227" s="102"/>
      <c r="E227" s="102"/>
      <c r="F227" s="102"/>
      <c r="G227" s="102"/>
      <c r="H227" s="102"/>
      <c r="I227" s="154"/>
      <c r="J227" s="154"/>
      <c r="K227" s="154"/>
      <c r="L227" s="154"/>
      <c r="M227" s="154"/>
      <c r="N227" s="154"/>
      <c r="O227" s="154"/>
      <c r="P227" s="154"/>
      <c r="Q227" s="154"/>
      <c r="R227" s="102"/>
      <c r="S227" s="102"/>
      <c r="T227" s="102"/>
      <c r="U227" s="102"/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01"/>
    </row>
    <row r="228" spans="1:31" s="162" customFormat="1" x14ac:dyDescent="0.25">
      <c r="A228" s="101"/>
      <c r="B228" s="101"/>
      <c r="C228" s="102"/>
      <c r="D228" s="102"/>
      <c r="E228" s="102"/>
      <c r="F228" s="102"/>
      <c r="G228" s="102"/>
      <c r="H228" s="102"/>
      <c r="I228" s="154"/>
      <c r="J228" s="154"/>
      <c r="K228" s="154"/>
      <c r="L228" s="154"/>
      <c r="M228" s="154"/>
      <c r="N228" s="154"/>
      <c r="O228" s="154"/>
      <c r="P228" s="154"/>
      <c r="Q228" s="154"/>
      <c r="R228" s="102"/>
      <c r="S228" s="102"/>
      <c r="T228" s="102"/>
      <c r="U228" s="102"/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01"/>
    </row>
    <row r="229" spans="1:31" s="162" customFormat="1" x14ac:dyDescent="0.25">
      <c r="A229" s="101"/>
      <c r="B229" s="101"/>
      <c r="C229" s="102"/>
      <c r="D229" s="102"/>
      <c r="E229" s="102"/>
      <c r="F229" s="102"/>
      <c r="G229" s="102"/>
      <c r="H229" s="102"/>
      <c r="I229" s="154"/>
      <c r="J229" s="154"/>
      <c r="K229" s="154"/>
      <c r="L229" s="154"/>
      <c r="M229" s="154"/>
      <c r="N229" s="154"/>
      <c r="O229" s="154"/>
      <c r="P229" s="154"/>
      <c r="Q229" s="154"/>
      <c r="R229" s="102"/>
      <c r="S229" s="102"/>
      <c r="T229" s="102"/>
      <c r="U229" s="102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01"/>
    </row>
    <row r="230" spans="1:31" s="162" customFormat="1" x14ac:dyDescent="0.25">
      <c r="A230" s="101"/>
      <c r="B230" s="101"/>
      <c r="C230" s="102"/>
      <c r="D230" s="102"/>
      <c r="E230" s="102"/>
      <c r="F230" s="102"/>
      <c r="G230" s="102"/>
      <c r="H230" s="102"/>
      <c r="I230" s="154"/>
      <c r="J230" s="154"/>
      <c r="K230" s="154"/>
      <c r="L230" s="154"/>
      <c r="M230" s="154"/>
      <c r="N230" s="154"/>
      <c r="O230" s="154"/>
      <c r="P230" s="154"/>
      <c r="Q230" s="154"/>
      <c r="R230" s="102"/>
      <c r="S230" s="102"/>
      <c r="T230" s="102"/>
      <c r="U230" s="102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01"/>
    </row>
    <row r="231" spans="1:31" s="162" customFormat="1" x14ac:dyDescent="0.25">
      <c r="A231" s="101"/>
      <c r="B231" s="101"/>
      <c r="C231" s="102"/>
      <c r="D231" s="102"/>
      <c r="E231" s="102"/>
      <c r="F231" s="102"/>
      <c r="G231" s="102"/>
      <c r="H231" s="102"/>
      <c r="I231" s="154"/>
      <c r="J231" s="154"/>
      <c r="K231" s="154"/>
      <c r="L231" s="154"/>
      <c r="M231" s="154"/>
      <c r="N231" s="154"/>
      <c r="O231" s="154"/>
      <c r="P231" s="154"/>
      <c r="Q231" s="154"/>
      <c r="R231" s="102"/>
      <c r="S231" s="102"/>
      <c r="T231" s="102"/>
      <c r="U231" s="102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01"/>
    </row>
    <row r="232" spans="1:31" s="162" customFormat="1" x14ac:dyDescent="0.25">
      <c r="A232" s="101"/>
      <c r="B232" s="101"/>
      <c r="C232" s="102"/>
      <c r="D232" s="102"/>
      <c r="E232" s="102"/>
      <c r="F232" s="102"/>
      <c r="G232" s="102"/>
      <c r="H232" s="102"/>
      <c r="I232" s="154"/>
      <c r="J232" s="154"/>
      <c r="K232" s="154"/>
      <c r="L232" s="154"/>
      <c r="M232" s="154"/>
      <c r="N232" s="154"/>
      <c r="O232" s="154"/>
      <c r="P232" s="154"/>
      <c r="Q232" s="154"/>
      <c r="R232" s="102"/>
      <c r="S232" s="102"/>
      <c r="T232" s="102"/>
      <c r="U232" s="102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01"/>
    </row>
    <row r="233" spans="1:31" s="162" customFormat="1" x14ac:dyDescent="0.25">
      <c r="A233" s="101"/>
      <c r="B233" s="101"/>
      <c r="C233" s="102"/>
      <c r="D233" s="102"/>
      <c r="E233" s="102"/>
      <c r="F233" s="102"/>
      <c r="G233" s="102"/>
      <c r="H233" s="102"/>
      <c r="I233" s="154"/>
      <c r="J233" s="154"/>
      <c r="K233" s="154"/>
      <c r="L233" s="154"/>
      <c r="M233" s="154"/>
      <c r="N233" s="154"/>
      <c r="O233" s="154"/>
      <c r="P233" s="154"/>
      <c r="Q233" s="154"/>
      <c r="R233" s="102"/>
      <c r="S233" s="102"/>
      <c r="T233" s="102"/>
      <c r="U233" s="102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01"/>
    </row>
    <row r="234" spans="1:31" s="162" customFormat="1" x14ac:dyDescent="0.25">
      <c r="A234" s="101"/>
      <c r="B234" s="101"/>
      <c r="C234" s="102"/>
      <c r="D234" s="102"/>
      <c r="E234" s="102"/>
      <c r="F234" s="102"/>
      <c r="G234" s="102"/>
      <c r="H234" s="102"/>
      <c r="I234" s="154"/>
      <c r="J234" s="154"/>
      <c r="K234" s="154"/>
      <c r="L234" s="154"/>
      <c r="M234" s="154"/>
      <c r="N234" s="154"/>
      <c r="O234" s="154"/>
      <c r="P234" s="154"/>
      <c r="Q234" s="154"/>
      <c r="R234" s="102"/>
      <c r="S234" s="102"/>
      <c r="T234" s="102"/>
      <c r="U234" s="102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01"/>
    </row>
    <row r="235" spans="1:31" s="162" customFormat="1" x14ac:dyDescent="0.25">
      <c r="A235" s="101"/>
      <c r="B235" s="101"/>
      <c r="C235" s="102"/>
      <c r="D235" s="102"/>
      <c r="E235" s="102"/>
      <c r="F235" s="102"/>
      <c r="G235" s="102"/>
      <c r="H235" s="102"/>
      <c r="I235" s="154"/>
      <c r="J235" s="154"/>
      <c r="K235" s="154"/>
      <c r="L235" s="154"/>
      <c r="M235" s="154"/>
      <c r="N235" s="154"/>
      <c r="O235" s="154"/>
      <c r="P235" s="154"/>
      <c r="Q235" s="154"/>
      <c r="R235" s="102"/>
      <c r="S235" s="102"/>
      <c r="T235" s="102"/>
      <c r="U235" s="102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01"/>
    </row>
    <row r="236" spans="1:31" s="162" customFormat="1" x14ac:dyDescent="0.25">
      <c r="A236" s="101"/>
      <c r="B236" s="101"/>
      <c r="C236" s="102"/>
      <c r="D236" s="102"/>
      <c r="E236" s="102"/>
      <c r="F236" s="102"/>
      <c r="G236" s="102"/>
      <c r="H236" s="102"/>
      <c r="I236" s="154"/>
      <c r="J236" s="154"/>
      <c r="K236" s="154"/>
      <c r="L236" s="154"/>
      <c r="M236" s="154"/>
      <c r="N236" s="154"/>
      <c r="O236" s="154"/>
      <c r="P236" s="154"/>
      <c r="Q236" s="154"/>
      <c r="R236" s="102"/>
      <c r="S236" s="102"/>
      <c r="T236" s="102"/>
      <c r="U236" s="102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01"/>
    </row>
    <row r="237" spans="1:31" s="162" customFormat="1" x14ac:dyDescent="0.25">
      <c r="A237" s="101"/>
      <c r="B237" s="101"/>
      <c r="C237" s="102"/>
      <c r="D237" s="102"/>
      <c r="E237" s="102"/>
      <c r="F237" s="102"/>
      <c r="G237" s="102"/>
      <c r="H237" s="102"/>
      <c r="I237" s="154"/>
      <c r="J237" s="154"/>
      <c r="K237" s="154"/>
      <c r="L237" s="154"/>
      <c r="M237" s="154"/>
      <c r="N237" s="154"/>
      <c r="O237" s="154"/>
      <c r="P237" s="154"/>
      <c r="Q237" s="154"/>
      <c r="R237" s="102"/>
      <c r="S237" s="102"/>
      <c r="T237" s="102"/>
      <c r="U237" s="102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01"/>
    </row>
    <row r="238" spans="1:31" s="162" customFormat="1" x14ac:dyDescent="0.25">
      <c r="A238" s="101"/>
      <c r="B238" s="101"/>
      <c r="C238" s="102"/>
      <c r="D238" s="102"/>
      <c r="E238" s="102"/>
      <c r="F238" s="102"/>
      <c r="G238" s="102"/>
      <c r="H238" s="102"/>
      <c r="I238" s="154"/>
      <c r="J238" s="154"/>
      <c r="K238" s="154"/>
      <c r="L238" s="154"/>
      <c r="M238" s="154"/>
      <c r="N238" s="154"/>
      <c r="O238" s="154"/>
      <c r="P238" s="154"/>
      <c r="Q238" s="154"/>
      <c r="R238" s="102"/>
      <c r="S238" s="102"/>
      <c r="T238" s="102"/>
      <c r="U238" s="102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01"/>
    </row>
    <row r="239" spans="1:31" s="162" customFormat="1" x14ac:dyDescent="0.25">
      <c r="A239" s="101"/>
      <c r="B239" s="101"/>
      <c r="C239" s="102"/>
      <c r="D239" s="102"/>
      <c r="E239" s="102"/>
      <c r="F239" s="102"/>
      <c r="G239" s="102"/>
      <c r="H239" s="102"/>
      <c r="I239" s="154"/>
      <c r="J239" s="154"/>
      <c r="K239" s="154"/>
      <c r="L239" s="154"/>
      <c r="M239" s="154"/>
      <c r="N239" s="154"/>
      <c r="O239" s="154"/>
      <c r="P239" s="154"/>
      <c r="Q239" s="154"/>
      <c r="R239" s="102"/>
      <c r="S239" s="102"/>
      <c r="T239" s="102"/>
      <c r="U239" s="102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01"/>
    </row>
    <row r="240" spans="1:31" s="162" customFormat="1" x14ac:dyDescent="0.25">
      <c r="A240" s="101"/>
      <c r="B240" s="101"/>
      <c r="C240" s="102"/>
      <c r="D240" s="102"/>
      <c r="E240" s="102"/>
      <c r="F240" s="102"/>
      <c r="G240" s="102"/>
      <c r="H240" s="102"/>
      <c r="I240" s="154"/>
      <c r="J240" s="154"/>
      <c r="K240" s="154"/>
      <c r="L240" s="154"/>
      <c r="M240" s="154"/>
      <c r="N240" s="154"/>
      <c r="O240" s="154"/>
      <c r="P240" s="154"/>
      <c r="Q240" s="154"/>
      <c r="R240" s="102"/>
      <c r="S240" s="102"/>
      <c r="T240" s="102"/>
      <c r="U240" s="102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01"/>
    </row>
    <row r="241" spans="1:31" s="162" customFormat="1" x14ac:dyDescent="0.25">
      <c r="A241" s="101"/>
      <c r="B241" s="101"/>
      <c r="C241" s="102"/>
      <c r="D241" s="102"/>
      <c r="E241" s="102"/>
      <c r="F241" s="102"/>
      <c r="G241" s="102"/>
      <c r="H241" s="102"/>
      <c r="I241" s="154"/>
      <c r="J241" s="154"/>
      <c r="K241" s="154"/>
      <c r="L241" s="154"/>
      <c r="M241" s="154"/>
      <c r="N241" s="154"/>
      <c r="O241" s="154"/>
      <c r="P241" s="154"/>
      <c r="Q241" s="154"/>
      <c r="R241" s="102"/>
      <c r="S241" s="102"/>
      <c r="T241" s="102"/>
      <c r="U241" s="102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01"/>
    </row>
    <row r="242" spans="1:31" s="162" customFormat="1" x14ac:dyDescent="0.25">
      <c r="A242" s="101"/>
      <c r="B242" s="101"/>
      <c r="C242" s="102"/>
      <c r="D242" s="102"/>
      <c r="E242" s="102"/>
      <c r="F242" s="102"/>
      <c r="G242" s="102"/>
      <c r="H242" s="102"/>
      <c r="I242" s="154"/>
      <c r="J242" s="154"/>
      <c r="K242" s="154"/>
      <c r="L242" s="154"/>
      <c r="M242" s="154"/>
      <c r="N242" s="154"/>
      <c r="O242" s="154"/>
      <c r="P242" s="154"/>
      <c r="Q242" s="154"/>
      <c r="R242" s="102"/>
      <c r="S242" s="102"/>
      <c r="T242" s="102"/>
      <c r="U242" s="102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01"/>
    </row>
    <row r="243" spans="1:31" s="162" customFormat="1" x14ac:dyDescent="0.25">
      <c r="A243" s="101"/>
      <c r="B243" s="101"/>
      <c r="C243" s="102"/>
      <c r="D243" s="102"/>
      <c r="E243" s="102"/>
      <c r="F243" s="102"/>
      <c r="G243" s="102"/>
      <c r="H243" s="102"/>
      <c r="I243" s="154"/>
      <c r="J243" s="154"/>
      <c r="K243" s="154"/>
      <c r="L243" s="154"/>
      <c r="M243" s="154"/>
      <c r="N243" s="154"/>
      <c r="O243" s="154"/>
      <c r="P243" s="154"/>
      <c r="Q243" s="154"/>
      <c r="R243" s="102"/>
      <c r="S243" s="102"/>
      <c r="T243" s="102"/>
      <c r="U243" s="102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01"/>
    </row>
    <row r="244" spans="1:31" s="162" customFormat="1" x14ac:dyDescent="0.25">
      <c r="A244" s="101"/>
      <c r="B244" s="101"/>
      <c r="C244" s="102"/>
      <c r="D244" s="102"/>
      <c r="E244" s="102"/>
      <c r="F244" s="102"/>
      <c r="G244" s="102"/>
      <c r="H244" s="102"/>
      <c r="I244" s="154"/>
      <c r="J244" s="154"/>
      <c r="K244" s="154"/>
      <c r="L244" s="154"/>
      <c r="M244" s="154"/>
      <c r="N244" s="154"/>
      <c r="O244" s="154"/>
      <c r="P244" s="154"/>
      <c r="Q244" s="154"/>
      <c r="R244" s="102"/>
      <c r="S244" s="102"/>
      <c r="T244" s="102"/>
      <c r="U244" s="102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01"/>
    </row>
    <row r="245" spans="1:31" s="162" customFormat="1" x14ac:dyDescent="0.25">
      <c r="A245" s="101"/>
      <c r="B245" s="101"/>
      <c r="C245" s="102"/>
      <c r="D245" s="102"/>
      <c r="E245" s="102"/>
      <c r="F245" s="102"/>
      <c r="G245" s="102"/>
      <c r="H245" s="102"/>
      <c r="I245" s="154"/>
      <c r="J245" s="154"/>
      <c r="K245" s="154"/>
      <c r="L245" s="154"/>
      <c r="M245" s="154"/>
      <c r="N245" s="154"/>
      <c r="O245" s="154"/>
      <c r="P245" s="154"/>
      <c r="Q245" s="154"/>
      <c r="R245" s="102"/>
      <c r="S245" s="102"/>
      <c r="T245" s="102"/>
      <c r="U245" s="102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01"/>
    </row>
    <row r="246" spans="1:31" s="162" customFormat="1" x14ac:dyDescent="0.25">
      <c r="A246" s="101"/>
      <c r="B246" s="101"/>
      <c r="C246" s="102"/>
      <c r="D246" s="102"/>
      <c r="E246" s="102"/>
      <c r="F246" s="102"/>
      <c r="G246" s="102"/>
      <c r="H246" s="102"/>
      <c r="I246" s="154"/>
      <c r="J246" s="154"/>
      <c r="K246" s="154"/>
      <c r="L246" s="154"/>
      <c r="M246" s="154"/>
      <c r="N246" s="154"/>
      <c r="O246" s="154"/>
      <c r="P246" s="154"/>
      <c r="Q246" s="154"/>
      <c r="R246" s="102"/>
      <c r="S246" s="102"/>
      <c r="T246" s="102"/>
      <c r="U246" s="102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01"/>
    </row>
    <row r="247" spans="1:31" s="162" customFormat="1" x14ac:dyDescent="0.25">
      <c r="A247" s="101"/>
      <c r="B247" s="101"/>
      <c r="C247" s="102"/>
      <c r="D247" s="102"/>
      <c r="E247" s="102"/>
      <c r="F247" s="102"/>
      <c r="G247" s="102"/>
      <c r="H247" s="102"/>
      <c r="I247" s="154"/>
      <c r="J247" s="154"/>
      <c r="K247" s="154"/>
      <c r="L247" s="154"/>
      <c r="M247" s="154"/>
      <c r="N247" s="154"/>
      <c r="O247" s="154"/>
      <c r="P247" s="154"/>
      <c r="Q247" s="154"/>
      <c r="R247" s="102"/>
      <c r="S247" s="102"/>
      <c r="T247" s="102"/>
      <c r="U247" s="102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01"/>
    </row>
    <row r="248" spans="1:31" s="162" customFormat="1" x14ac:dyDescent="0.25">
      <c r="A248" s="101"/>
      <c r="B248" s="101"/>
      <c r="C248" s="102"/>
      <c r="D248" s="102"/>
      <c r="E248" s="102"/>
      <c r="F248" s="102"/>
      <c r="G248" s="102"/>
      <c r="H248" s="102"/>
      <c r="I248" s="154"/>
      <c r="J248" s="154"/>
      <c r="K248" s="154"/>
      <c r="L248" s="154"/>
      <c r="M248" s="154"/>
      <c r="N248" s="154"/>
      <c r="O248" s="154"/>
      <c r="P248" s="154"/>
      <c r="Q248" s="154"/>
      <c r="R248" s="102"/>
      <c r="S248" s="102"/>
      <c r="T248" s="102"/>
      <c r="U248" s="102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01"/>
    </row>
    <row r="249" spans="1:31" s="162" customFormat="1" x14ac:dyDescent="0.25">
      <c r="A249" s="101"/>
      <c r="B249" s="101"/>
      <c r="C249" s="102"/>
      <c r="D249" s="102"/>
      <c r="E249" s="102"/>
      <c r="F249" s="102"/>
      <c r="G249" s="102"/>
      <c r="H249" s="102"/>
      <c r="I249" s="154"/>
      <c r="J249" s="154"/>
      <c r="K249" s="154"/>
      <c r="L249" s="154"/>
      <c r="M249" s="154"/>
      <c r="N249" s="154"/>
      <c r="O249" s="154"/>
      <c r="P249" s="154"/>
      <c r="Q249" s="154"/>
      <c r="R249" s="102"/>
      <c r="S249" s="102"/>
      <c r="T249" s="102"/>
      <c r="U249" s="102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01"/>
    </row>
    <row r="250" spans="1:31" s="162" customFormat="1" x14ac:dyDescent="0.25">
      <c r="A250" s="101"/>
      <c r="B250" s="101"/>
      <c r="C250" s="102"/>
      <c r="D250" s="102"/>
      <c r="E250" s="102"/>
      <c r="F250" s="102"/>
      <c r="G250" s="102"/>
      <c r="H250" s="102"/>
      <c r="I250" s="154"/>
      <c r="J250" s="154"/>
      <c r="K250" s="154"/>
      <c r="L250" s="154"/>
      <c r="M250" s="154"/>
      <c r="N250" s="154"/>
      <c r="O250" s="154"/>
      <c r="P250" s="154"/>
      <c r="Q250" s="154"/>
      <c r="R250" s="102"/>
      <c r="S250" s="102"/>
      <c r="T250" s="102"/>
      <c r="U250" s="102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01"/>
    </row>
    <row r="251" spans="1:31" s="162" customFormat="1" x14ac:dyDescent="0.25">
      <c r="A251" s="101"/>
      <c r="B251" s="101"/>
      <c r="C251" s="102"/>
      <c r="D251" s="102"/>
      <c r="E251" s="102"/>
      <c r="F251" s="102"/>
      <c r="G251" s="102"/>
      <c r="H251" s="102"/>
      <c r="I251" s="154"/>
      <c r="J251" s="154"/>
      <c r="K251" s="154"/>
      <c r="L251" s="154"/>
      <c r="M251" s="154"/>
      <c r="N251" s="154"/>
      <c r="O251" s="154"/>
      <c r="P251" s="154"/>
      <c r="Q251" s="154"/>
      <c r="R251" s="102"/>
      <c r="S251" s="102"/>
      <c r="T251" s="102"/>
      <c r="U251" s="102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01"/>
    </row>
    <row r="252" spans="1:31" s="162" customFormat="1" x14ac:dyDescent="0.25">
      <c r="A252" s="101"/>
      <c r="B252" s="101"/>
      <c r="C252" s="102"/>
      <c r="D252" s="102"/>
      <c r="E252" s="102"/>
      <c r="F252" s="102"/>
      <c r="G252" s="102"/>
      <c r="H252" s="102"/>
      <c r="I252" s="154"/>
      <c r="J252" s="154"/>
      <c r="K252" s="154"/>
      <c r="L252" s="154"/>
      <c r="M252" s="154"/>
      <c r="N252" s="154"/>
      <c r="O252" s="154"/>
      <c r="P252" s="154"/>
      <c r="Q252" s="154"/>
      <c r="R252" s="102"/>
      <c r="S252" s="102"/>
      <c r="T252" s="102"/>
      <c r="U252" s="102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01"/>
    </row>
    <row r="253" spans="1:31" s="162" customFormat="1" x14ac:dyDescent="0.25">
      <c r="A253" s="101"/>
      <c r="B253" s="101"/>
      <c r="C253" s="102"/>
      <c r="D253" s="102"/>
      <c r="E253" s="102"/>
      <c r="F253" s="102"/>
      <c r="G253" s="102"/>
      <c r="H253" s="102"/>
      <c r="I253" s="154"/>
      <c r="J253" s="154"/>
      <c r="K253" s="154"/>
      <c r="L253" s="154"/>
      <c r="M253" s="154"/>
      <c r="N253" s="154"/>
      <c r="O253" s="154"/>
      <c r="P253" s="154"/>
      <c r="Q253" s="154"/>
      <c r="R253" s="102"/>
      <c r="S253" s="102"/>
      <c r="T253" s="102"/>
      <c r="U253" s="102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01"/>
    </row>
    <row r="254" spans="1:31" s="162" customFormat="1" x14ac:dyDescent="0.25">
      <c r="A254" s="101"/>
      <c r="B254" s="101"/>
      <c r="C254" s="102"/>
      <c r="D254" s="102"/>
      <c r="E254" s="102"/>
      <c r="F254" s="102"/>
      <c r="G254" s="102"/>
      <c r="H254" s="102"/>
      <c r="I254" s="154"/>
      <c r="J254" s="154"/>
      <c r="K254" s="154"/>
      <c r="L254" s="154"/>
      <c r="M254" s="154"/>
      <c r="N254" s="154"/>
      <c r="O254" s="154"/>
      <c r="P254" s="154"/>
      <c r="Q254" s="154"/>
      <c r="R254" s="102"/>
      <c r="S254" s="102"/>
      <c r="T254" s="102"/>
      <c r="U254" s="102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01"/>
    </row>
    <row r="255" spans="1:31" s="162" customFormat="1" x14ac:dyDescent="0.25">
      <c r="A255" s="101"/>
      <c r="B255" s="101"/>
      <c r="C255" s="102"/>
      <c r="D255" s="102"/>
      <c r="E255" s="102"/>
      <c r="F255" s="102"/>
      <c r="G255" s="102"/>
      <c r="H255" s="102"/>
      <c r="I255" s="154"/>
      <c r="J255" s="154"/>
      <c r="K255" s="154"/>
      <c r="L255" s="154"/>
      <c r="M255" s="154"/>
      <c r="N255" s="154"/>
      <c r="O255" s="154"/>
      <c r="P255" s="154"/>
      <c r="Q255" s="154"/>
      <c r="R255" s="102"/>
      <c r="S255" s="102"/>
      <c r="T255" s="102"/>
      <c r="U255" s="102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01"/>
    </row>
    <row r="256" spans="1:31" s="162" customFormat="1" x14ac:dyDescent="0.25">
      <c r="A256" s="101"/>
      <c r="B256" s="101"/>
      <c r="C256" s="102"/>
      <c r="D256" s="102"/>
      <c r="E256" s="102"/>
      <c r="F256" s="102"/>
      <c r="G256" s="102"/>
      <c r="H256" s="102"/>
      <c r="I256" s="154"/>
      <c r="J256" s="154"/>
      <c r="K256" s="154"/>
      <c r="L256" s="154"/>
      <c r="M256" s="154"/>
      <c r="N256" s="154"/>
      <c r="O256" s="154"/>
      <c r="P256" s="154"/>
      <c r="Q256" s="154"/>
      <c r="R256" s="102"/>
      <c r="S256" s="102"/>
      <c r="T256" s="102"/>
      <c r="U256" s="102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01"/>
    </row>
    <row r="257" spans="1:31" s="162" customFormat="1" x14ac:dyDescent="0.25">
      <c r="A257" s="101"/>
      <c r="B257" s="101"/>
      <c r="C257" s="102"/>
      <c r="D257" s="102"/>
      <c r="E257" s="102"/>
      <c r="F257" s="102"/>
      <c r="G257" s="102"/>
      <c r="H257" s="102"/>
      <c r="I257" s="154"/>
      <c r="J257" s="154"/>
      <c r="K257" s="154"/>
      <c r="L257" s="154"/>
      <c r="M257" s="154"/>
      <c r="N257" s="154"/>
      <c r="O257" s="154"/>
      <c r="P257" s="154"/>
      <c r="Q257" s="154"/>
      <c r="R257" s="102"/>
      <c r="S257" s="102"/>
      <c r="T257" s="102"/>
      <c r="U257" s="102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01"/>
    </row>
    <row r="258" spans="1:31" s="162" customFormat="1" x14ac:dyDescent="0.25">
      <c r="A258" s="101"/>
      <c r="B258" s="101"/>
      <c r="C258" s="102"/>
      <c r="D258" s="102"/>
      <c r="E258" s="102"/>
      <c r="F258" s="102"/>
      <c r="G258" s="102"/>
      <c r="H258" s="102"/>
      <c r="I258" s="154"/>
      <c r="J258" s="154"/>
      <c r="K258" s="154"/>
      <c r="L258" s="154"/>
      <c r="M258" s="154"/>
      <c r="N258" s="154"/>
      <c r="O258" s="154"/>
      <c r="P258" s="154"/>
      <c r="Q258" s="154"/>
      <c r="R258" s="102"/>
      <c r="S258" s="102"/>
      <c r="T258" s="102"/>
      <c r="U258" s="102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01"/>
    </row>
    <row r="259" spans="1:31" s="162" customFormat="1" x14ac:dyDescent="0.25">
      <c r="A259" s="101"/>
      <c r="B259" s="101"/>
      <c r="C259" s="102"/>
      <c r="D259" s="102"/>
      <c r="E259" s="102"/>
      <c r="F259" s="102"/>
      <c r="G259" s="102"/>
      <c r="H259" s="102"/>
      <c r="I259" s="154"/>
      <c r="J259" s="154"/>
      <c r="K259" s="154"/>
      <c r="L259" s="154"/>
      <c r="M259" s="154"/>
      <c r="N259" s="154"/>
      <c r="O259" s="154"/>
      <c r="P259" s="154"/>
      <c r="Q259" s="154"/>
      <c r="R259" s="102"/>
      <c r="S259" s="102"/>
      <c r="T259" s="102"/>
      <c r="U259" s="102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01"/>
    </row>
    <row r="260" spans="1:31" s="162" customFormat="1" x14ac:dyDescent="0.25">
      <c r="A260" s="101"/>
      <c r="B260" s="101"/>
      <c r="C260" s="102"/>
      <c r="D260" s="102"/>
      <c r="E260" s="102"/>
      <c r="F260" s="102"/>
      <c r="G260" s="102"/>
      <c r="H260" s="102"/>
      <c r="I260" s="154"/>
      <c r="J260" s="154"/>
      <c r="K260" s="154"/>
      <c r="L260" s="154"/>
      <c r="M260" s="154"/>
      <c r="N260" s="154"/>
      <c r="O260" s="154"/>
      <c r="P260" s="154"/>
      <c r="Q260" s="154"/>
      <c r="R260" s="102"/>
      <c r="S260" s="102"/>
      <c r="T260" s="102"/>
      <c r="U260" s="102"/>
      <c r="V260" s="154"/>
      <c r="W260" s="154"/>
      <c r="X260" s="154"/>
      <c r="Y260" s="154"/>
      <c r="Z260" s="154"/>
      <c r="AA260" s="154"/>
      <c r="AB260" s="154"/>
      <c r="AC260" s="154"/>
      <c r="AD260" s="154"/>
      <c r="AE260" s="101"/>
    </row>
    <row r="261" spans="1:31" s="162" customFormat="1" x14ac:dyDescent="0.25">
      <c r="A261" s="101"/>
      <c r="B261" s="101"/>
      <c r="C261" s="102"/>
      <c r="D261" s="102"/>
      <c r="E261" s="102"/>
      <c r="F261" s="102"/>
      <c r="G261" s="102"/>
      <c r="H261" s="102"/>
      <c r="I261" s="154"/>
      <c r="J261" s="154"/>
      <c r="K261" s="154"/>
      <c r="L261" s="154"/>
      <c r="M261" s="154"/>
      <c r="N261" s="154"/>
      <c r="O261" s="154"/>
      <c r="P261" s="154"/>
      <c r="Q261" s="154"/>
      <c r="R261" s="102"/>
      <c r="S261" s="102"/>
      <c r="T261" s="102"/>
      <c r="U261" s="102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01"/>
    </row>
    <row r="262" spans="1:31" s="162" customFormat="1" x14ac:dyDescent="0.25">
      <c r="A262" s="101"/>
      <c r="B262" s="101"/>
      <c r="C262" s="102"/>
      <c r="D262" s="102"/>
      <c r="E262" s="102"/>
      <c r="F262" s="102"/>
      <c r="G262" s="102"/>
      <c r="H262" s="102"/>
      <c r="I262" s="154"/>
      <c r="J262" s="154"/>
      <c r="K262" s="154"/>
      <c r="L262" s="154"/>
      <c r="M262" s="154"/>
      <c r="N262" s="154"/>
      <c r="O262" s="154"/>
      <c r="P262" s="154"/>
      <c r="Q262" s="154"/>
      <c r="R262" s="102"/>
      <c r="S262" s="102"/>
      <c r="T262" s="102"/>
      <c r="U262" s="102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01"/>
    </row>
    <row r="263" spans="1:31" s="162" customFormat="1" x14ac:dyDescent="0.25">
      <c r="A263" s="101"/>
      <c r="B263" s="101"/>
      <c r="C263" s="102"/>
      <c r="D263" s="102"/>
      <c r="E263" s="102"/>
      <c r="F263" s="102"/>
      <c r="G263" s="102"/>
      <c r="H263" s="102"/>
      <c r="I263" s="154"/>
      <c r="J263" s="154"/>
      <c r="K263" s="154"/>
      <c r="L263" s="154"/>
      <c r="M263" s="154"/>
      <c r="N263" s="154"/>
      <c r="O263" s="154"/>
      <c r="P263" s="154"/>
      <c r="Q263" s="154"/>
      <c r="R263" s="102"/>
      <c r="S263" s="102"/>
      <c r="T263" s="102"/>
      <c r="U263" s="102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01"/>
    </row>
    <row r="264" spans="1:31" s="162" customFormat="1" x14ac:dyDescent="0.25">
      <c r="A264" s="101"/>
      <c r="B264" s="101"/>
      <c r="C264" s="102"/>
      <c r="D264" s="102"/>
      <c r="E264" s="102"/>
      <c r="F264" s="102"/>
      <c r="G264" s="102"/>
      <c r="H264" s="102"/>
      <c r="I264" s="154"/>
      <c r="J264" s="154"/>
      <c r="K264" s="154"/>
      <c r="L264" s="154"/>
      <c r="M264" s="154"/>
      <c r="N264" s="154"/>
      <c r="O264" s="154"/>
      <c r="P264" s="154"/>
      <c r="Q264" s="154"/>
      <c r="R264" s="102"/>
      <c r="S264" s="102"/>
      <c r="T264" s="102"/>
      <c r="U264" s="102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01"/>
    </row>
    <row r="265" spans="1:31" s="162" customFormat="1" x14ac:dyDescent="0.25">
      <c r="A265" s="101"/>
      <c r="B265" s="101"/>
      <c r="C265" s="102"/>
      <c r="D265" s="102"/>
      <c r="E265" s="102"/>
      <c r="F265" s="102"/>
      <c r="G265" s="102"/>
      <c r="H265" s="102"/>
      <c r="I265" s="154"/>
      <c r="J265" s="154"/>
      <c r="K265" s="154"/>
      <c r="L265" s="154"/>
      <c r="M265" s="154"/>
      <c r="N265" s="154"/>
      <c r="O265" s="154"/>
      <c r="P265" s="154"/>
      <c r="Q265" s="154"/>
      <c r="R265" s="102"/>
      <c r="S265" s="102"/>
      <c r="T265" s="102"/>
      <c r="U265" s="102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01"/>
    </row>
    <row r="266" spans="1:31" s="162" customFormat="1" x14ac:dyDescent="0.25">
      <c r="A266" s="101"/>
      <c r="B266" s="101"/>
      <c r="C266" s="102"/>
      <c r="D266" s="102"/>
      <c r="E266" s="102"/>
      <c r="F266" s="102"/>
      <c r="G266" s="102"/>
      <c r="H266" s="102"/>
      <c r="I266" s="154"/>
      <c r="J266" s="154"/>
      <c r="K266" s="154"/>
      <c r="L266" s="154"/>
      <c r="M266" s="154"/>
      <c r="N266" s="154"/>
      <c r="O266" s="154"/>
      <c r="P266" s="154"/>
      <c r="Q266" s="154"/>
      <c r="R266" s="102"/>
      <c r="S266" s="102"/>
      <c r="T266" s="102"/>
      <c r="U266" s="102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01"/>
    </row>
    <row r="267" spans="1:31" s="162" customFormat="1" x14ac:dyDescent="0.25">
      <c r="A267" s="101"/>
      <c r="B267" s="101"/>
      <c r="C267" s="102"/>
      <c r="D267" s="102"/>
      <c r="E267" s="102"/>
      <c r="F267" s="102"/>
      <c r="G267" s="102"/>
      <c r="H267" s="102"/>
      <c r="I267" s="154"/>
      <c r="J267" s="154"/>
      <c r="K267" s="154"/>
      <c r="L267" s="154"/>
      <c r="M267" s="154"/>
      <c r="N267" s="154"/>
      <c r="O267" s="154"/>
      <c r="P267" s="154"/>
      <c r="Q267" s="154"/>
      <c r="R267" s="102"/>
      <c r="S267" s="102"/>
      <c r="T267" s="102"/>
      <c r="U267" s="102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01"/>
    </row>
    <row r="268" spans="1:31" s="162" customFormat="1" x14ac:dyDescent="0.25">
      <c r="A268" s="101"/>
      <c r="B268" s="101"/>
      <c r="C268" s="102"/>
      <c r="D268" s="102"/>
      <c r="E268" s="102"/>
      <c r="F268" s="102"/>
      <c r="G268" s="102"/>
      <c r="H268" s="102"/>
      <c r="I268" s="154"/>
      <c r="J268" s="154"/>
      <c r="K268" s="154"/>
      <c r="L268" s="154"/>
      <c r="M268" s="154"/>
      <c r="N268" s="154"/>
      <c r="O268" s="154"/>
      <c r="P268" s="154"/>
      <c r="Q268" s="154"/>
      <c r="R268" s="102"/>
      <c r="S268" s="102"/>
      <c r="T268" s="102"/>
      <c r="U268" s="102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01"/>
    </row>
    <row r="269" spans="1:31" s="162" customFormat="1" x14ac:dyDescent="0.25">
      <c r="A269" s="101"/>
      <c r="B269" s="101"/>
      <c r="C269" s="102"/>
      <c r="D269" s="102"/>
      <c r="E269" s="102"/>
      <c r="F269" s="102"/>
      <c r="G269" s="102"/>
      <c r="H269" s="102"/>
      <c r="I269" s="154"/>
      <c r="J269" s="154"/>
      <c r="K269" s="154"/>
      <c r="L269" s="154"/>
      <c r="M269" s="154"/>
      <c r="N269" s="154"/>
      <c r="O269" s="154"/>
      <c r="P269" s="154"/>
      <c r="Q269" s="154"/>
      <c r="R269" s="102"/>
      <c r="S269" s="102"/>
      <c r="T269" s="102"/>
      <c r="U269" s="102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01"/>
    </row>
    <row r="270" spans="1:31" s="162" customFormat="1" x14ac:dyDescent="0.25">
      <c r="A270" s="101"/>
      <c r="B270" s="101"/>
      <c r="C270" s="102"/>
      <c r="D270" s="102"/>
      <c r="E270" s="102"/>
      <c r="F270" s="102"/>
      <c r="G270" s="102"/>
      <c r="H270" s="102"/>
      <c r="I270" s="154"/>
      <c r="J270" s="154"/>
      <c r="K270" s="154"/>
      <c r="L270" s="154"/>
      <c r="M270" s="154"/>
      <c r="N270" s="154"/>
      <c r="O270" s="154"/>
      <c r="P270" s="154"/>
      <c r="Q270" s="154"/>
      <c r="R270" s="102"/>
      <c r="S270" s="102"/>
      <c r="T270" s="102"/>
      <c r="U270" s="102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01"/>
    </row>
    <row r="271" spans="1:31" s="162" customFormat="1" x14ac:dyDescent="0.25">
      <c r="A271" s="101"/>
      <c r="B271" s="101"/>
      <c r="C271" s="102"/>
      <c r="D271" s="102"/>
      <c r="E271" s="102"/>
      <c r="F271" s="102"/>
      <c r="G271" s="102"/>
      <c r="H271" s="102"/>
      <c r="I271" s="154"/>
      <c r="J271" s="154"/>
      <c r="K271" s="154"/>
      <c r="L271" s="154"/>
      <c r="M271" s="154"/>
      <c r="N271" s="154"/>
      <c r="O271" s="154"/>
      <c r="P271" s="154"/>
      <c r="Q271" s="154"/>
      <c r="R271" s="102"/>
      <c r="S271" s="102"/>
      <c r="T271" s="102"/>
      <c r="U271" s="102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01"/>
    </row>
    <row r="272" spans="1:31" s="162" customFormat="1" x14ac:dyDescent="0.25">
      <c r="A272" s="101"/>
      <c r="B272" s="101"/>
      <c r="C272" s="102"/>
      <c r="D272" s="102"/>
      <c r="E272" s="102"/>
      <c r="F272" s="102"/>
      <c r="G272" s="102"/>
      <c r="H272" s="102"/>
      <c r="I272" s="154"/>
      <c r="J272" s="154"/>
      <c r="K272" s="154"/>
      <c r="L272" s="154"/>
      <c r="M272" s="154"/>
      <c r="N272" s="154"/>
      <c r="O272" s="154"/>
      <c r="P272" s="154"/>
      <c r="Q272" s="154"/>
      <c r="R272" s="102"/>
      <c r="S272" s="102"/>
      <c r="T272" s="102"/>
      <c r="U272" s="102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01"/>
    </row>
    <row r="273" spans="1:31" s="162" customFormat="1" x14ac:dyDescent="0.25">
      <c r="A273" s="101"/>
      <c r="B273" s="101"/>
      <c r="C273" s="102"/>
      <c r="D273" s="102"/>
      <c r="E273" s="102"/>
      <c r="F273" s="102"/>
      <c r="G273" s="102"/>
      <c r="H273" s="102"/>
      <c r="I273" s="154"/>
      <c r="J273" s="154"/>
      <c r="K273" s="154"/>
      <c r="L273" s="154"/>
      <c r="M273" s="154"/>
      <c r="N273" s="154"/>
      <c r="O273" s="154"/>
      <c r="P273" s="154"/>
      <c r="Q273" s="154"/>
      <c r="R273" s="102"/>
      <c r="S273" s="102"/>
      <c r="T273" s="102"/>
      <c r="U273" s="102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01"/>
    </row>
    <row r="274" spans="1:31" s="162" customFormat="1" x14ac:dyDescent="0.25">
      <c r="A274" s="101"/>
      <c r="B274" s="101"/>
      <c r="C274" s="102"/>
      <c r="D274" s="102"/>
      <c r="E274" s="102"/>
      <c r="F274" s="102"/>
      <c r="G274" s="102"/>
      <c r="H274" s="102"/>
      <c r="I274" s="154"/>
      <c r="J274" s="154"/>
      <c r="K274" s="154"/>
      <c r="L274" s="154"/>
      <c r="M274" s="154"/>
      <c r="N274" s="154"/>
      <c r="O274" s="154"/>
      <c r="P274" s="154"/>
      <c r="Q274" s="154"/>
      <c r="R274" s="102"/>
      <c r="S274" s="102"/>
      <c r="T274" s="102"/>
      <c r="U274" s="102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01"/>
    </row>
    <row r="275" spans="1:31" s="162" customFormat="1" x14ac:dyDescent="0.25">
      <c r="A275" s="101"/>
      <c r="B275" s="101"/>
      <c r="C275" s="102"/>
      <c r="D275" s="102"/>
      <c r="E275" s="102"/>
      <c r="F275" s="102"/>
      <c r="G275" s="102"/>
      <c r="H275" s="102"/>
      <c r="I275" s="154"/>
      <c r="J275" s="154"/>
      <c r="K275" s="154"/>
      <c r="L275" s="154"/>
      <c r="M275" s="154"/>
      <c r="N275" s="154"/>
      <c r="O275" s="154"/>
      <c r="P275" s="154"/>
      <c r="Q275" s="154"/>
      <c r="R275" s="102"/>
      <c r="S275" s="102"/>
      <c r="T275" s="102"/>
      <c r="U275" s="102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01"/>
    </row>
    <row r="276" spans="1:31" s="162" customFormat="1" x14ac:dyDescent="0.25">
      <c r="A276" s="101"/>
      <c r="B276" s="101"/>
      <c r="C276" s="102"/>
      <c r="D276" s="102"/>
      <c r="E276" s="102"/>
      <c r="F276" s="102"/>
      <c r="G276" s="102"/>
      <c r="H276" s="102"/>
      <c r="I276" s="154"/>
      <c r="J276" s="154"/>
      <c r="K276" s="154"/>
      <c r="L276" s="154"/>
      <c r="M276" s="154"/>
      <c r="N276" s="154"/>
      <c r="O276" s="154"/>
      <c r="P276" s="154"/>
      <c r="Q276" s="154"/>
      <c r="R276" s="102"/>
      <c r="S276" s="102"/>
      <c r="T276" s="102"/>
      <c r="U276" s="102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01"/>
    </row>
    <row r="277" spans="1:31" s="162" customFormat="1" x14ac:dyDescent="0.25">
      <c r="A277" s="101"/>
      <c r="B277" s="101"/>
      <c r="C277" s="102"/>
      <c r="D277" s="102"/>
      <c r="E277" s="102"/>
      <c r="F277" s="102"/>
      <c r="G277" s="102"/>
      <c r="H277" s="102"/>
      <c r="I277" s="154"/>
      <c r="J277" s="154"/>
      <c r="K277" s="154"/>
      <c r="L277" s="154"/>
      <c r="M277" s="154"/>
      <c r="N277" s="154"/>
      <c r="O277" s="154"/>
      <c r="P277" s="154"/>
      <c r="Q277" s="154"/>
      <c r="R277" s="102"/>
      <c r="S277" s="102"/>
      <c r="T277" s="102"/>
      <c r="U277" s="102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01"/>
    </row>
    <row r="278" spans="1:31" s="162" customFormat="1" x14ac:dyDescent="0.25">
      <c r="A278" s="101"/>
      <c r="B278" s="101"/>
      <c r="C278" s="102"/>
      <c r="D278" s="102"/>
      <c r="E278" s="102"/>
      <c r="F278" s="102"/>
      <c r="G278" s="102"/>
      <c r="H278" s="102"/>
      <c r="I278" s="154"/>
      <c r="J278" s="154"/>
      <c r="K278" s="154"/>
      <c r="L278" s="154"/>
      <c r="M278" s="154"/>
      <c r="N278" s="154"/>
      <c r="O278" s="154"/>
      <c r="P278" s="154"/>
      <c r="Q278" s="154"/>
      <c r="R278" s="102"/>
      <c r="S278" s="102"/>
      <c r="T278" s="102"/>
      <c r="U278" s="102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01"/>
    </row>
    <row r="279" spans="1:31" s="162" customFormat="1" x14ac:dyDescent="0.25">
      <c r="A279" s="101"/>
      <c r="B279" s="101"/>
      <c r="C279" s="102"/>
      <c r="D279" s="102"/>
      <c r="E279" s="102"/>
      <c r="F279" s="102"/>
      <c r="G279" s="102"/>
      <c r="H279" s="102"/>
      <c r="I279" s="154"/>
      <c r="J279" s="154"/>
      <c r="K279" s="154"/>
      <c r="L279" s="154"/>
      <c r="M279" s="154"/>
      <c r="N279" s="154"/>
      <c r="O279" s="154"/>
      <c r="P279" s="154"/>
      <c r="Q279" s="154"/>
      <c r="R279" s="102"/>
      <c r="S279" s="102"/>
      <c r="T279" s="102"/>
      <c r="U279" s="102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01"/>
    </row>
    <row r="280" spans="1:31" s="162" customFormat="1" x14ac:dyDescent="0.25">
      <c r="A280" s="101"/>
      <c r="B280" s="101"/>
      <c r="C280" s="102"/>
      <c r="D280" s="102"/>
      <c r="E280" s="102"/>
      <c r="F280" s="102"/>
      <c r="G280" s="102"/>
      <c r="H280" s="102"/>
      <c r="I280" s="154"/>
      <c r="J280" s="154"/>
      <c r="K280" s="154"/>
      <c r="L280" s="154"/>
      <c r="M280" s="154"/>
      <c r="N280" s="154"/>
      <c r="O280" s="154"/>
      <c r="P280" s="154"/>
      <c r="Q280" s="154"/>
      <c r="R280" s="102"/>
      <c r="S280" s="102"/>
      <c r="T280" s="102"/>
      <c r="U280" s="102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01"/>
    </row>
    <row r="281" spans="1:31" s="162" customFormat="1" x14ac:dyDescent="0.25">
      <c r="A281" s="101"/>
      <c r="B281" s="101"/>
      <c r="C281" s="102"/>
      <c r="D281" s="102"/>
      <c r="E281" s="102"/>
      <c r="F281" s="102"/>
      <c r="G281" s="102"/>
      <c r="H281" s="102"/>
      <c r="I281" s="154"/>
      <c r="J281" s="154"/>
      <c r="K281" s="154"/>
      <c r="L281" s="154"/>
      <c r="M281" s="154"/>
      <c r="N281" s="154"/>
      <c r="O281" s="154"/>
      <c r="P281" s="154"/>
      <c r="Q281" s="154"/>
      <c r="R281" s="102"/>
      <c r="S281" s="102"/>
      <c r="T281" s="102"/>
      <c r="U281" s="102"/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01"/>
    </row>
    <row r="282" spans="1:31" s="162" customFormat="1" x14ac:dyDescent="0.25">
      <c r="A282" s="101"/>
      <c r="B282" s="101"/>
      <c r="C282" s="102"/>
      <c r="D282" s="102"/>
      <c r="E282" s="102"/>
      <c r="F282" s="102"/>
      <c r="G282" s="102"/>
      <c r="H282" s="102"/>
      <c r="I282" s="154"/>
      <c r="J282" s="154"/>
      <c r="K282" s="154"/>
      <c r="L282" s="154"/>
      <c r="M282" s="154"/>
      <c r="N282" s="154"/>
      <c r="O282" s="154"/>
      <c r="P282" s="154"/>
      <c r="Q282" s="154"/>
      <c r="R282" s="102"/>
      <c r="S282" s="102"/>
      <c r="T282" s="102"/>
      <c r="U282" s="102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01"/>
    </row>
    <row r="283" spans="1:31" s="162" customFormat="1" x14ac:dyDescent="0.25">
      <c r="A283" s="101"/>
      <c r="B283" s="101"/>
      <c r="C283" s="102"/>
      <c r="D283" s="102"/>
      <c r="E283" s="102"/>
      <c r="F283" s="102"/>
      <c r="G283" s="102"/>
      <c r="H283" s="102"/>
      <c r="I283" s="154"/>
      <c r="J283" s="154"/>
      <c r="K283" s="154"/>
      <c r="L283" s="154"/>
      <c r="M283" s="154"/>
      <c r="N283" s="154"/>
      <c r="O283" s="154"/>
      <c r="P283" s="154"/>
      <c r="Q283" s="154"/>
      <c r="R283" s="102"/>
      <c r="S283" s="102"/>
      <c r="T283" s="102"/>
      <c r="U283" s="102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01"/>
    </row>
    <row r="284" spans="1:31" s="162" customFormat="1" x14ac:dyDescent="0.25">
      <c r="A284" s="101"/>
      <c r="B284" s="101"/>
      <c r="C284" s="102"/>
      <c r="D284" s="102"/>
      <c r="E284" s="102"/>
      <c r="F284" s="102"/>
      <c r="G284" s="102"/>
      <c r="H284" s="102"/>
      <c r="I284" s="154"/>
      <c r="J284" s="154"/>
      <c r="K284" s="154"/>
      <c r="L284" s="154"/>
      <c r="M284" s="154"/>
      <c r="N284" s="154"/>
      <c r="O284" s="154"/>
      <c r="P284" s="154"/>
      <c r="Q284" s="154"/>
      <c r="R284" s="102"/>
      <c r="S284" s="102"/>
      <c r="T284" s="102"/>
      <c r="U284" s="102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01"/>
    </row>
    <row r="285" spans="1:31" s="162" customFormat="1" x14ac:dyDescent="0.25">
      <c r="A285" s="101"/>
      <c r="B285" s="101"/>
      <c r="C285" s="102"/>
      <c r="D285" s="102"/>
      <c r="E285" s="102"/>
      <c r="F285" s="102"/>
      <c r="G285" s="102"/>
      <c r="H285" s="102"/>
      <c r="I285" s="154"/>
      <c r="J285" s="154"/>
      <c r="K285" s="154"/>
      <c r="L285" s="154"/>
      <c r="M285" s="154"/>
      <c r="N285" s="154"/>
      <c r="O285" s="154"/>
      <c r="P285" s="154"/>
      <c r="Q285" s="154"/>
      <c r="R285" s="102"/>
      <c r="S285" s="102"/>
      <c r="T285" s="102"/>
      <c r="U285" s="102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01"/>
    </row>
    <row r="286" spans="1:31" s="162" customFormat="1" x14ac:dyDescent="0.25">
      <c r="A286" s="101"/>
      <c r="B286" s="101"/>
      <c r="C286" s="102"/>
      <c r="D286" s="102"/>
      <c r="E286" s="102"/>
      <c r="F286" s="102"/>
      <c r="G286" s="102"/>
      <c r="H286" s="102"/>
      <c r="I286" s="154"/>
      <c r="J286" s="154"/>
      <c r="K286" s="154"/>
      <c r="L286" s="154"/>
      <c r="M286" s="154"/>
      <c r="N286" s="154"/>
      <c r="O286" s="154"/>
      <c r="P286" s="154"/>
      <c r="Q286" s="154"/>
      <c r="R286" s="102"/>
      <c r="S286" s="102"/>
      <c r="T286" s="102"/>
      <c r="U286" s="102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01"/>
    </row>
    <row r="287" spans="1:31" s="162" customFormat="1" x14ac:dyDescent="0.25">
      <c r="A287" s="101"/>
      <c r="B287" s="101"/>
      <c r="C287" s="102"/>
      <c r="D287" s="102"/>
      <c r="E287" s="102"/>
      <c r="F287" s="102"/>
      <c r="G287" s="102"/>
      <c r="H287" s="102"/>
      <c r="I287" s="154"/>
      <c r="J287" s="154"/>
      <c r="K287" s="154"/>
      <c r="L287" s="154"/>
      <c r="M287" s="154"/>
      <c r="N287" s="154"/>
      <c r="O287" s="154"/>
      <c r="P287" s="154"/>
      <c r="Q287" s="154"/>
      <c r="R287" s="102"/>
      <c r="S287" s="102"/>
      <c r="T287" s="102"/>
      <c r="U287" s="102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01"/>
    </row>
    <row r="288" spans="1:31" s="162" customFormat="1" x14ac:dyDescent="0.25">
      <c r="A288" s="101"/>
      <c r="B288" s="101"/>
      <c r="C288" s="102"/>
      <c r="D288" s="102"/>
      <c r="E288" s="102"/>
      <c r="F288" s="102"/>
      <c r="G288" s="102"/>
      <c r="H288" s="102"/>
      <c r="I288" s="154"/>
      <c r="J288" s="154"/>
      <c r="K288" s="154"/>
      <c r="L288" s="154"/>
      <c r="M288" s="154"/>
      <c r="N288" s="154"/>
      <c r="O288" s="154"/>
      <c r="P288" s="154"/>
      <c r="Q288" s="154"/>
      <c r="R288" s="102"/>
      <c r="S288" s="102"/>
      <c r="T288" s="102"/>
      <c r="U288" s="102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01"/>
    </row>
    <row r="289" spans="1:31" s="162" customFormat="1" x14ac:dyDescent="0.25">
      <c r="A289" s="101"/>
      <c r="B289" s="101"/>
      <c r="C289" s="102"/>
      <c r="D289" s="102"/>
      <c r="E289" s="102"/>
      <c r="F289" s="102"/>
      <c r="G289" s="102"/>
      <c r="H289" s="102"/>
      <c r="I289" s="154"/>
      <c r="J289" s="154"/>
      <c r="K289" s="154"/>
      <c r="L289" s="154"/>
      <c r="M289" s="154"/>
      <c r="N289" s="154"/>
      <c r="O289" s="154"/>
      <c r="P289" s="154"/>
      <c r="Q289" s="154"/>
      <c r="R289" s="102"/>
      <c r="S289" s="102"/>
      <c r="T289" s="102"/>
      <c r="U289" s="102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01"/>
    </row>
    <row r="290" spans="1:31" s="162" customFormat="1" x14ac:dyDescent="0.25">
      <c r="A290" s="101"/>
      <c r="B290" s="101"/>
      <c r="C290" s="102"/>
      <c r="D290" s="102"/>
      <c r="E290" s="102"/>
      <c r="F290" s="102"/>
      <c r="G290" s="102"/>
      <c r="H290" s="102"/>
      <c r="I290" s="154"/>
      <c r="J290" s="154"/>
      <c r="K290" s="154"/>
      <c r="L290" s="154"/>
      <c r="M290" s="154"/>
      <c r="N290" s="154"/>
      <c r="O290" s="154"/>
      <c r="P290" s="154"/>
      <c r="Q290" s="154"/>
      <c r="R290" s="102"/>
      <c r="S290" s="102"/>
      <c r="T290" s="102"/>
      <c r="U290" s="102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01"/>
    </row>
    <row r="291" spans="1:31" s="162" customFormat="1" x14ac:dyDescent="0.25">
      <c r="A291" s="101"/>
      <c r="B291" s="101"/>
      <c r="C291" s="102"/>
      <c r="D291" s="102"/>
      <c r="E291" s="102"/>
      <c r="F291" s="102"/>
      <c r="G291" s="102"/>
      <c r="H291" s="102"/>
      <c r="I291" s="154"/>
      <c r="J291" s="154"/>
      <c r="K291" s="154"/>
      <c r="L291" s="154"/>
      <c r="M291" s="154"/>
      <c r="N291" s="154"/>
      <c r="O291" s="154"/>
      <c r="P291" s="154"/>
      <c r="Q291" s="154"/>
      <c r="R291" s="102"/>
      <c r="S291" s="102"/>
      <c r="T291" s="102"/>
      <c r="U291" s="102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01"/>
    </row>
    <row r="292" spans="1:31" s="162" customFormat="1" x14ac:dyDescent="0.25">
      <c r="A292" s="101"/>
      <c r="B292" s="101"/>
      <c r="C292" s="102"/>
      <c r="D292" s="102"/>
      <c r="E292" s="102"/>
      <c r="F292" s="102"/>
      <c r="G292" s="102"/>
      <c r="H292" s="102"/>
      <c r="I292" s="154"/>
      <c r="J292" s="154"/>
      <c r="K292" s="154"/>
      <c r="L292" s="154"/>
      <c r="M292" s="154"/>
      <c r="N292" s="154"/>
      <c r="O292" s="154"/>
      <c r="P292" s="154"/>
      <c r="Q292" s="154"/>
      <c r="R292" s="102"/>
      <c r="S292" s="102"/>
      <c r="T292" s="102"/>
      <c r="U292" s="102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01"/>
    </row>
    <row r="293" spans="1:31" s="162" customFormat="1" x14ac:dyDescent="0.25">
      <c r="A293" s="101"/>
      <c r="B293" s="101"/>
      <c r="C293" s="102"/>
      <c r="D293" s="102"/>
      <c r="E293" s="102"/>
      <c r="F293" s="102"/>
      <c r="G293" s="102"/>
      <c r="H293" s="102"/>
      <c r="I293" s="154"/>
      <c r="J293" s="154"/>
      <c r="K293" s="154"/>
      <c r="L293" s="154"/>
      <c r="M293" s="154"/>
      <c r="N293" s="154"/>
      <c r="O293" s="154"/>
      <c r="P293" s="154"/>
      <c r="Q293" s="154"/>
      <c r="R293" s="102"/>
      <c r="S293" s="102"/>
      <c r="T293" s="102"/>
      <c r="U293" s="102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01"/>
    </row>
    <row r="294" spans="1:31" s="162" customFormat="1" x14ac:dyDescent="0.25">
      <c r="A294" s="101"/>
      <c r="B294" s="101"/>
      <c r="C294" s="102"/>
      <c r="D294" s="102"/>
      <c r="E294" s="102"/>
      <c r="F294" s="102"/>
      <c r="G294" s="102"/>
      <c r="H294" s="102"/>
      <c r="I294" s="154"/>
      <c r="J294" s="154"/>
      <c r="K294" s="154"/>
      <c r="L294" s="154"/>
      <c r="M294" s="154"/>
      <c r="N294" s="154"/>
      <c r="O294" s="154"/>
      <c r="P294" s="154"/>
      <c r="Q294" s="154"/>
      <c r="R294" s="102"/>
      <c r="S294" s="102"/>
      <c r="T294" s="102"/>
      <c r="U294" s="102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01"/>
    </row>
    <row r="295" spans="1:31" s="162" customFormat="1" x14ac:dyDescent="0.25">
      <c r="A295" s="101"/>
      <c r="B295" s="101"/>
      <c r="C295" s="102"/>
      <c r="D295" s="102"/>
      <c r="E295" s="102"/>
      <c r="F295" s="102"/>
      <c r="G295" s="102"/>
      <c r="H295" s="102"/>
      <c r="I295" s="154"/>
      <c r="J295" s="154"/>
      <c r="K295" s="154"/>
      <c r="L295" s="154"/>
      <c r="M295" s="154"/>
      <c r="N295" s="154"/>
      <c r="O295" s="154"/>
      <c r="P295" s="154"/>
      <c r="Q295" s="154"/>
      <c r="R295" s="102"/>
      <c r="S295" s="102"/>
      <c r="T295" s="102"/>
      <c r="U295" s="102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01"/>
    </row>
    <row r="296" spans="1:31" s="162" customFormat="1" x14ac:dyDescent="0.25">
      <c r="A296" s="101"/>
      <c r="B296" s="101"/>
      <c r="C296" s="102"/>
      <c r="D296" s="102"/>
      <c r="E296" s="102"/>
      <c r="F296" s="102"/>
      <c r="G296" s="102"/>
      <c r="H296" s="102"/>
      <c r="I296" s="154"/>
      <c r="J296" s="154"/>
      <c r="K296" s="154"/>
      <c r="L296" s="154"/>
      <c r="M296" s="154"/>
      <c r="N296" s="154"/>
      <c r="O296" s="154"/>
      <c r="P296" s="154"/>
      <c r="Q296" s="154"/>
      <c r="R296" s="102"/>
      <c r="S296" s="102"/>
      <c r="T296" s="102"/>
      <c r="U296" s="102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01"/>
    </row>
    <row r="297" spans="1:31" s="162" customFormat="1" x14ac:dyDescent="0.25">
      <c r="A297" s="101"/>
      <c r="B297" s="101"/>
      <c r="C297" s="102"/>
      <c r="D297" s="102"/>
      <c r="E297" s="102"/>
      <c r="F297" s="102"/>
      <c r="G297" s="102"/>
      <c r="H297" s="102"/>
      <c r="I297" s="154"/>
      <c r="J297" s="154"/>
      <c r="K297" s="154"/>
      <c r="L297" s="154"/>
      <c r="M297" s="154"/>
      <c r="N297" s="154"/>
      <c r="O297" s="154"/>
      <c r="P297" s="154"/>
      <c r="Q297" s="154"/>
      <c r="R297" s="102"/>
      <c r="S297" s="102"/>
      <c r="T297" s="102"/>
      <c r="U297" s="102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01"/>
    </row>
    <row r="298" spans="1:31" s="162" customFormat="1" x14ac:dyDescent="0.25">
      <c r="A298" s="101"/>
      <c r="B298" s="101"/>
      <c r="C298" s="102"/>
      <c r="D298" s="102"/>
      <c r="E298" s="102"/>
      <c r="F298" s="102"/>
      <c r="G298" s="102"/>
      <c r="H298" s="102"/>
      <c r="I298" s="154"/>
      <c r="J298" s="154"/>
      <c r="K298" s="154"/>
      <c r="L298" s="154"/>
      <c r="M298" s="154"/>
      <c r="N298" s="154"/>
      <c r="O298" s="154"/>
      <c r="P298" s="154"/>
      <c r="Q298" s="154"/>
      <c r="R298" s="102"/>
      <c r="S298" s="102"/>
      <c r="T298" s="102"/>
      <c r="U298" s="102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01"/>
    </row>
    <row r="299" spans="1:31" s="162" customFormat="1" x14ac:dyDescent="0.25">
      <c r="A299" s="101"/>
      <c r="B299" s="101"/>
      <c r="C299" s="102"/>
      <c r="D299" s="102"/>
      <c r="E299" s="102"/>
      <c r="F299" s="102"/>
      <c r="G299" s="102"/>
      <c r="H299" s="102"/>
      <c r="I299" s="154"/>
      <c r="J299" s="154"/>
      <c r="K299" s="154"/>
      <c r="L299" s="154"/>
      <c r="M299" s="154"/>
      <c r="N299" s="154"/>
      <c r="O299" s="154"/>
      <c r="P299" s="154"/>
      <c r="Q299" s="154"/>
      <c r="R299" s="102"/>
      <c r="S299" s="102"/>
      <c r="T299" s="102"/>
      <c r="U299" s="102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01"/>
    </row>
    <row r="300" spans="1:31" s="162" customFormat="1" x14ac:dyDescent="0.25">
      <c r="A300" s="101"/>
      <c r="B300" s="101"/>
      <c r="C300" s="102"/>
      <c r="D300" s="102"/>
      <c r="E300" s="102"/>
      <c r="F300" s="102"/>
      <c r="G300" s="102"/>
      <c r="H300" s="102"/>
      <c r="I300" s="154"/>
      <c r="J300" s="154"/>
      <c r="K300" s="154"/>
      <c r="L300" s="154"/>
      <c r="M300" s="154"/>
      <c r="N300" s="154"/>
      <c r="O300" s="154"/>
      <c r="P300" s="154"/>
      <c r="Q300" s="154"/>
      <c r="R300" s="102"/>
      <c r="S300" s="102"/>
      <c r="T300" s="102"/>
      <c r="U300" s="102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01"/>
    </row>
    <row r="301" spans="1:31" s="162" customFormat="1" x14ac:dyDescent="0.25">
      <c r="A301" s="101"/>
      <c r="B301" s="101"/>
      <c r="C301" s="102"/>
      <c r="D301" s="102"/>
      <c r="E301" s="102"/>
      <c r="F301" s="102"/>
      <c r="G301" s="102"/>
      <c r="H301" s="102"/>
      <c r="I301" s="154"/>
      <c r="J301" s="154"/>
      <c r="K301" s="154"/>
      <c r="L301" s="154"/>
      <c r="M301" s="154"/>
      <c r="N301" s="154"/>
      <c r="O301" s="154"/>
      <c r="P301" s="154"/>
      <c r="Q301" s="154"/>
      <c r="R301" s="102"/>
      <c r="S301" s="102"/>
      <c r="T301" s="102"/>
      <c r="U301" s="102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01"/>
    </row>
    <row r="302" spans="1:31" s="162" customFormat="1" x14ac:dyDescent="0.25">
      <c r="A302" s="101"/>
      <c r="B302" s="101"/>
      <c r="C302" s="102"/>
      <c r="D302" s="102"/>
      <c r="E302" s="102"/>
      <c r="F302" s="102"/>
      <c r="G302" s="102"/>
      <c r="H302" s="102"/>
      <c r="I302" s="154"/>
      <c r="J302" s="154"/>
      <c r="K302" s="154"/>
      <c r="L302" s="154"/>
      <c r="M302" s="154"/>
      <c r="N302" s="154"/>
      <c r="O302" s="154"/>
      <c r="P302" s="154"/>
      <c r="Q302" s="154"/>
      <c r="R302" s="102"/>
      <c r="S302" s="102"/>
      <c r="T302" s="102"/>
      <c r="U302" s="102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01"/>
    </row>
    <row r="303" spans="1:31" s="162" customFormat="1" x14ac:dyDescent="0.25">
      <c r="A303" s="101"/>
      <c r="B303" s="101"/>
      <c r="C303" s="102"/>
      <c r="D303" s="102"/>
      <c r="E303" s="102"/>
      <c r="F303" s="102"/>
      <c r="G303" s="102"/>
      <c r="H303" s="102"/>
      <c r="I303" s="154"/>
      <c r="J303" s="154"/>
      <c r="K303" s="154"/>
      <c r="L303" s="154"/>
      <c r="M303" s="154"/>
      <c r="N303" s="154"/>
      <c r="O303" s="154"/>
      <c r="P303" s="154"/>
      <c r="Q303" s="154"/>
      <c r="R303" s="102"/>
      <c r="S303" s="102"/>
      <c r="T303" s="102"/>
      <c r="U303" s="102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01"/>
    </row>
    <row r="304" spans="1:31" s="162" customFormat="1" x14ac:dyDescent="0.25">
      <c r="A304" s="101"/>
      <c r="B304" s="101"/>
      <c r="C304" s="102"/>
      <c r="D304" s="102"/>
      <c r="E304" s="102"/>
      <c r="F304" s="102"/>
      <c r="G304" s="102"/>
      <c r="H304" s="102"/>
      <c r="I304" s="154"/>
      <c r="J304" s="154"/>
      <c r="K304" s="154"/>
      <c r="L304" s="154"/>
      <c r="M304" s="154"/>
      <c r="N304" s="154"/>
      <c r="O304" s="154"/>
      <c r="P304" s="154"/>
      <c r="Q304" s="154"/>
      <c r="R304" s="102"/>
      <c r="S304" s="102"/>
      <c r="T304" s="102"/>
      <c r="U304" s="102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01"/>
    </row>
    <row r="305" spans="1:31" s="162" customFormat="1" x14ac:dyDescent="0.25">
      <c r="A305" s="101"/>
      <c r="B305" s="101"/>
      <c r="C305" s="102"/>
      <c r="D305" s="102"/>
      <c r="E305" s="102"/>
      <c r="F305" s="102"/>
      <c r="G305" s="102"/>
      <c r="H305" s="102"/>
      <c r="I305" s="154"/>
      <c r="J305" s="154"/>
      <c r="K305" s="154"/>
      <c r="L305" s="154"/>
      <c r="M305" s="154"/>
      <c r="N305" s="154"/>
      <c r="O305" s="154"/>
      <c r="P305" s="154"/>
      <c r="Q305" s="154"/>
      <c r="R305" s="102"/>
      <c r="S305" s="102"/>
      <c r="T305" s="102"/>
      <c r="U305" s="102"/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01"/>
    </row>
    <row r="306" spans="1:31" s="162" customFormat="1" x14ac:dyDescent="0.25">
      <c r="A306" s="101"/>
      <c r="B306" s="101"/>
      <c r="C306" s="102"/>
      <c r="D306" s="102"/>
      <c r="E306" s="102"/>
      <c r="F306" s="102"/>
      <c r="G306" s="102"/>
      <c r="H306" s="102"/>
      <c r="I306" s="154"/>
      <c r="J306" s="154"/>
      <c r="K306" s="154"/>
      <c r="L306" s="154"/>
      <c r="M306" s="154"/>
      <c r="N306" s="154"/>
      <c r="O306" s="154"/>
      <c r="P306" s="154"/>
      <c r="Q306" s="154"/>
      <c r="R306" s="102"/>
      <c r="S306" s="102"/>
      <c r="T306" s="102"/>
      <c r="U306" s="102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01"/>
    </row>
    <row r="307" spans="1:31" s="162" customFormat="1" x14ac:dyDescent="0.25">
      <c r="A307" s="101"/>
      <c r="B307" s="101"/>
      <c r="C307" s="102"/>
      <c r="D307" s="102"/>
      <c r="E307" s="102"/>
      <c r="F307" s="102"/>
      <c r="G307" s="102"/>
      <c r="H307" s="102"/>
      <c r="I307" s="154"/>
      <c r="J307" s="154"/>
      <c r="K307" s="154"/>
      <c r="L307" s="154"/>
      <c r="M307" s="154"/>
      <c r="N307" s="154"/>
      <c r="O307" s="154"/>
      <c r="P307" s="154"/>
      <c r="Q307" s="154"/>
      <c r="R307" s="102"/>
      <c r="S307" s="102"/>
      <c r="T307" s="102"/>
      <c r="U307" s="102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01"/>
    </row>
    <row r="308" spans="1:31" s="162" customFormat="1" x14ac:dyDescent="0.25">
      <c r="A308" s="101"/>
      <c r="B308" s="101"/>
      <c r="C308" s="102"/>
      <c r="D308" s="102"/>
      <c r="E308" s="102"/>
      <c r="F308" s="102"/>
      <c r="G308" s="102"/>
      <c r="H308" s="102"/>
      <c r="I308" s="154"/>
      <c r="J308" s="154"/>
      <c r="K308" s="154"/>
      <c r="L308" s="154"/>
      <c r="M308" s="154"/>
      <c r="N308" s="154"/>
      <c r="O308" s="154"/>
      <c r="P308" s="154"/>
      <c r="Q308" s="154"/>
      <c r="R308" s="102"/>
      <c r="S308" s="102"/>
      <c r="T308" s="102"/>
      <c r="U308" s="102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01"/>
    </row>
    <row r="309" spans="1:31" s="162" customFormat="1" x14ac:dyDescent="0.25">
      <c r="A309" s="101"/>
      <c r="B309" s="101"/>
      <c r="C309" s="102"/>
      <c r="D309" s="102"/>
      <c r="E309" s="102"/>
      <c r="F309" s="102"/>
      <c r="G309" s="102"/>
      <c r="H309" s="102"/>
      <c r="I309" s="154"/>
      <c r="J309" s="154"/>
      <c r="K309" s="154"/>
      <c r="L309" s="154"/>
      <c r="M309" s="154"/>
      <c r="N309" s="154"/>
      <c r="O309" s="154"/>
      <c r="P309" s="154"/>
      <c r="Q309" s="154"/>
      <c r="R309" s="102"/>
      <c r="S309" s="102"/>
      <c r="T309" s="102"/>
      <c r="U309" s="102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01"/>
    </row>
    <row r="310" spans="1:31" s="162" customFormat="1" x14ac:dyDescent="0.25">
      <c r="A310" s="101"/>
      <c r="B310" s="101"/>
      <c r="C310" s="102"/>
      <c r="D310" s="102"/>
      <c r="E310" s="102"/>
      <c r="F310" s="102"/>
      <c r="G310" s="102"/>
      <c r="H310" s="102"/>
      <c r="I310" s="154"/>
      <c r="J310" s="154"/>
      <c r="K310" s="154"/>
      <c r="L310" s="154"/>
      <c r="M310" s="154"/>
      <c r="N310" s="154"/>
      <c r="O310" s="154"/>
      <c r="P310" s="154"/>
      <c r="Q310" s="154"/>
      <c r="R310" s="102"/>
      <c r="S310" s="102"/>
      <c r="T310" s="102"/>
      <c r="U310" s="102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01"/>
    </row>
    <row r="311" spans="1:31" s="162" customFormat="1" x14ac:dyDescent="0.25">
      <c r="A311" s="101"/>
      <c r="B311" s="101"/>
      <c r="C311" s="102"/>
      <c r="D311" s="102"/>
      <c r="E311" s="102"/>
      <c r="F311" s="102"/>
      <c r="G311" s="102"/>
      <c r="H311" s="102"/>
      <c r="I311" s="154"/>
      <c r="J311" s="154"/>
      <c r="K311" s="154"/>
      <c r="L311" s="154"/>
      <c r="M311" s="154"/>
      <c r="N311" s="154"/>
      <c r="O311" s="154"/>
      <c r="P311" s="154"/>
      <c r="Q311" s="154"/>
      <c r="R311" s="102"/>
      <c r="S311" s="102"/>
      <c r="T311" s="102"/>
      <c r="U311" s="102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01"/>
    </row>
    <row r="312" spans="1:31" s="162" customFormat="1" x14ac:dyDescent="0.25">
      <c r="A312" s="101"/>
      <c r="B312" s="101"/>
      <c r="C312" s="102"/>
      <c r="D312" s="102"/>
      <c r="E312" s="102"/>
      <c r="F312" s="102"/>
      <c r="G312" s="102"/>
      <c r="H312" s="102"/>
      <c r="I312" s="154"/>
      <c r="J312" s="154"/>
      <c r="K312" s="154"/>
      <c r="L312" s="154"/>
      <c r="M312" s="154"/>
      <c r="N312" s="154"/>
      <c r="O312" s="154"/>
      <c r="P312" s="154"/>
      <c r="Q312" s="154"/>
      <c r="R312" s="102"/>
      <c r="S312" s="102"/>
      <c r="T312" s="102"/>
      <c r="U312" s="102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01"/>
    </row>
    <row r="313" spans="1:31" s="162" customFormat="1" x14ac:dyDescent="0.25">
      <c r="A313" s="101"/>
      <c r="B313" s="101"/>
      <c r="C313" s="102"/>
      <c r="D313" s="102"/>
      <c r="E313" s="102"/>
      <c r="F313" s="102"/>
      <c r="G313" s="102"/>
      <c r="H313" s="102"/>
      <c r="I313" s="154"/>
      <c r="J313" s="154"/>
      <c r="K313" s="154"/>
      <c r="L313" s="154"/>
      <c r="M313" s="154"/>
      <c r="N313" s="154"/>
      <c r="O313" s="154"/>
      <c r="P313" s="154"/>
      <c r="Q313" s="154"/>
      <c r="R313" s="102"/>
      <c r="S313" s="102"/>
      <c r="T313" s="102"/>
      <c r="U313" s="102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01"/>
    </row>
    <row r="314" spans="1:31" s="162" customFormat="1" x14ac:dyDescent="0.25">
      <c r="A314" s="101"/>
      <c r="B314" s="101"/>
      <c r="C314" s="102"/>
      <c r="D314" s="102"/>
      <c r="E314" s="102"/>
      <c r="F314" s="102"/>
      <c r="G314" s="102"/>
      <c r="H314" s="102"/>
      <c r="I314" s="154"/>
      <c r="J314" s="154"/>
      <c r="K314" s="154"/>
      <c r="L314" s="154"/>
      <c r="M314" s="154"/>
      <c r="N314" s="154"/>
      <c r="O314" s="154"/>
      <c r="P314" s="154"/>
      <c r="Q314" s="154"/>
      <c r="R314" s="102"/>
      <c r="S314" s="102"/>
      <c r="T314" s="102"/>
      <c r="U314" s="102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01"/>
    </row>
    <row r="315" spans="1:31" s="162" customFormat="1" x14ac:dyDescent="0.25">
      <c r="A315" s="101"/>
      <c r="B315" s="101"/>
      <c r="C315" s="102"/>
      <c r="D315" s="102"/>
      <c r="E315" s="102"/>
      <c r="F315" s="102"/>
      <c r="G315" s="102"/>
      <c r="H315" s="102"/>
      <c r="I315" s="154"/>
      <c r="J315" s="154"/>
      <c r="K315" s="154"/>
      <c r="L315" s="154"/>
      <c r="M315" s="154"/>
      <c r="N315" s="154"/>
      <c r="O315" s="154"/>
      <c r="P315" s="154"/>
      <c r="Q315" s="154"/>
      <c r="R315" s="102"/>
      <c r="S315" s="102"/>
      <c r="T315" s="102"/>
      <c r="U315" s="102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01"/>
    </row>
    <row r="316" spans="1:31" s="162" customFormat="1" x14ac:dyDescent="0.25">
      <c r="A316" s="101"/>
      <c r="B316" s="101"/>
      <c r="C316" s="102"/>
      <c r="D316" s="102"/>
      <c r="E316" s="102"/>
      <c r="F316" s="102"/>
      <c r="G316" s="102"/>
      <c r="H316" s="102"/>
      <c r="I316" s="154"/>
      <c r="J316" s="154"/>
      <c r="K316" s="154"/>
      <c r="L316" s="154"/>
      <c r="M316" s="154"/>
      <c r="N316" s="154"/>
      <c r="O316" s="154"/>
      <c r="P316" s="154"/>
      <c r="Q316" s="154"/>
      <c r="R316" s="102"/>
      <c r="S316" s="102"/>
      <c r="T316" s="102"/>
      <c r="U316" s="102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01"/>
    </row>
    <row r="317" spans="1:31" s="162" customFormat="1" x14ac:dyDescent="0.25">
      <c r="A317" s="101"/>
      <c r="B317" s="101"/>
      <c r="C317" s="102"/>
      <c r="D317" s="102"/>
      <c r="E317" s="102"/>
      <c r="F317" s="102"/>
      <c r="G317" s="102"/>
      <c r="H317" s="102"/>
      <c r="I317" s="154"/>
      <c r="J317" s="154"/>
      <c r="K317" s="154"/>
      <c r="L317" s="154"/>
      <c r="M317" s="154"/>
      <c r="N317" s="154"/>
      <c r="O317" s="154"/>
      <c r="P317" s="154"/>
      <c r="Q317" s="154"/>
      <c r="R317" s="102"/>
      <c r="S317" s="102"/>
      <c r="T317" s="102"/>
      <c r="U317" s="102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01"/>
    </row>
    <row r="318" spans="1:31" s="162" customFormat="1" x14ac:dyDescent="0.25">
      <c r="A318" s="101"/>
      <c r="B318" s="101"/>
      <c r="C318" s="102"/>
      <c r="D318" s="102"/>
      <c r="E318" s="102"/>
      <c r="F318" s="102"/>
      <c r="G318" s="102"/>
      <c r="H318" s="102"/>
      <c r="I318" s="154"/>
      <c r="J318" s="154"/>
      <c r="K318" s="154"/>
      <c r="L318" s="154"/>
      <c r="M318" s="154"/>
      <c r="N318" s="154"/>
      <c r="O318" s="154"/>
      <c r="P318" s="154"/>
      <c r="Q318" s="154"/>
      <c r="R318" s="102"/>
      <c r="S318" s="102"/>
      <c r="T318" s="102"/>
      <c r="U318" s="102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01"/>
    </row>
    <row r="319" spans="1:31" s="162" customFormat="1" x14ac:dyDescent="0.25">
      <c r="A319" s="101"/>
      <c r="B319" s="101"/>
      <c r="C319" s="102"/>
      <c r="D319" s="102"/>
      <c r="E319" s="102"/>
      <c r="F319" s="102"/>
      <c r="G319" s="102"/>
      <c r="H319" s="102"/>
      <c r="I319" s="154"/>
      <c r="J319" s="154"/>
      <c r="K319" s="154"/>
      <c r="L319" s="154"/>
      <c r="M319" s="154"/>
      <c r="N319" s="154"/>
      <c r="O319" s="154"/>
      <c r="P319" s="154"/>
      <c r="Q319" s="154"/>
      <c r="R319" s="102"/>
      <c r="S319" s="102"/>
      <c r="T319" s="102"/>
      <c r="U319" s="102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01"/>
    </row>
    <row r="320" spans="1:31" s="162" customFormat="1" x14ac:dyDescent="0.25">
      <c r="A320" s="101"/>
      <c r="B320" s="101"/>
      <c r="C320" s="102"/>
      <c r="D320" s="102"/>
      <c r="E320" s="102"/>
      <c r="F320" s="102"/>
      <c r="G320" s="102"/>
      <c r="H320" s="102"/>
      <c r="I320" s="154"/>
      <c r="J320" s="154"/>
      <c r="K320" s="154"/>
      <c r="L320" s="154"/>
      <c r="M320" s="154"/>
      <c r="N320" s="154"/>
      <c r="O320" s="154"/>
      <c r="P320" s="154"/>
      <c r="Q320" s="154"/>
      <c r="R320" s="102"/>
      <c r="S320" s="102"/>
      <c r="T320" s="102"/>
      <c r="U320" s="102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01"/>
    </row>
    <row r="321" spans="1:31" s="162" customFormat="1" x14ac:dyDescent="0.25">
      <c r="A321" s="101"/>
      <c r="B321" s="101"/>
      <c r="C321" s="102"/>
      <c r="D321" s="102"/>
      <c r="E321" s="102"/>
      <c r="F321" s="102"/>
      <c r="G321" s="102"/>
      <c r="H321" s="102"/>
      <c r="I321" s="154"/>
      <c r="J321" s="154"/>
      <c r="K321" s="154"/>
      <c r="L321" s="154"/>
      <c r="M321" s="154"/>
      <c r="N321" s="154"/>
      <c r="O321" s="154"/>
      <c r="P321" s="154"/>
      <c r="Q321" s="154"/>
      <c r="R321" s="102"/>
      <c r="S321" s="102"/>
      <c r="T321" s="102"/>
      <c r="U321" s="102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01"/>
    </row>
    <row r="322" spans="1:31" s="162" customFormat="1" x14ac:dyDescent="0.25">
      <c r="A322" s="101"/>
      <c r="B322" s="101"/>
      <c r="C322" s="102"/>
      <c r="D322" s="102"/>
      <c r="E322" s="102"/>
      <c r="F322" s="102"/>
      <c r="G322" s="102"/>
      <c r="H322" s="102"/>
      <c r="I322" s="154"/>
      <c r="J322" s="154"/>
      <c r="K322" s="154"/>
      <c r="L322" s="154"/>
      <c r="M322" s="154"/>
      <c r="N322" s="154"/>
      <c r="O322" s="154"/>
      <c r="P322" s="154"/>
      <c r="Q322" s="154"/>
      <c r="R322" s="102"/>
      <c r="S322" s="102"/>
      <c r="T322" s="102"/>
      <c r="U322" s="102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01"/>
    </row>
    <row r="323" spans="1:31" s="162" customFormat="1" x14ac:dyDescent="0.25">
      <c r="A323" s="101"/>
      <c r="B323" s="101"/>
      <c r="C323" s="102"/>
      <c r="D323" s="102"/>
      <c r="E323" s="102"/>
      <c r="F323" s="102"/>
      <c r="G323" s="102"/>
      <c r="H323" s="102"/>
      <c r="I323" s="154"/>
      <c r="J323" s="154"/>
      <c r="K323" s="154"/>
      <c r="L323" s="154"/>
      <c r="M323" s="154"/>
      <c r="N323" s="154"/>
      <c r="O323" s="154"/>
      <c r="P323" s="154"/>
      <c r="Q323" s="154"/>
      <c r="R323" s="102"/>
      <c r="S323" s="102"/>
      <c r="T323" s="102"/>
      <c r="U323" s="102"/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01"/>
    </row>
    <row r="324" spans="1:31" s="162" customFormat="1" x14ac:dyDescent="0.25">
      <c r="A324" s="101"/>
      <c r="B324" s="101"/>
      <c r="C324" s="102"/>
      <c r="D324" s="102"/>
      <c r="E324" s="102"/>
      <c r="F324" s="102"/>
      <c r="G324" s="102"/>
      <c r="H324" s="102"/>
      <c r="I324" s="154"/>
      <c r="J324" s="154"/>
      <c r="K324" s="154"/>
      <c r="L324" s="154"/>
      <c r="M324" s="154"/>
      <c r="N324" s="154"/>
      <c r="O324" s="154"/>
      <c r="P324" s="154"/>
      <c r="Q324" s="154"/>
      <c r="R324" s="102"/>
      <c r="S324" s="102"/>
      <c r="T324" s="102"/>
      <c r="U324" s="102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01"/>
    </row>
    <row r="325" spans="1:31" s="162" customFormat="1" x14ac:dyDescent="0.25">
      <c r="A325" s="101"/>
      <c r="B325" s="101"/>
      <c r="C325" s="102"/>
      <c r="D325" s="102"/>
      <c r="E325" s="102"/>
      <c r="F325" s="102"/>
      <c r="G325" s="102"/>
      <c r="H325" s="102"/>
      <c r="I325" s="154"/>
      <c r="J325" s="154"/>
      <c r="K325" s="154"/>
      <c r="L325" s="154"/>
      <c r="M325" s="154"/>
      <c r="N325" s="154"/>
      <c r="O325" s="154"/>
      <c r="P325" s="154"/>
      <c r="Q325" s="154"/>
      <c r="R325" s="102"/>
      <c r="S325" s="102"/>
      <c r="T325" s="102"/>
      <c r="U325" s="102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01"/>
    </row>
    <row r="326" spans="1:31" s="162" customFormat="1" x14ac:dyDescent="0.25">
      <c r="A326" s="101"/>
      <c r="B326" s="101"/>
      <c r="C326" s="102"/>
      <c r="D326" s="102"/>
      <c r="E326" s="102"/>
      <c r="F326" s="102"/>
      <c r="G326" s="102"/>
      <c r="H326" s="102"/>
      <c r="I326" s="154"/>
      <c r="J326" s="154"/>
      <c r="K326" s="154"/>
      <c r="L326" s="154"/>
      <c r="M326" s="154"/>
      <c r="N326" s="154"/>
      <c r="O326" s="154"/>
      <c r="P326" s="154"/>
      <c r="Q326" s="154"/>
      <c r="R326" s="102"/>
      <c r="S326" s="102"/>
      <c r="T326" s="102"/>
      <c r="U326" s="102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01"/>
    </row>
    <row r="327" spans="1:31" s="162" customFormat="1" x14ac:dyDescent="0.25">
      <c r="A327" s="101"/>
      <c r="B327" s="101"/>
      <c r="C327" s="102"/>
      <c r="D327" s="102"/>
      <c r="E327" s="102"/>
      <c r="F327" s="102"/>
      <c r="G327" s="102"/>
      <c r="H327" s="102"/>
      <c r="I327" s="154"/>
      <c r="J327" s="154"/>
      <c r="K327" s="154"/>
      <c r="L327" s="154"/>
      <c r="M327" s="154"/>
      <c r="N327" s="154"/>
      <c r="O327" s="154"/>
      <c r="P327" s="154"/>
      <c r="Q327" s="154"/>
      <c r="R327" s="102"/>
      <c r="S327" s="102"/>
      <c r="T327" s="102"/>
      <c r="U327" s="102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01"/>
    </row>
    <row r="328" spans="1:31" s="162" customFormat="1" x14ac:dyDescent="0.25">
      <c r="A328" s="101"/>
      <c r="B328" s="101"/>
      <c r="C328" s="102"/>
      <c r="D328" s="102"/>
      <c r="E328" s="102"/>
      <c r="F328" s="102"/>
      <c r="G328" s="102"/>
      <c r="H328" s="102"/>
      <c r="I328" s="154"/>
      <c r="J328" s="154"/>
      <c r="K328" s="154"/>
      <c r="L328" s="154"/>
      <c r="M328" s="154"/>
      <c r="N328" s="154"/>
      <c r="O328" s="154"/>
      <c r="P328" s="154"/>
      <c r="Q328" s="154"/>
      <c r="R328" s="102"/>
      <c r="S328" s="102"/>
      <c r="T328" s="102"/>
      <c r="U328" s="102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01"/>
    </row>
    <row r="329" spans="1:31" s="162" customFormat="1" x14ac:dyDescent="0.25">
      <c r="A329" s="101"/>
      <c r="B329" s="101"/>
      <c r="C329" s="102"/>
      <c r="D329" s="102"/>
      <c r="E329" s="102"/>
      <c r="F329" s="102"/>
      <c r="G329" s="102"/>
      <c r="H329" s="102"/>
      <c r="I329" s="154"/>
      <c r="J329" s="154"/>
      <c r="K329" s="154"/>
      <c r="L329" s="154"/>
      <c r="M329" s="154"/>
      <c r="N329" s="154"/>
      <c r="O329" s="154"/>
      <c r="P329" s="154"/>
      <c r="Q329" s="154"/>
      <c r="R329" s="102"/>
      <c r="S329" s="102"/>
      <c r="T329" s="102"/>
      <c r="U329" s="102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01"/>
    </row>
    <row r="330" spans="1:31" s="162" customFormat="1" x14ac:dyDescent="0.25">
      <c r="A330" s="101"/>
      <c r="B330" s="101"/>
      <c r="C330" s="102"/>
      <c r="D330" s="102"/>
      <c r="E330" s="102"/>
      <c r="F330" s="102"/>
      <c r="G330" s="102"/>
      <c r="H330" s="102"/>
      <c r="I330" s="154"/>
      <c r="J330" s="154"/>
      <c r="K330" s="154"/>
      <c r="L330" s="154"/>
      <c r="M330" s="154"/>
      <c r="N330" s="154"/>
      <c r="O330" s="154"/>
      <c r="P330" s="154"/>
      <c r="Q330" s="154"/>
      <c r="R330" s="102"/>
      <c r="S330" s="102"/>
      <c r="T330" s="102"/>
      <c r="U330" s="102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01"/>
    </row>
    <row r="331" spans="1:31" s="162" customFormat="1" x14ac:dyDescent="0.25">
      <c r="A331" s="101"/>
      <c r="B331" s="101"/>
      <c r="C331" s="102"/>
      <c r="D331" s="102"/>
      <c r="E331" s="102"/>
      <c r="F331" s="102"/>
      <c r="G331" s="102"/>
      <c r="H331" s="102"/>
      <c r="I331" s="154"/>
      <c r="J331" s="154"/>
      <c r="K331" s="154"/>
      <c r="L331" s="154"/>
      <c r="M331" s="154"/>
      <c r="N331" s="154"/>
      <c r="O331" s="154"/>
      <c r="P331" s="154"/>
      <c r="Q331" s="154"/>
      <c r="R331" s="102"/>
      <c r="S331" s="102"/>
      <c r="T331" s="102"/>
      <c r="U331" s="102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01"/>
    </row>
    <row r="332" spans="1:31" s="162" customFormat="1" x14ac:dyDescent="0.25">
      <c r="A332" s="101"/>
      <c r="B332" s="101"/>
      <c r="C332" s="102"/>
      <c r="D332" s="102"/>
      <c r="E332" s="102"/>
      <c r="F332" s="102"/>
      <c r="G332" s="102"/>
      <c r="H332" s="102"/>
      <c r="I332" s="154"/>
      <c r="J332" s="154"/>
      <c r="K332" s="154"/>
      <c r="L332" s="154"/>
      <c r="M332" s="154"/>
      <c r="N332" s="154"/>
      <c r="O332" s="154"/>
      <c r="P332" s="154"/>
      <c r="Q332" s="154"/>
      <c r="R332" s="102"/>
      <c r="S332" s="102"/>
      <c r="T332" s="102"/>
      <c r="U332" s="102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01"/>
    </row>
    <row r="333" spans="1:31" s="162" customFormat="1" x14ac:dyDescent="0.25">
      <c r="A333" s="101"/>
      <c r="B333" s="101"/>
      <c r="C333" s="102"/>
      <c r="D333" s="102"/>
      <c r="E333" s="102"/>
      <c r="F333" s="102"/>
      <c r="G333" s="102"/>
      <c r="H333" s="102"/>
      <c r="I333" s="154"/>
      <c r="J333" s="154"/>
      <c r="K333" s="154"/>
      <c r="L333" s="154"/>
      <c r="M333" s="154"/>
      <c r="N333" s="154"/>
      <c r="O333" s="154"/>
      <c r="P333" s="154"/>
      <c r="Q333" s="154"/>
      <c r="R333" s="102"/>
      <c r="S333" s="102"/>
      <c r="T333" s="102"/>
      <c r="U333" s="102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01"/>
    </row>
    <row r="334" spans="1:31" s="162" customFormat="1" x14ac:dyDescent="0.25">
      <c r="A334" s="101"/>
      <c r="B334" s="101"/>
      <c r="C334" s="102"/>
      <c r="D334" s="102"/>
      <c r="E334" s="102"/>
      <c r="F334" s="102"/>
      <c r="G334" s="102"/>
      <c r="H334" s="102"/>
      <c r="I334" s="154"/>
      <c r="J334" s="154"/>
      <c r="K334" s="154"/>
      <c r="L334" s="154"/>
      <c r="M334" s="154"/>
      <c r="N334" s="154"/>
      <c r="O334" s="154"/>
      <c r="P334" s="154"/>
      <c r="Q334" s="154"/>
      <c r="R334" s="102"/>
      <c r="S334" s="102"/>
      <c r="T334" s="102"/>
      <c r="U334" s="102"/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01"/>
    </row>
    <row r="335" spans="1:31" s="162" customFormat="1" x14ac:dyDescent="0.25">
      <c r="A335" s="101"/>
      <c r="B335" s="101"/>
      <c r="C335" s="102"/>
      <c r="D335" s="102"/>
      <c r="E335" s="102"/>
      <c r="F335" s="102"/>
      <c r="G335" s="102"/>
      <c r="H335" s="102"/>
      <c r="I335" s="154"/>
      <c r="J335" s="154"/>
      <c r="K335" s="154"/>
      <c r="L335" s="154"/>
      <c r="M335" s="154"/>
      <c r="N335" s="154"/>
      <c r="O335" s="154"/>
      <c r="P335" s="154"/>
      <c r="Q335" s="154"/>
      <c r="R335" s="102"/>
      <c r="S335" s="102"/>
      <c r="T335" s="102"/>
      <c r="U335" s="102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01"/>
    </row>
    <row r="336" spans="1:31" s="162" customFormat="1" x14ac:dyDescent="0.25">
      <c r="A336" s="101"/>
      <c r="B336" s="101"/>
      <c r="C336" s="102"/>
      <c r="D336" s="102"/>
      <c r="E336" s="102"/>
      <c r="F336" s="102"/>
      <c r="G336" s="102"/>
      <c r="H336" s="102"/>
      <c r="I336" s="154"/>
      <c r="J336" s="154"/>
      <c r="K336" s="154"/>
      <c r="L336" s="154"/>
      <c r="M336" s="154"/>
      <c r="N336" s="154"/>
      <c r="O336" s="154"/>
      <c r="P336" s="154"/>
      <c r="Q336" s="154"/>
      <c r="R336" s="102"/>
      <c r="S336" s="102"/>
      <c r="T336" s="102"/>
      <c r="U336" s="102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01"/>
    </row>
    <row r="337" spans="1:31" s="162" customFormat="1" x14ac:dyDescent="0.25">
      <c r="A337" s="101"/>
      <c r="B337" s="101"/>
      <c r="C337" s="102"/>
      <c r="D337" s="102"/>
      <c r="E337" s="102"/>
      <c r="F337" s="102"/>
      <c r="G337" s="102"/>
      <c r="H337" s="102"/>
      <c r="I337" s="154"/>
      <c r="J337" s="154"/>
      <c r="K337" s="154"/>
      <c r="L337" s="154"/>
      <c r="M337" s="154"/>
      <c r="N337" s="154"/>
      <c r="O337" s="154"/>
      <c r="P337" s="154"/>
      <c r="Q337" s="154"/>
      <c r="R337" s="102"/>
      <c r="S337" s="102"/>
      <c r="T337" s="102"/>
      <c r="U337" s="102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01"/>
    </row>
    <row r="338" spans="1:31" s="162" customFormat="1" x14ac:dyDescent="0.25">
      <c r="A338" s="101"/>
      <c r="B338" s="101"/>
      <c r="C338" s="102"/>
      <c r="D338" s="102"/>
      <c r="E338" s="102"/>
      <c r="F338" s="102"/>
      <c r="G338" s="102"/>
      <c r="H338" s="102"/>
      <c r="I338" s="154"/>
      <c r="J338" s="154"/>
      <c r="K338" s="154"/>
      <c r="L338" s="154"/>
      <c r="M338" s="154"/>
      <c r="N338" s="154"/>
      <c r="O338" s="154"/>
      <c r="P338" s="154"/>
      <c r="Q338" s="154"/>
      <c r="R338" s="102"/>
      <c r="S338" s="102"/>
      <c r="T338" s="102"/>
      <c r="U338" s="102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01"/>
    </row>
    <row r="339" spans="1:31" s="162" customFormat="1" x14ac:dyDescent="0.25">
      <c r="A339" s="101"/>
      <c r="B339" s="101"/>
      <c r="C339" s="102"/>
      <c r="D339" s="102"/>
      <c r="E339" s="102"/>
      <c r="F339" s="102"/>
      <c r="G339" s="102"/>
      <c r="H339" s="102"/>
      <c r="I339" s="154"/>
      <c r="J339" s="154"/>
      <c r="K339" s="154"/>
      <c r="L339" s="154"/>
      <c r="M339" s="154"/>
      <c r="N339" s="154"/>
      <c r="O339" s="154"/>
      <c r="P339" s="154"/>
      <c r="Q339" s="154"/>
      <c r="R339" s="102"/>
      <c r="S339" s="102"/>
      <c r="T339" s="102"/>
      <c r="U339" s="102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01"/>
    </row>
    <row r="340" spans="1:31" s="162" customFormat="1" x14ac:dyDescent="0.25">
      <c r="A340" s="101"/>
      <c r="B340" s="101"/>
      <c r="C340" s="102"/>
      <c r="D340" s="102"/>
      <c r="E340" s="102"/>
      <c r="F340" s="102"/>
      <c r="G340" s="102"/>
      <c r="H340" s="102"/>
      <c r="I340" s="154"/>
      <c r="J340" s="154"/>
      <c r="K340" s="154"/>
      <c r="L340" s="154"/>
      <c r="M340" s="154"/>
      <c r="N340" s="154"/>
      <c r="O340" s="154"/>
      <c r="P340" s="154"/>
      <c r="Q340" s="154"/>
      <c r="R340" s="102"/>
      <c r="S340" s="102"/>
      <c r="T340" s="102"/>
      <c r="U340" s="102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01"/>
    </row>
    <row r="341" spans="1:31" s="162" customFormat="1" x14ac:dyDescent="0.25">
      <c r="A341" s="101"/>
      <c r="B341" s="101"/>
      <c r="C341" s="102"/>
      <c r="D341" s="102"/>
      <c r="E341" s="102"/>
      <c r="F341" s="102"/>
      <c r="G341" s="102"/>
      <c r="H341" s="102"/>
      <c r="I341" s="154"/>
      <c r="J341" s="154"/>
      <c r="K341" s="154"/>
      <c r="L341" s="154"/>
      <c r="M341" s="154"/>
      <c r="N341" s="154"/>
      <c r="O341" s="154"/>
      <c r="P341" s="154"/>
      <c r="Q341" s="154"/>
      <c r="R341" s="102"/>
      <c r="S341" s="102"/>
      <c r="T341" s="102"/>
      <c r="U341" s="102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01"/>
    </row>
    <row r="342" spans="1:31" s="162" customFormat="1" x14ac:dyDescent="0.25">
      <c r="A342" s="101"/>
      <c r="B342" s="101"/>
      <c r="C342" s="102"/>
      <c r="D342" s="102"/>
      <c r="E342" s="102"/>
      <c r="F342" s="102"/>
      <c r="G342" s="102"/>
      <c r="H342" s="102"/>
      <c r="I342" s="154"/>
      <c r="J342" s="154"/>
      <c r="K342" s="154"/>
      <c r="L342" s="154"/>
      <c r="M342" s="154"/>
      <c r="N342" s="154"/>
      <c r="O342" s="154"/>
      <c r="P342" s="154"/>
      <c r="Q342" s="154"/>
      <c r="R342" s="102"/>
      <c r="S342" s="102"/>
      <c r="T342" s="102"/>
      <c r="U342" s="102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01"/>
    </row>
    <row r="343" spans="1:31" s="162" customFormat="1" x14ac:dyDescent="0.25">
      <c r="A343" s="101"/>
      <c r="B343" s="101"/>
      <c r="C343" s="102"/>
      <c r="D343" s="102"/>
      <c r="E343" s="102"/>
      <c r="F343" s="102"/>
      <c r="G343" s="102"/>
      <c r="H343" s="102"/>
      <c r="I343" s="154"/>
      <c r="J343" s="154"/>
      <c r="K343" s="154"/>
      <c r="L343" s="154"/>
      <c r="M343" s="154"/>
      <c r="N343" s="154"/>
      <c r="O343" s="154"/>
      <c r="P343" s="154"/>
      <c r="Q343" s="154"/>
      <c r="R343" s="102"/>
      <c r="S343" s="102"/>
      <c r="T343" s="102"/>
      <c r="U343" s="102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01"/>
    </row>
    <row r="344" spans="1:31" s="162" customFormat="1" x14ac:dyDescent="0.25">
      <c r="A344" s="101"/>
      <c r="B344" s="101"/>
      <c r="C344" s="102"/>
      <c r="D344" s="102"/>
      <c r="E344" s="102"/>
      <c r="F344" s="102"/>
      <c r="G344" s="102"/>
      <c r="H344" s="102"/>
      <c r="I344" s="154"/>
      <c r="J344" s="154"/>
      <c r="K344" s="154"/>
      <c r="L344" s="154"/>
      <c r="M344" s="154"/>
      <c r="N344" s="154"/>
      <c r="O344" s="154"/>
      <c r="P344" s="154"/>
      <c r="Q344" s="154"/>
      <c r="R344" s="102"/>
      <c r="S344" s="102"/>
      <c r="T344" s="102"/>
      <c r="U344" s="102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01"/>
    </row>
    <row r="345" spans="1:31" s="162" customFormat="1" x14ac:dyDescent="0.25">
      <c r="A345" s="101"/>
      <c r="B345" s="101"/>
      <c r="C345" s="102"/>
      <c r="D345" s="102"/>
      <c r="E345" s="102"/>
      <c r="F345" s="102"/>
      <c r="G345" s="102"/>
      <c r="H345" s="102"/>
      <c r="I345" s="154"/>
      <c r="J345" s="154"/>
      <c r="K345" s="154"/>
      <c r="L345" s="154"/>
      <c r="M345" s="154"/>
      <c r="N345" s="154"/>
      <c r="O345" s="154"/>
      <c r="P345" s="154"/>
      <c r="Q345" s="154"/>
      <c r="R345" s="102"/>
      <c r="S345" s="102"/>
      <c r="T345" s="102"/>
      <c r="U345" s="102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01"/>
    </row>
    <row r="346" spans="1:31" s="162" customFormat="1" x14ac:dyDescent="0.25">
      <c r="A346" s="101"/>
      <c r="B346" s="101"/>
      <c r="C346" s="102"/>
      <c r="D346" s="102"/>
      <c r="E346" s="102"/>
      <c r="F346" s="102"/>
      <c r="G346" s="102"/>
      <c r="H346" s="102"/>
      <c r="I346" s="154"/>
      <c r="J346" s="154"/>
      <c r="K346" s="154"/>
      <c r="L346" s="154"/>
      <c r="M346" s="154"/>
      <c r="N346" s="154"/>
      <c r="O346" s="154"/>
      <c r="P346" s="154"/>
      <c r="Q346" s="154"/>
      <c r="R346" s="102"/>
      <c r="S346" s="102"/>
      <c r="T346" s="102"/>
      <c r="U346" s="102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01"/>
    </row>
    <row r="347" spans="1:31" s="162" customFormat="1" x14ac:dyDescent="0.25">
      <c r="A347" s="101"/>
      <c r="B347" s="101"/>
      <c r="C347" s="102"/>
      <c r="D347" s="102"/>
      <c r="E347" s="102"/>
      <c r="F347" s="102"/>
      <c r="G347" s="102"/>
      <c r="H347" s="102"/>
      <c r="I347" s="154"/>
      <c r="J347" s="154"/>
      <c r="K347" s="154"/>
      <c r="L347" s="154"/>
      <c r="M347" s="154"/>
      <c r="N347" s="154"/>
      <c r="O347" s="154"/>
      <c r="P347" s="154"/>
      <c r="Q347" s="154"/>
      <c r="R347" s="102"/>
      <c r="S347" s="102"/>
      <c r="T347" s="102"/>
      <c r="U347" s="102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01"/>
    </row>
    <row r="348" spans="1:31" s="162" customFormat="1" x14ac:dyDescent="0.25">
      <c r="A348" s="101"/>
      <c r="B348" s="101"/>
      <c r="C348" s="102"/>
      <c r="D348" s="102"/>
      <c r="E348" s="102"/>
      <c r="F348" s="102"/>
      <c r="G348" s="102"/>
      <c r="H348" s="102"/>
      <c r="I348" s="154"/>
      <c r="J348" s="154"/>
      <c r="K348" s="154"/>
      <c r="L348" s="154"/>
      <c r="M348" s="154"/>
      <c r="N348" s="154"/>
      <c r="O348" s="154"/>
      <c r="P348" s="154"/>
      <c r="Q348" s="154"/>
      <c r="R348" s="102"/>
      <c r="S348" s="102"/>
      <c r="T348" s="102"/>
      <c r="U348" s="102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01"/>
    </row>
    <row r="349" spans="1:31" s="162" customFormat="1" x14ac:dyDescent="0.25">
      <c r="A349" s="101"/>
      <c r="B349" s="101"/>
      <c r="C349" s="102"/>
      <c r="D349" s="102"/>
      <c r="E349" s="102"/>
      <c r="F349" s="102"/>
      <c r="G349" s="102"/>
      <c r="H349" s="102"/>
      <c r="I349" s="154"/>
      <c r="J349" s="154"/>
      <c r="K349" s="154"/>
      <c r="L349" s="154"/>
      <c r="M349" s="154"/>
      <c r="N349" s="154"/>
      <c r="O349" s="154"/>
      <c r="P349" s="154"/>
      <c r="Q349" s="154"/>
      <c r="R349" s="102"/>
      <c r="S349" s="102"/>
      <c r="T349" s="102"/>
      <c r="U349" s="102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01"/>
    </row>
    <row r="350" spans="1:31" s="162" customFormat="1" x14ac:dyDescent="0.25">
      <c r="A350" s="101"/>
      <c r="B350" s="101"/>
      <c r="C350" s="102"/>
      <c r="D350" s="102"/>
      <c r="E350" s="102"/>
      <c r="F350" s="102"/>
      <c r="G350" s="102"/>
      <c r="H350" s="102"/>
      <c r="I350" s="154"/>
      <c r="J350" s="154"/>
      <c r="K350" s="154"/>
      <c r="L350" s="154"/>
      <c r="M350" s="154"/>
      <c r="N350" s="154"/>
      <c r="O350" s="154"/>
      <c r="P350" s="154"/>
      <c r="Q350" s="154"/>
      <c r="R350" s="102"/>
      <c r="S350" s="102"/>
      <c r="T350" s="102"/>
      <c r="U350" s="102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01"/>
    </row>
    <row r="351" spans="1:31" s="162" customFormat="1" x14ac:dyDescent="0.25">
      <c r="A351" s="101"/>
      <c r="B351" s="101"/>
      <c r="C351" s="102"/>
      <c r="D351" s="102"/>
      <c r="E351" s="102"/>
      <c r="F351" s="102"/>
      <c r="G351" s="102"/>
      <c r="H351" s="102"/>
      <c r="I351" s="154"/>
      <c r="J351" s="154"/>
      <c r="K351" s="154"/>
      <c r="L351" s="154"/>
      <c r="M351" s="154"/>
      <c r="N351" s="154"/>
      <c r="O351" s="154"/>
      <c r="P351" s="154"/>
      <c r="Q351" s="154"/>
      <c r="R351" s="102"/>
      <c r="S351" s="102"/>
      <c r="T351" s="102"/>
      <c r="U351" s="102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01"/>
    </row>
    <row r="352" spans="1:31" s="162" customFormat="1" x14ac:dyDescent="0.25">
      <c r="A352" s="101"/>
      <c r="B352" s="101"/>
      <c r="C352" s="102"/>
      <c r="D352" s="102"/>
      <c r="E352" s="102"/>
      <c r="F352" s="102"/>
      <c r="G352" s="102"/>
      <c r="H352" s="102"/>
      <c r="I352" s="154"/>
      <c r="J352" s="154"/>
      <c r="K352" s="154"/>
      <c r="L352" s="154"/>
      <c r="M352" s="154"/>
      <c r="N352" s="154"/>
      <c r="O352" s="154"/>
      <c r="P352" s="154"/>
      <c r="Q352" s="154"/>
      <c r="R352" s="102"/>
      <c r="S352" s="102"/>
      <c r="T352" s="102"/>
      <c r="U352" s="102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01"/>
    </row>
    <row r="353" spans="1:31" s="162" customFormat="1" x14ac:dyDescent="0.25">
      <c r="A353" s="101"/>
      <c r="B353" s="101"/>
      <c r="C353" s="102"/>
      <c r="D353" s="102"/>
      <c r="E353" s="102"/>
      <c r="F353" s="102"/>
      <c r="G353" s="102"/>
      <c r="H353" s="102"/>
      <c r="I353" s="154"/>
      <c r="J353" s="154"/>
      <c r="K353" s="154"/>
      <c r="L353" s="154"/>
      <c r="M353" s="154"/>
      <c r="N353" s="154"/>
      <c r="O353" s="154"/>
      <c r="P353" s="154"/>
      <c r="Q353" s="154"/>
      <c r="R353" s="102"/>
      <c r="S353" s="102"/>
      <c r="T353" s="102"/>
      <c r="U353" s="102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01"/>
    </row>
    <row r="354" spans="1:31" s="162" customFormat="1" x14ac:dyDescent="0.25">
      <c r="A354" s="101"/>
      <c r="B354" s="101"/>
      <c r="C354" s="102"/>
      <c r="D354" s="102"/>
      <c r="E354" s="102"/>
      <c r="F354" s="102"/>
      <c r="G354" s="102"/>
      <c r="H354" s="102"/>
      <c r="I354" s="154"/>
      <c r="J354" s="154"/>
      <c r="K354" s="154"/>
      <c r="L354" s="154"/>
      <c r="M354" s="154"/>
      <c r="N354" s="154"/>
      <c r="O354" s="154"/>
      <c r="P354" s="154"/>
      <c r="Q354" s="154"/>
      <c r="R354" s="102"/>
      <c r="S354" s="102"/>
      <c r="T354" s="102"/>
      <c r="U354" s="102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01"/>
    </row>
    <row r="355" spans="1:31" s="162" customFormat="1" x14ac:dyDescent="0.25">
      <c r="A355" s="101"/>
      <c r="B355" s="101"/>
      <c r="C355" s="102"/>
      <c r="D355" s="102"/>
      <c r="E355" s="102"/>
      <c r="F355" s="102"/>
      <c r="G355" s="102"/>
      <c r="H355" s="102"/>
      <c r="I355" s="154"/>
      <c r="J355" s="154"/>
      <c r="K355" s="154"/>
      <c r="L355" s="154"/>
      <c r="M355" s="154"/>
      <c r="N355" s="154"/>
      <c r="O355" s="154"/>
      <c r="P355" s="154"/>
      <c r="Q355" s="154"/>
      <c r="R355" s="102"/>
      <c r="S355" s="102"/>
      <c r="T355" s="102"/>
      <c r="U355" s="102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01"/>
    </row>
    <row r="356" spans="1:31" s="162" customFormat="1" x14ac:dyDescent="0.25">
      <c r="A356" s="101"/>
      <c r="B356" s="101"/>
      <c r="C356" s="102"/>
      <c r="D356" s="102"/>
      <c r="E356" s="102"/>
      <c r="F356" s="102"/>
      <c r="G356" s="102"/>
      <c r="H356" s="102"/>
      <c r="I356" s="154"/>
      <c r="J356" s="154"/>
      <c r="K356" s="154"/>
      <c r="L356" s="154"/>
      <c r="M356" s="154"/>
      <c r="N356" s="154"/>
      <c r="O356" s="154"/>
      <c r="P356" s="154"/>
      <c r="Q356" s="154"/>
      <c r="R356" s="102"/>
      <c r="S356" s="102"/>
      <c r="T356" s="102"/>
      <c r="U356" s="102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01"/>
    </row>
    <row r="357" spans="1:31" s="162" customFormat="1" x14ac:dyDescent="0.25">
      <c r="A357" s="101"/>
      <c r="B357" s="101"/>
      <c r="C357" s="102"/>
      <c r="D357" s="102"/>
      <c r="E357" s="102"/>
      <c r="F357" s="102"/>
      <c r="G357" s="102"/>
      <c r="H357" s="102"/>
      <c r="I357" s="154"/>
      <c r="J357" s="154"/>
      <c r="K357" s="154"/>
      <c r="L357" s="154"/>
      <c r="M357" s="154"/>
      <c r="N357" s="154"/>
      <c r="O357" s="154"/>
      <c r="P357" s="154"/>
      <c r="Q357" s="154"/>
      <c r="R357" s="102"/>
      <c r="S357" s="102"/>
      <c r="T357" s="102"/>
      <c r="U357" s="102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01"/>
    </row>
    <row r="358" spans="1:31" s="162" customFormat="1" x14ac:dyDescent="0.25">
      <c r="A358" s="101"/>
      <c r="B358" s="101"/>
      <c r="C358" s="102"/>
      <c r="D358" s="102"/>
      <c r="E358" s="102"/>
      <c r="F358" s="102"/>
      <c r="G358" s="102"/>
      <c r="H358" s="102"/>
      <c r="I358" s="154"/>
      <c r="J358" s="154"/>
      <c r="K358" s="154"/>
      <c r="L358" s="154"/>
      <c r="M358" s="154"/>
      <c r="N358" s="154"/>
      <c r="O358" s="154"/>
      <c r="P358" s="154"/>
      <c r="Q358" s="154"/>
      <c r="R358" s="102"/>
      <c r="S358" s="102"/>
      <c r="T358" s="102"/>
      <c r="U358" s="102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01"/>
    </row>
    <row r="359" spans="1:31" s="162" customFormat="1" x14ac:dyDescent="0.25">
      <c r="A359" s="101"/>
      <c r="B359" s="101"/>
      <c r="C359" s="102"/>
      <c r="D359" s="102"/>
      <c r="E359" s="102"/>
      <c r="F359" s="102"/>
      <c r="G359" s="102"/>
      <c r="H359" s="102"/>
      <c r="I359" s="154"/>
      <c r="J359" s="154"/>
      <c r="K359" s="154"/>
      <c r="L359" s="154"/>
      <c r="M359" s="154"/>
      <c r="N359" s="154"/>
      <c r="O359" s="154"/>
      <c r="P359" s="154"/>
      <c r="Q359" s="154"/>
      <c r="R359" s="102"/>
      <c r="S359" s="102"/>
      <c r="T359" s="102"/>
      <c r="U359" s="102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01"/>
    </row>
    <row r="360" spans="1:31" s="162" customFormat="1" x14ac:dyDescent="0.25">
      <c r="A360" s="101"/>
      <c r="B360" s="101"/>
      <c r="C360" s="102"/>
      <c r="D360" s="102"/>
      <c r="E360" s="102"/>
      <c r="F360" s="102"/>
      <c r="G360" s="102"/>
      <c r="H360" s="102"/>
      <c r="I360" s="154"/>
      <c r="J360" s="154"/>
      <c r="K360" s="154"/>
      <c r="L360" s="154"/>
      <c r="M360" s="154"/>
      <c r="N360" s="154"/>
      <c r="O360" s="154"/>
      <c r="P360" s="154"/>
      <c r="Q360" s="154"/>
      <c r="R360" s="102"/>
      <c r="S360" s="102"/>
      <c r="T360" s="102"/>
      <c r="U360" s="102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01"/>
    </row>
    <row r="361" spans="1:31" s="162" customFormat="1" x14ac:dyDescent="0.25">
      <c r="A361" s="101"/>
      <c r="B361" s="101"/>
      <c r="C361" s="102"/>
      <c r="D361" s="102"/>
      <c r="E361" s="102"/>
      <c r="F361" s="102"/>
      <c r="G361" s="102"/>
      <c r="H361" s="102"/>
      <c r="I361" s="154"/>
      <c r="J361" s="154"/>
      <c r="K361" s="154"/>
      <c r="L361" s="154"/>
      <c r="M361" s="154"/>
      <c r="N361" s="154"/>
      <c r="O361" s="154"/>
      <c r="P361" s="154"/>
      <c r="Q361" s="154"/>
      <c r="R361" s="102"/>
      <c r="S361" s="102"/>
      <c r="T361" s="102"/>
      <c r="U361" s="102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01"/>
    </row>
    <row r="362" spans="1:31" s="162" customFormat="1" x14ac:dyDescent="0.25">
      <c r="A362" s="101"/>
      <c r="B362" s="101"/>
      <c r="C362" s="102"/>
      <c r="D362" s="102"/>
      <c r="E362" s="102"/>
      <c r="F362" s="102"/>
      <c r="G362" s="102"/>
      <c r="H362" s="102"/>
      <c r="I362" s="154"/>
      <c r="J362" s="154"/>
      <c r="K362" s="154"/>
      <c r="L362" s="154"/>
      <c r="M362" s="154"/>
      <c r="N362" s="154"/>
      <c r="O362" s="154"/>
      <c r="P362" s="154"/>
      <c r="Q362" s="154"/>
      <c r="R362" s="102"/>
      <c r="S362" s="102"/>
      <c r="T362" s="102"/>
      <c r="U362" s="102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01"/>
    </row>
    <row r="363" spans="1:31" s="162" customFormat="1" x14ac:dyDescent="0.25">
      <c r="A363" s="101"/>
      <c r="B363" s="101"/>
      <c r="C363" s="102"/>
      <c r="D363" s="102"/>
      <c r="E363" s="102"/>
      <c r="F363" s="102"/>
      <c r="G363" s="102"/>
      <c r="H363" s="102"/>
      <c r="I363" s="154"/>
      <c r="J363" s="154"/>
      <c r="K363" s="154"/>
      <c r="L363" s="154"/>
      <c r="M363" s="154"/>
      <c r="N363" s="154"/>
      <c r="O363" s="154"/>
      <c r="P363" s="154"/>
      <c r="Q363" s="154"/>
      <c r="R363" s="102"/>
      <c r="S363" s="102"/>
      <c r="T363" s="102"/>
      <c r="U363" s="102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01"/>
    </row>
    <row r="364" spans="1:31" s="162" customFormat="1" x14ac:dyDescent="0.25">
      <c r="A364" s="101"/>
      <c r="B364" s="101"/>
      <c r="C364" s="102"/>
      <c r="D364" s="102"/>
      <c r="E364" s="102"/>
      <c r="F364" s="102"/>
      <c r="G364" s="102"/>
      <c r="H364" s="102"/>
      <c r="I364" s="154"/>
      <c r="J364" s="154"/>
      <c r="K364" s="154"/>
      <c r="L364" s="154"/>
      <c r="M364" s="154"/>
      <c r="N364" s="154"/>
      <c r="O364" s="154"/>
      <c r="P364" s="154"/>
      <c r="Q364" s="154"/>
      <c r="R364" s="102"/>
      <c r="S364" s="102"/>
      <c r="T364" s="102"/>
      <c r="U364" s="102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01"/>
    </row>
    <row r="365" spans="1:31" s="162" customFormat="1" x14ac:dyDescent="0.25">
      <c r="A365" s="101"/>
      <c r="B365" s="101"/>
      <c r="C365" s="102"/>
      <c r="D365" s="102"/>
      <c r="E365" s="102"/>
      <c r="F365" s="102"/>
      <c r="G365" s="102"/>
      <c r="H365" s="102"/>
      <c r="I365" s="154"/>
      <c r="J365" s="154"/>
      <c r="K365" s="154"/>
      <c r="L365" s="154"/>
      <c r="M365" s="154"/>
      <c r="N365" s="154"/>
      <c r="O365" s="154"/>
      <c r="P365" s="154"/>
      <c r="Q365" s="154"/>
      <c r="R365" s="102"/>
      <c r="S365" s="102"/>
      <c r="T365" s="102"/>
      <c r="U365" s="102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01"/>
    </row>
    <row r="366" spans="1:31" s="162" customFormat="1" x14ac:dyDescent="0.25">
      <c r="A366" s="101"/>
      <c r="B366" s="101"/>
      <c r="C366" s="102"/>
      <c r="D366" s="102"/>
      <c r="E366" s="102"/>
      <c r="F366" s="102"/>
      <c r="G366" s="102"/>
      <c r="H366" s="102"/>
      <c r="I366" s="154"/>
      <c r="J366" s="154"/>
      <c r="K366" s="154"/>
      <c r="L366" s="154"/>
      <c r="M366" s="154"/>
      <c r="N366" s="154"/>
      <c r="O366" s="154"/>
      <c r="P366" s="154"/>
      <c r="Q366" s="154"/>
      <c r="R366" s="102"/>
      <c r="S366" s="102"/>
      <c r="T366" s="102"/>
      <c r="U366" s="102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01"/>
    </row>
    <row r="367" spans="1:31" s="162" customFormat="1" x14ac:dyDescent="0.25">
      <c r="A367" s="101"/>
      <c r="B367" s="101"/>
      <c r="C367" s="102"/>
      <c r="D367" s="102"/>
      <c r="E367" s="102"/>
      <c r="F367" s="102"/>
      <c r="G367" s="102"/>
      <c r="H367" s="102"/>
      <c r="I367" s="154"/>
      <c r="J367" s="154"/>
      <c r="K367" s="154"/>
      <c r="L367" s="154"/>
      <c r="M367" s="154"/>
      <c r="N367" s="154"/>
      <c r="O367" s="154"/>
      <c r="P367" s="154"/>
      <c r="Q367" s="154"/>
      <c r="R367" s="102"/>
      <c r="S367" s="102"/>
      <c r="T367" s="102"/>
      <c r="U367" s="102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01"/>
    </row>
    <row r="368" spans="1:31" s="162" customFormat="1" x14ac:dyDescent="0.25">
      <c r="A368" s="101"/>
      <c r="B368" s="101"/>
      <c r="C368" s="102"/>
      <c r="D368" s="102"/>
      <c r="E368" s="102"/>
      <c r="F368" s="102"/>
      <c r="G368" s="102"/>
      <c r="H368" s="102"/>
      <c r="I368" s="154"/>
      <c r="J368" s="154"/>
      <c r="K368" s="154"/>
      <c r="L368" s="154"/>
      <c r="M368" s="154"/>
      <c r="N368" s="154"/>
      <c r="O368" s="154"/>
      <c r="P368" s="154"/>
      <c r="Q368" s="154"/>
      <c r="R368" s="102"/>
      <c r="S368" s="102"/>
      <c r="T368" s="102"/>
      <c r="U368" s="102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01"/>
    </row>
    <row r="369" spans="1:31" s="162" customFormat="1" x14ac:dyDescent="0.25">
      <c r="A369" s="101"/>
      <c r="B369" s="101"/>
      <c r="C369" s="102"/>
      <c r="D369" s="102"/>
      <c r="E369" s="102"/>
      <c r="F369" s="102"/>
      <c r="G369" s="102"/>
      <c r="H369" s="102"/>
      <c r="I369" s="154"/>
      <c r="J369" s="154"/>
      <c r="K369" s="154"/>
      <c r="L369" s="154"/>
      <c r="M369" s="154"/>
      <c r="N369" s="154"/>
      <c r="O369" s="154"/>
      <c r="P369" s="154"/>
      <c r="Q369" s="154"/>
      <c r="R369" s="102"/>
      <c r="S369" s="102"/>
      <c r="T369" s="102"/>
      <c r="U369" s="102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01"/>
    </row>
    <row r="370" spans="1:31" s="162" customFormat="1" x14ac:dyDescent="0.25">
      <c r="A370" s="101"/>
      <c r="B370" s="101"/>
      <c r="C370" s="102"/>
      <c r="D370" s="102"/>
      <c r="E370" s="102"/>
      <c r="F370" s="102"/>
      <c r="G370" s="102"/>
      <c r="H370" s="102"/>
      <c r="I370" s="154"/>
      <c r="J370" s="154"/>
      <c r="K370" s="154"/>
      <c r="L370" s="154"/>
      <c r="M370" s="154"/>
      <c r="N370" s="154"/>
      <c r="O370" s="154"/>
      <c r="P370" s="154"/>
      <c r="Q370" s="154"/>
      <c r="R370" s="102"/>
      <c r="S370" s="102"/>
      <c r="T370" s="102"/>
      <c r="U370" s="102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01"/>
    </row>
    <row r="371" spans="1:31" s="162" customFormat="1" x14ac:dyDescent="0.25">
      <c r="A371" s="101"/>
      <c r="B371" s="101"/>
      <c r="C371" s="102"/>
      <c r="D371" s="102"/>
      <c r="E371" s="102"/>
      <c r="F371" s="102"/>
      <c r="G371" s="102"/>
      <c r="H371" s="102"/>
      <c r="I371" s="154"/>
      <c r="J371" s="154"/>
      <c r="K371" s="154"/>
      <c r="L371" s="154"/>
      <c r="M371" s="154"/>
      <c r="N371" s="154"/>
      <c r="O371" s="154"/>
      <c r="P371" s="154"/>
      <c r="Q371" s="154"/>
      <c r="R371" s="102"/>
      <c r="S371" s="102"/>
      <c r="T371" s="102"/>
      <c r="U371" s="102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01"/>
    </row>
    <row r="372" spans="1:31" s="162" customFormat="1" x14ac:dyDescent="0.25">
      <c r="A372" s="101"/>
      <c r="B372" s="101"/>
      <c r="C372" s="102"/>
      <c r="D372" s="102"/>
      <c r="E372" s="102"/>
      <c r="F372" s="102"/>
      <c r="G372" s="102"/>
      <c r="H372" s="102"/>
      <c r="I372" s="154"/>
      <c r="J372" s="154"/>
      <c r="K372" s="154"/>
      <c r="L372" s="154"/>
      <c r="M372" s="154"/>
      <c r="N372" s="154"/>
      <c r="O372" s="154"/>
      <c r="P372" s="154"/>
      <c r="Q372" s="154"/>
      <c r="R372" s="102"/>
      <c r="S372" s="102"/>
      <c r="T372" s="102"/>
      <c r="U372" s="102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01"/>
    </row>
    <row r="373" spans="1:31" s="162" customFormat="1" x14ac:dyDescent="0.25">
      <c r="A373" s="101"/>
      <c r="B373" s="101"/>
      <c r="C373" s="102"/>
      <c r="D373" s="102"/>
      <c r="E373" s="102"/>
      <c r="F373" s="102"/>
      <c r="G373" s="102"/>
      <c r="H373" s="102"/>
      <c r="I373" s="154"/>
      <c r="J373" s="154"/>
      <c r="K373" s="154"/>
      <c r="L373" s="154"/>
      <c r="M373" s="154"/>
      <c r="N373" s="154"/>
      <c r="O373" s="154"/>
      <c r="P373" s="154"/>
      <c r="Q373" s="154"/>
      <c r="R373" s="102"/>
      <c r="S373" s="102"/>
      <c r="T373" s="102"/>
      <c r="U373" s="102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01"/>
    </row>
    <row r="374" spans="1:31" s="162" customFormat="1" x14ac:dyDescent="0.25">
      <c r="A374" s="101"/>
      <c r="B374" s="101"/>
      <c r="C374" s="102"/>
      <c r="D374" s="102"/>
      <c r="E374" s="102"/>
      <c r="F374" s="102"/>
      <c r="G374" s="102"/>
      <c r="H374" s="102"/>
      <c r="I374" s="154"/>
      <c r="J374" s="154"/>
      <c r="K374" s="154"/>
      <c r="L374" s="154"/>
      <c r="M374" s="154"/>
      <c r="N374" s="154"/>
      <c r="O374" s="154"/>
      <c r="P374" s="154"/>
      <c r="Q374" s="154"/>
      <c r="R374" s="102"/>
      <c r="S374" s="102"/>
      <c r="T374" s="102"/>
      <c r="U374" s="102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01"/>
    </row>
    <row r="375" spans="1:31" s="162" customFormat="1" x14ac:dyDescent="0.25">
      <c r="A375" s="101"/>
      <c r="B375" s="101"/>
      <c r="C375" s="102"/>
      <c r="D375" s="102"/>
      <c r="E375" s="102"/>
      <c r="F375" s="102"/>
      <c r="G375" s="102"/>
      <c r="H375" s="102"/>
      <c r="I375" s="154"/>
      <c r="J375" s="154"/>
      <c r="K375" s="154"/>
      <c r="L375" s="154"/>
      <c r="M375" s="154"/>
      <c r="N375" s="154"/>
      <c r="O375" s="154"/>
      <c r="P375" s="154"/>
      <c r="Q375" s="154"/>
      <c r="R375" s="102"/>
      <c r="S375" s="102"/>
      <c r="T375" s="102"/>
      <c r="U375" s="102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01"/>
    </row>
    <row r="376" spans="1:31" s="162" customFormat="1" x14ac:dyDescent="0.25">
      <c r="A376" s="101"/>
      <c r="B376" s="101"/>
      <c r="C376" s="102"/>
      <c r="D376" s="102"/>
      <c r="E376" s="102"/>
      <c r="F376" s="102"/>
      <c r="G376" s="102"/>
      <c r="H376" s="102"/>
      <c r="I376" s="154"/>
      <c r="J376" s="154"/>
      <c r="K376" s="154"/>
      <c r="L376" s="154"/>
      <c r="M376" s="154"/>
      <c r="N376" s="154"/>
      <c r="O376" s="154"/>
      <c r="P376" s="154"/>
      <c r="Q376" s="154"/>
      <c r="R376" s="102"/>
      <c r="S376" s="102"/>
      <c r="T376" s="102"/>
      <c r="U376" s="102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01"/>
    </row>
    <row r="377" spans="1:31" s="162" customFormat="1" x14ac:dyDescent="0.25">
      <c r="A377" s="101"/>
      <c r="B377" s="101"/>
      <c r="C377" s="102"/>
      <c r="D377" s="102"/>
      <c r="E377" s="102"/>
      <c r="F377" s="102"/>
      <c r="G377" s="102"/>
      <c r="H377" s="102"/>
      <c r="I377" s="154"/>
      <c r="J377" s="154"/>
      <c r="K377" s="154"/>
      <c r="L377" s="154"/>
      <c r="M377" s="154"/>
      <c r="N377" s="154"/>
      <c r="O377" s="154"/>
      <c r="P377" s="154"/>
      <c r="Q377" s="154"/>
      <c r="R377" s="102"/>
      <c r="S377" s="102"/>
      <c r="T377" s="102"/>
      <c r="U377" s="102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01"/>
    </row>
    <row r="378" spans="1:31" s="162" customFormat="1" x14ac:dyDescent="0.25">
      <c r="A378" s="101"/>
      <c r="B378" s="101"/>
      <c r="C378" s="102"/>
      <c r="D378" s="102"/>
      <c r="E378" s="102"/>
      <c r="F378" s="102"/>
      <c r="G378" s="102"/>
      <c r="H378" s="102"/>
      <c r="I378" s="154"/>
      <c r="J378" s="154"/>
      <c r="K378" s="154"/>
      <c r="L378" s="154"/>
      <c r="M378" s="154"/>
      <c r="N378" s="154"/>
      <c r="O378" s="154"/>
      <c r="P378" s="154"/>
      <c r="Q378" s="154"/>
      <c r="R378" s="102"/>
      <c r="S378" s="102"/>
      <c r="T378" s="102"/>
      <c r="U378" s="102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01"/>
    </row>
    <row r="379" spans="1:31" s="162" customFormat="1" x14ac:dyDescent="0.25">
      <c r="A379" s="101"/>
      <c r="B379" s="101"/>
      <c r="C379" s="102"/>
      <c r="D379" s="102"/>
      <c r="E379" s="102"/>
      <c r="F379" s="102"/>
      <c r="G379" s="102"/>
      <c r="H379" s="102"/>
      <c r="I379" s="154"/>
      <c r="J379" s="154"/>
      <c r="K379" s="154"/>
      <c r="L379" s="154"/>
      <c r="M379" s="154"/>
      <c r="N379" s="154"/>
      <c r="O379" s="154"/>
      <c r="P379" s="154"/>
      <c r="Q379" s="154"/>
      <c r="R379" s="102"/>
      <c r="S379" s="102"/>
      <c r="T379" s="102"/>
      <c r="U379" s="102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01"/>
    </row>
    <row r="380" spans="1:31" s="162" customFormat="1" x14ac:dyDescent="0.25">
      <c r="A380" s="101"/>
      <c r="B380" s="101"/>
      <c r="C380" s="102"/>
      <c r="D380" s="102"/>
      <c r="E380" s="102"/>
      <c r="F380" s="102"/>
      <c r="G380" s="102"/>
      <c r="H380" s="102"/>
      <c r="I380" s="154"/>
      <c r="J380" s="154"/>
      <c r="K380" s="154"/>
      <c r="L380" s="154"/>
      <c r="M380" s="154"/>
      <c r="N380" s="154"/>
      <c r="O380" s="154"/>
      <c r="P380" s="154"/>
      <c r="Q380" s="154"/>
      <c r="R380" s="102"/>
      <c r="S380" s="102"/>
      <c r="T380" s="102"/>
      <c r="U380" s="102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01"/>
    </row>
    <row r="381" spans="1:31" s="162" customFormat="1" x14ac:dyDescent="0.25">
      <c r="A381" s="101"/>
      <c r="B381" s="101"/>
      <c r="C381" s="102"/>
      <c r="D381" s="102"/>
      <c r="E381" s="102"/>
      <c r="F381" s="102"/>
      <c r="G381" s="102"/>
      <c r="H381" s="102"/>
      <c r="I381" s="154"/>
      <c r="J381" s="154"/>
      <c r="K381" s="154"/>
      <c r="L381" s="154"/>
      <c r="M381" s="154"/>
      <c r="N381" s="154"/>
      <c r="O381" s="154"/>
      <c r="P381" s="154"/>
      <c r="Q381" s="154"/>
      <c r="R381" s="102"/>
      <c r="S381" s="102"/>
      <c r="T381" s="102"/>
      <c r="U381" s="102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01"/>
    </row>
    <row r="382" spans="1:31" s="162" customFormat="1" x14ac:dyDescent="0.25">
      <c r="A382" s="101"/>
      <c r="B382" s="101"/>
      <c r="C382" s="102"/>
      <c r="D382" s="102"/>
      <c r="E382" s="102"/>
      <c r="F382" s="102"/>
      <c r="G382" s="102"/>
      <c r="H382" s="102"/>
      <c r="I382" s="154"/>
      <c r="J382" s="154"/>
      <c r="K382" s="154"/>
      <c r="L382" s="154"/>
      <c r="M382" s="154"/>
      <c r="N382" s="154"/>
      <c r="O382" s="154"/>
      <c r="P382" s="154"/>
      <c r="Q382" s="154"/>
      <c r="R382" s="102"/>
      <c r="S382" s="102"/>
      <c r="T382" s="102"/>
      <c r="U382" s="102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01"/>
    </row>
    <row r="383" spans="1:31" s="162" customFormat="1" x14ac:dyDescent="0.25">
      <c r="A383" s="101"/>
      <c r="B383" s="101"/>
      <c r="C383" s="102"/>
      <c r="D383" s="102"/>
      <c r="E383" s="102"/>
      <c r="F383" s="102"/>
      <c r="G383" s="102"/>
      <c r="H383" s="102"/>
      <c r="I383" s="154"/>
      <c r="J383" s="154"/>
      <c r="K383" s="154"/>
      <c r="L383" s="154"/>
      <c r="M383" s="154"/>
      <c r="N383" s="154"/>
      <c r="O383" s="154"/>
      <c r="P383" s="154"/>
      <c r="Q383" s="154"/>
      <c r="R383" s="102"/>
      <c r="S383" s="102"/>
      <c r="T383" s="102"/>
      <c r="U383" s="102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01"/>
    </row>
    <row r="384" spans="1:31" s="162" customFormat="1" x14ac:dyDescent="0.25">
      <c r="A384" s="101"/>
      <c r="B384" s="101"/>
      <c r="C384" s="102"/>
      <c r="D384" s="102"/>
      <c r="E384" s="102"/>
      <c r="F384" s="102"/>
      <c r="G384" s="102"/>
      <c r="H384" s="102"/>
      <c r="I384" s="154"/>
      <c r="J384" s="154"/>
      <c r="K384" s="154"/>
      <c r="L384" s="154"/>
      <c r="M384" s="154"/>
      <c r="N384" s="154"/>
      <c r="O384" s="154"/>
      <c r="P384" s="154"/>
      <c r="Q384" s="154"/>
      <c r="R384" s="102"/>
      <c r="S384" s="102"/>
      <c r="T384" s="102"/>
      <c r="U384" s="102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01"/>
    </row>
    <row r="385" spans="1:31" s="162" customFormat="1" x14ac:dyDescent="0.25">
      <c r="A385" s="101"/>
      <c r="B385" s="101"/>
      <c r="C385" s="102"/>
      <c r="D385" s="102"/>
      <c r="E385" s="102"/>
      <c r="F385" s="102"/>
      <c r="G385" s="102"/>
      <c r="H385" s="102"/>
      <c r="I385" s="154"/>
      <c r="J385" s="154"/>
      <c r="K385" s="154"/>
      <c r="L385" s="154"/>
      <c r="M385" s="154"/>
      <c r="N385" s="154"/>
      <c r="O385" s="154"/>
      <c r="P385" s="154"/>
      <c r="Q385" s="154"/>
      <c r="R385" s="102"/>
      <c r="S385" s="102"/>
      <c r="T385" s="102"/>
      <c r="U385" s="102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01"/>
    </row>
    <row r="386" spans="1:31" s="162" customFormat="1" x14ac:dyDescent="0.25">
      <c r="A386" s="101"/>
      <c r="B386" s="101"/>
      <c r="C386" s="102"/>
      <c r="D386" s="102"/>
      <c r="E386" s="102"/>
      <c r="F386" s="102"/>
      <c r="G386" s="102"/>
      <c r="H386" s="102"/>
      <c r="I386" s="154"/>
      <c r="J386" s="154"/>
      <c r="K386" s="154"/>
      <c r="L386" s="154"/>
      <c r="M386" s="154"/>
      <c r="N386" s="154"/>
      <c r="O386" s="154"/>
      <c r="P386" s="154"/>
      <c r="Q386" s="154"/>
      <c r="R386" s="102"/>
      <c r="S386" s="102"/>
      <c r="T386" s="102"/>
      <c r="U386" s="102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01"/>
    </row>
    <row r="387" spans="1:31" s="162" customFormat="1" x14ac:dyDescent="0.25">
      <c r="A387" s="101"/>
      <c r="B387" s="101"/>
      <c r="C387" s="102"/>
      <c r="D387" s="102"/>
      <c r="E387" s="102"/>
      <c r="F387" s="102"/>
      <c r="G387" s="102"/>
      <c r="H387" s="102"/>
      <c r="I387" s="154"/>
      <c r="J387" s="154"/>
      <c r="K387" s="154"/>
      <c r="L387" s="154"/>
      <c r="M387" s="154"/>
      <c r="N387" s="154"/>
      <c r="O387" s="154"/>
      <c r="P387" s="154"/>
      <c r="Q387" s="154"/>
      <c r="R387" s="102"/>
      <c r="S387" s="102"/>
      <c r="T387" s="102"/>
      <c r="U387" s="102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01"/>
    </row>
    <row r="388" spans="1:31" s="162" customFormat="1" x14ac:dyDescent="0.25">
      <c r="A388" s="101"/>
      <c r="B388" s="101"/>
      <c r="C388" s="102"/>
      <c r="D388" s="102"/>
      <c r="E388" s="102"/>
      <c r="F388" s="102"/>
      <c r="G388" s="102"/>
      <c r="H388" s="102"/>
      <c r="I388" s="154"/>
      <c r="J388" s="154"/>
      <c r="K388" s="154"/>
      <c r="L388" s="154"/>
      <c r="M388" s="154"/>
      <c r="N388" s="154"/>
      <c r="O388" s="154"/>
      <c r="P388" s="154"/>
      <c r="Q388" s="154"/>
      <c r="R388" s="102"/>
      <c r="S388" s="102"/>
      <c r="T388" s="102"/>
      <c r="U388" s="102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01"/>
    </row>
    <row r="389" spans="1:31" s="162" customFormat="1" x14ac:dyDescent="0.25">
      <c r="A389" s="101"/>
      <c r="B389" s="101"/>
      <c r="C389" s="102"/>
      <c r="D389" s="102"/>
      <c r="E389" s="102"/>
      <c r="F389" s="102"/>
      <c r="G389" s="102"/>
      <c r="H389" s="102"/>
      <c r="I389" s="154"/>
      <c r="J389" s="154"/>
      <c r="K389" s="154"/>
      <c r="L389" s="154"/>
      <c r="M389" s="154"/>
      <c r="N389" s="154"/>
      <c r="O389" s="154"/>
      <c r="P389" s="154"/>
      <c r="Q389" s="154"/>
      <c r="R389" s="102"/>
      <c r="S389" s="102"/>
      <c r="T389" s="102"/>
      <c r="U389" s="102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01"/>
    </row>
    <row r="390" spans="1:31" s="162" customFormat="1" x14ac:dyDescent="0.25">
      <c r="A390" s="101"/>
      <c r="B390" s="101"/>
      <c r="C390" s="102"/>
      <c r="D390" s="102"/>
      <c r="E390" s="102"/>
      <c r="F390" s="102"/>
      <c r="G390" s="102"/>
      <c r="H390" s="102"/>
      <c r="I390" s="154"/>
      <c r="J390" s="154"/>
      <c r="K390" s="154"/>
      <c r="L390" s="154"/>
      <c r="M390" s="154"/>
      <c r="N390" s="154"/>
      <c r="O390" s="154"/>
      <c r="P390" s="154"/>
      <c r="Q390" s="154"/>
      <c r="R390" s="102"/>
      <c r="S390" s="102"/>
      <c r="T390" s="102"/>
      <c r="U390" s="102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01"/>
    </row>
    <row r="391" spans="1:31" s="162" customFormat="1" x14ac:dyDescent="0.25">
      <c r="A391" s="101"/>
      <c r="B391" s="101"/>
      <c r="C391" s="102"/>
      <c r="D391" s="102"/>
      <c r="E391" s="102"/>
      <c r="F391" s="102"/>
      <c r="G391" s="102"/>
      <c r="H391" s="102"/>
      <c r="I391" s="154"/>
      <c r="J391" s="154"/>
      <c r="K391" s="154"/>
      <c r="L391" s="154"/>
      <c r="M391" s="154"/>
      <c r="N391" s="154"/>
      <c r="O391" s="154"/>
      <c r="P391" s="154"/>
      <c r="Q391" s="154"/>
      <c r="R391" s="102"/>
      <c r="S391" s="102"/>
      <c r="T391" s="102"/>
      <c r="U391" s="102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01"/>
    </row>
    <row r="392" spans="1:31" s="162" customFormat="1" x14ac:dyDescent="0.25">
      <c r="A392" s="101"/>
      <c r="B392" s="101"/>
      <c r="C392" s="102"/>
      <c r="D392" s="102"/>
      <c r="E392" s="102"/>
      <c r="F392" s="102"/>
      <c r="G392" s="102"/>
      <c r="H392" s="102"/>
      <c r="I392" s="154"/>
      <c r="J392" s="154"/>
      <c r="K392" s="154"/>
      <c r="L392" s="154"/>
      <c r="M392" s="154"/>
      <c r="N392" s="154"/>
      <c r="O392" s="154"/>
      <c r="P392" s="154"/>
      <c r="Q392" s="154"/>
      <c r="R392" s="102"/>
      <c r="S392" s="102"/>
      <c r="T392" s="102"/>
      <c r="U392" s="102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01"/>
    </row>
    <row r="393" spans="1:31" s="162" customFormat="1" x14ac:dyDescent="0.25">
      <c r="A393" s="101"/>
      <c r="B393" s="101"/>
      <c r="C393" s="102"/>
      <c r="D393" s="102"/>
      <c r="E393" s="102"/>
      <c r="F393" s="102"/>
      <c r="G393" s="102"/>
      <c r="H393" s="102"/>
      <c r="I393" s="154"/>
      <c r="J393" s="154"/>
      <c r="K393" s="154"/>
      <c r="L393" s="154"/>
      <c r="M393" s="154"/>
      <c r="N393" s="154"/>
      <c r="O393" s="154"/>
      <c r="P393" s="154"/>
      <c r="Q393" s="154"/>
      <c r="R393" s="102"/>
      <c r="S393" s="102"/>
      <c r="T393" s="102"/>
      <c r="U393" s="102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01"/>
    </row>
    <row r="394" spans="1:31" s="162" customFormat="1" x14ac:dyDescent="0.25">
      <c r="A394" s="101"/>
      <c r="B394" s="101"/>
      <c r="C394" s="102"/>
      <c r="D394" s="102"/>
      <c r="E394" s="102"/>
      <c r="F394" s="102"/>
      <c r="G394" s="102"/>
      <c r="H394" s="102"/>
      <c r="I394" s="154"/>
      <c r="J394" s="154"/>
      <c r="K394" s="154"/>
      <c r="L394" s="154"/>
      <c r="M394" s="154"/>
      <c r="N394" s="154"/>
      <c r="O394" s="154"/>
      <c r="P394" s="154"/>
      <c r="Q394" s="154"/>
      <c r="R394" s="102"/>
      <c r="S394" s="102"/>
      <c r="T394" s="102"/>
      <c r="U394" s="102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01"/>
    </row>
    <row r="395" spans="1:31" s="162" customFormat="1" x14ac:dyDescent="0.25">
      <c r="A395" s="101"/>
      <c r="B395" s="101"/>
      <c r="C395" s="102"/>
      <c r="D395" s="102"/>
      <c r="E395" s="102"/>
      <c r="F395" s="102"/>
      <c r="G395" s="102"/>
      <c r="H395" s="102"/>
      <c r="I395" s="154"/>
      <c r="J395" s="154"/>
      <c r="K395" s="154"/>
      <c r="L395" s="154"/>
      <c r="M395" s="154"/>
      <c r="N395" s="154"/>
      <c r="O395" s="154"/>
      <c r="P395" s="154"/>
      <c r="Q395" s="154"/>
      <c r="R395" s="102"/>
      <c r="S395" s="102"/>
      <c r="T395" s="102"/>
      <c r="U395" s="102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01"/>
    </row>
    <row r="396" spans="1:31" s="162" customFormat="1" x14ac:dyDescent="0.25">
      <c r="A396" s="101"/>
      <c r="B396" s="101"/>
      <c r="C396" s="102"/>
      <c r="D396" s="102"/>
      <c r="E396" s="102"/>
      <c r="F396" s="102"/>
      <c r="G396" s="102"/>
      <c r="H396" s="102"/>
      <c r="I396" s="154"/>
      <c r="J396" s="154"/>
      <c r="K396" s="154"/>
      <c r="L396" s="154"/>
      <c r="M396" s="154"/>
      <c r="N396" s="154"/>
      <c r="O396" s="154"/>
      <c r="P396" s="154"/>
      <c r="Q396" s="154"/>
      <c r="R396" s="102"/>
      <c r="S396" s="102"/>
      <c r="T396" s="102"/>
      <c r="U396" s="102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01"/>
    </row>
    <row r="397" spans="1:31" s="162" customFormat="1" x14ac:dyDescent="0.25">
      <c r="A397" s="101"/>
      <c r="B397" s="101"/>
      <c r="C397" s="102"/>
      <c r="D397" s="102"/>
      <c r="E397" s="102"/>
      <c r="F397" s="102"/>
      <c r="G397" s="102"/>
      <c r="H397" s="102"/>
      <c r="I397" s="154"/>
      <c r="J397" s="154"/>
      <c r="K397" s="154"/>
      <c r="L397" s="154"/>
      <c r="M397" s="154"/>
      <c r="N397" s="154"/>
      <c r="O397" s="154"/>
      <c r="P397" s="154"/>
      <c r="Q397" s="154"/>
      <c r="R397" s="102"/>
      <c r="S397" s="102"/>
      <c r="T397" s="102"/>
      <c r="U397" s="102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01"/>
    </row>
    <row r="398" spans="1:31" s="162" customFormat="1" x14ac:dyDescent="0.25">
      <c r="A398" s="101"/>
      <c r="B398" s="101"/>
      <c r="C398" s="102"/>
      <c r="D398" s="102"/>
      <c r="E398" s="102"/>
      <c r="F398" s="102"/>
      <c r="G398" s="102"/>
      <c r="H398" s="102"/>
      <c r="I398" s="154"/>
      <c r="J398" s="154"/>
      <c r="K398" s="154"/>
      <c r="L398" s="154"/>
      <c r="M398" s="154"/>
      <c r="N398" s="154"/>
      <c r="O398" s="154"/>
      <c r="P398" s="154"/>
      <c r="Q398" s="154"/>
      <c r="R398" s="102"/>
      <c r="S398" s="102"/>
      <c r="T398" s="102"/>
      <c r="U398" s="102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01"/>
    </row>
    <row r="399" spans="1:31" s="162" customFormat="1" x14ac:dyDescent="0.25">
      <c r="A399" s="101"/>
      <c r="B399" s="101"/>
      <c r="C399" s="102"/>
      <c r="D399" s="102"/>
      <c r="E399" s="102"/>
      <c r="F399" s="102"/>
      <c r="G399" s="102"/>
      <c r="H399" s="102"/>
      <c r="I399" s="154"/>
      <c r="J399" s="154"/>
      <c r="K399" s="154"/>
      <c r="L399" s="154"/>
      <c r="M399" s="154"/>
      <c r="N399" s="154"/>
      <c r="O399" s="154"/>
      <c r="P399" s="154"/>
      <c r="Q399" s="154"/>
      <c r="R399" s="102"/>
      <c r="S399" s="102"/>
      <c r="T399" s="102"/>
      <c r="U399" s="102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01"/>
    </row>
    <row r="400" spans="1:31" s="162" customFormat="1" x14ac:dyDescent="0.25">
      <c r="A400" s="101"/>
      <c r="B400" s="101"/>
      <c r="C400" s="102"/>
      <c r="D400" s="102"/>
      <c r="E400" s="102"/>
      <c r="F400" s="102"/>
      <c r="G400" s="102"/>
      <c r="H400" s="102"/>
      <c r="I400" s="154"/>
      <c r="J400" s="154"/>
      <c r="K400" s="154"/>
      <c r="L400" s="154"/>
      <c r="M400" s="154"/>
      <c r="N400" s="154"/>
      <c r="O400" s="154"/>
      <c r="P400" s="154"/>
      <c r="Q400" s="154"/>
      <c r="R400" s="102"/>
      <c r="S400" s="102"/>
      <c r="T400" s="102"/>
      <c r="U400" s="102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01"/>
    </row>
    <row r="401" spans="1:31" s="162" customFormat="1" x14ac:dyDescent="0.25">
      <c r="A401" s="101"/>
      <c r="B401" s="101"/>
      <c r="C401" s="102"/>
      <c r="D401" s="102"/>
      <c r="E401" s="102"/>
      <c r="F401" s="102"/>
      <c r="G401" s="102"/>
      <c r="H401" s="102"/>
      <c r="I401" s="154"/>
      <c r="J401" s="154"/>
      <c r="K401" s="154"/>
      <c r="L401" s="154"/>
      <c r="M401" s="154"/>
      <c r="N401" s="154"/>
      <c r="O401" s="154"/>
      <c r="P401" s="154"/>
      <c r="Q401" s="154"/>
      <c r="R401" s="102"/>
      <c r="S401" s="102"/>
      <c r="T401" s="102"/>
      <c r="U401" s="102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01"/>
    </row>
    <row r="402" spans="1:31" s="162" customFormat="1" x14ac:dyDescent="0.25">
      <c r="A402" s="101"/>
      <c r="B402" s="101"/>
      <c r="C402" s="102"/>
      <c r="D402" s="102"/>
      <c r="E402" s="102"/>
      <c r="F402" s="102"/>
      <c r="G402" s="102"/>
      <c r="H402" s="102"/>
      <c r="I402" s="154"/>
      <c r="J402" s="154"/>
      <c r="K402" s="154"/>
      <c r="L402" s="154"/>
      <c r="M402" s="154"/>
      <c r="N402" s="154"/>
      <c r="O402" s="154"/>
      <c r="P402" s="154"/>
      <c r="Q402" s="154"/>
      <c r="R402" s="102"/>
      <c r="S402" s="102"/>
      <c r="T402" s="102"/>
      <c r="U402" s="102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01"/>
    </row>
    <row r="403" spans="1:31" s="162" customFormat="1" x14ac:dyDescent="0.25">
      <c r="A403" s="101"/>
      <c r="B403" s="101"/>
      <c r="C403" s="102"/>
      <c r="D403" s="102"/>
      <c r="E403" s="102"/>
      <c r="F403" s="102"/>
      <c r="G403" s="102"/>
      <c r="H403" s="102"/>
      <c r="I403" s="154"/>
      <c r="J403" s="154"/>
      <c r="K403" s="154"/>
      <c r="L403" s="154"/>
      <c r="M403" s="154"/>
      <c r="N403" s="154"/>
      <c r="O403" s="154"/>
      <c r="P403" s="154"/>
      <c r="Q403" s="154"/>
      <c r="R403" s="102"/>
      <c r="S403" s="102"/>
      <c r="T403" s="102"/>
      <c r="U403" s="102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01"/>
    </row>
    <row r="404" spans="1:31" s="162" customFormat="1" x14ac:dyDescent="0.25">
      <c r="A404" s="101"/>
      <c r="B404" s="101"/>
      <c r="C404" s="102"/>
      <c r="D404" s="102"/>
      <c r="E404" s="102"/>
      <c r="F404" s="102"/>
      <c r="G404" s="102"/>
      <c r="H404" s="102"/>
      <c r="I404" s="154"/>
      <c r="J404" s="154"/>
      <c r="K404" s="154"/>
      <c r="L404" s="154"/>
      <c r="M404" s="154"/>
      <c r="N404" s="154"/>
      <c r="O404" s="154"/>
      <c r="P404" s="154"/>
      <c r="Q404" s="154"/>
      <c r="R404" s="102"/>
      <c r="S404" s="102"/>
      <c r="T404" s="102"/>
      <c r="U404" s="102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01"/>
    </row>
    <row r="405" spans="1:31" s="162" customFormat="1" x14ac:dyDescent="0.25">
      <c r="A405" s="101"/>
      <c r="B405" s="101"/>
      <c r="C405" s="102"/>
      <c r="D405" s="102"/>
      <c r="E405" s="102"/>
      <c r="F405" s="102"/>
      <c r="G405" s="102"/>
      <c r="H405" s="102"/>
      <c r="I405" s="154"/>
      <c r="J405" s="154"/>
      <c r="K405" s="154"/>
      <c r="L405" s="154"/>
      <c r="M405" s="154"/>
      <c r="N405" s="154"/>
      <c r="O405" s="154"/>
      <c r="P405" s="154"/>
      <c r="Q405" s="154"/>
      <c r="R405" s="102"/>
      <c r="S405" s="102"/>
      <c r="T405" s="102"/>
      <c r="U405" s="102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01"/>
    </row>
    <row r="406" spans="1:31" s="162" customFormat="1" x14ac:dyDescent="0.25">
      <c r="A406" s="101"/>
      <c r="B406" s="101"/>
      <c r="C406" s="102"/>
      <c r="D406" s="102"/>
      <c r="E406" s="102"/>
      <c r="F406" s="102"/>
      <c r="G406" s="102"/>
      <c r="H406" s="102"/>
      <c r="I406" s="154"/>
      <c r="J406" s="154"/>
      <c r="K406" s="154"/>
      <c r="L406" s="154"/>
      <c r="M406" s="154"/>
      <c r="N406" s="154"/>
      <c r="O406" s="154"/>
      <c r="P406" s="154"/>
      <c r="Q406" s="154"/>
      <c r="R406" s="102"/>
      <c r="S406" s="102"/>
      <c r="T406" s="102"/>
      <c r="U406" s="102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01"/>
    </row>
    <row r="407" spans="1:31" s="162" customFormat="1" x14ac:dyDescent="0.25">
      <c r="A407" s="101"/>
      <c r="B407" s="101"/>
      <c r="C407" s="102"/>
      <c r="D407" s="102"/>
      <c r="E407" s="102"/>
      <c r="F407" s="102"/>
      <c r="G407" s="102"/>
      <c r="H407" s="102"/>
      <c r="I407" s="154"/>
      <c r="J407" s="154"/>
      <c r="K407" s="154"/>
      <c r="L407" s="154"/>
      <c r="M407" s="154"/>
      <c r="N407" s="154"/>
      <c r="O407" s="154"/>
      <c r="P407" s="154"/>
      <c r="Q407" s="154"/>
      <c r="R407" s="102"/>
      <c r="S407" s="102"/>
      <c r="T407" s="102"/>
      <c r="U407" s="102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01"/>
    </row>
    <row r="408" spans="1:31" s="162" customFormat="1" x14ac:dyDescent="0.25">
      <c r="A408" s="101"/>
      <c r="B408" s="101"/>
      <c r="C408" s="102"/>
      <c r="D408" s="102"/>
      <c r="E408" s="102"/>
      <c r="F408" s="102"/>
      <c r="G408" s="102"/>
      <c r="H408" s="102"/>
      <c r="I408" s="154"/>
      <c r="J408" s="154"/>
      <c r="K408" s="154"/>
      <c r="L408" s="154"/>
      <c r="M408" s="154"/>
      <c r="N408" s="154"/>
      <c r="O408" s="154"/>
      <c r="P408" s="154"/>
      <c r="Q408" s="154"/>
      <c r="R408" s="102"/>
      <c r="S408" s="102"/>
      <c r="T408" s="102"/>
      <c r="U408" s="102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01"/>
    </row>
    <row r="409" spans="1:31" s="162" customFormat="1" x14ac:dyDescent="0.25">
      <c r="A409" s="101"/>
      <c r="B409" s="101"/>
      <c r="C409" s="102"/>
      <c r="D409" s="102"/>
      <c r="E409" s="102"/>
      <c r="F409" s="102"/>
      <c r="G409" s="102"/>
      <c r="H409" s="102"/>
      <c r="I409" s="154"/>
      <c r="J409" s="154"/>
      <c r="K409" s="154"/>
      <c r="L409" s="154"/>
      <c r="M409" s="154"/>
      <c r="N409" s="154"/>
      <c r="O409" s="154"/>
      <c r="P409" s="154"/>
      <c r="Q409" s="154"/>
      <c r="R409" s="102"/>
      <c r="S409" s="102"/>
      <c r="T409" s="102"/>
      <c r="U409" s="102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01"/>
    </row>
    <row r="410" spans="1:31" s="162" customFormat="1" x14ac:dyDescent="0.25">
      <c r="A410" s="101"/>
      <c r="B410" s="101"/>
      <c r="C410" s="102"/>
      <c r="D410" s="102"/>
      <c r="E410" s="102"/>
      <c r="F410" s="102"/>
      <c r="G410" s="102"/>
      <c r="H410" s="102"/>
      <c r="I410" s="154"/>
      <c r="J410" s="154"/>
      <c r="K410" s="154"/>
      <c r="L410" s="154"/>
      <c r="M410" s="154"/>
      <c r="N410" s="154"/>
      <c r="O410" s="154"/>
      <c r="P410" s="154"/>
      <c r="Q410" s="154"/>
      <c r="R410" s="102"/>
      <c r="S410" s="102"/>
      <c r="T410" s="102"/>
      <c r="U410" s="102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01"/>
    </row>
    <row r="411" spans="1:31" s="162" customFormat="1" x14ac:dyDescent="0.25">
      <c r="A411" s="101"/>
      <c r="B411" s="101"/>
      <c r="C411" s="102"/>
      <c r="D411" s="102"/>
      <c r="E411" s="102"/>
      <c r="F411" s="102"/>
      <c r="G411" s="102"/>
      <c r="H411" s="102"/>
      <c r="I411" s="154"/>
      <c r="J411" s="154"/>
      <c r="K411" s="154"/>
      <c r="L411" s="154"/>
      <c r="M411" s="154"/>
      <c r="N411" s="154"/>
      <c r="O411" s="154"/>
      <c r="P411" s="154"/>
      <c r="Q411" s="154"/>
      <c r="R411" s="102"/>
      <c r="S411" s="102"/>
      <c r="T411" s="102"/>
      <c r="U411" s="102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01"/>
    </row>
    <row r="412" spans="1:31" s="162" customFormat="1" x14ac:dyDescent="0.25">
      <c r="A412" s="101"/>
      <c r="B412" s="101"/>
      <c r="C412" s="102"/>
      <c r="D412" s="102"/>
      <c r="E412" s="102"/>
      <c r="F412" s="102"/>
      <c r="G412" s="102"/>
      <c r="H412" s="102"/>
      <c r="I412" s="154"/>
      <c r="J412" s="154"/>
      <c r="K412" s="154"/>
      <c r="L412" s="154"/>
      <c r="M412" s="154"/>
      <c r="N412" s="154"/>
      <c r="O412" s="154"/>
      <c r="P412" s="154"/>
      <c r="Q412" s="154"/>
      <c r="R412" s="102"/>
      <c r="S412" s="102"/>
      <c r="T412" s="102"/>
      <c r="U412" s="102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01"/>
    </row>
    <row r="413" spans="1:31" s="162" customFormat="1" x14ac:dyDescent="0.25">
      <c r="A413" s="101"/>
      <c r="B413" s="101"/>
      <c r="C413" s="102"/>
      <c r="D413" s="102"/>
      <c r="E413" s="102"/>
      <c r="F413" s="102"/>
      <c r="G413" s="102"/>
      <c r="H413" s="102"/>
      <c r="I413" s="154"/>
      <c r="J413" s="154"/>
      <c r="K413" s="154"/>
      <c r="L413" s="154"/>
      <c r="M413" s="154"/>
      <c r="N413" s="154"/>
      <c r="O413" s="154"/>
      <c r="P413" s="154"/>
      <c r="Q413" s="154"/>
      <c r="R413" s="102"/>
      <c r="S413" s="102"/>
      <c r="T413" s="102"/>
      <c r="U413" s="102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01"/>
    </row>
    <row r="414" spans="1:31" s="162" customFormat="1" x14ac:dyDescent="0.25">
      <c r="A414" s="101"/>
      <c r="B414" s="101"/>
      <c r="C414" s="102"/>
      <c r="D414" s="102"/>
      <c r="E414" s="102"/>
      <c r="F414" s="102"/>
      <c r="G414" s="102"/>
      <c r="H414" s="102"/>
      <c r="I414" s="154"/>
      <c r="J414" s="154"/>
      <c r="K414" s="154"/>
      <c r="L414" s="154"/>
      <c r="M414" s="154"/>
      <c r="N414" s="154"/>
      <c r="O414" s="154"/>
      <c r="P414" s="154"/>
      <c r="Q414" s="154"/>
      <c r="R414" s="102"/>
      <c r="S414" s="102"/>
      <c r="T414" s="102"/>
      <c r="U414" s="102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01"/>
    </row>
    <row r="415" spans="1:31" s="162" customFormat="1" x14ac:dyDescent="0.25">
      <c r="A415" s="101"/>
      <c r="B415" s="101"/>
      <c r="C415" s="102"/>
      <c r="D415" s="102"/>
      <c r="E415" s="102"/>
      <c r="F415" s="102"/>
      <c r="G415" s="102"/>
      <c r="H415" s="102"/>
      <c r="I415" s="154"/>
      <c r="J415" s="154"/>
      <c r="K415" s="154"/>
      <c r="L415" s="154"/>
      <c r="M415" s="154"/>
      <c r="N415" s="154"/>
      <c r="O415" s="154"/>
      <c r="P415" s="154"/>
      <c r="Q415" s="154"/>
      <c r="R415" s="102"/>
      <c r="S415" s="102"/>
      <c r="T415" s="102"/>
      <c r="U415" s="102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01"/>
    </row>
    <row r="416" spans="1:31" s="162" customFormat="1" x14ac:dyDescent="0.25">
      <c r="A416" s="101"/>
      <c r="B416" s="101"/>
      <c r="C416" s="102"/>
      <c r="D416" s="102"/>
      <c r="E416" s="102"/>
      <c r="F416" s="102"/>
      <c r="G416" s="102"/>
      <c r="H416" s="102"/>
      <c r="I416" s="154"/>
      <c r="J416" s="154"/>
      <c r="K416" s="154"/>
      <c r="L416" s="154"/>
      <c r="M416" s="154"/>
      <c r="N416" s="154"/>
      <c r="O416" s="154"/>
      <c r="P416" s="154"/>
      <c r="Q416" s="154"/>
      <c r="R416" s="102"/>
      <c r="S416" s="102"/>
      <c r="T416" s="102"/>
      <c r="U416" s="102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01"/>
    </row>
    <row r="417" spans="1:31" s="162" customFormat="1" x14ac:dyDescent="0.25">
      <c r="A417" s="101"/>
      <c r="B417" s="101"/>
      <c r="C417" s="102"/>
      <c r="D417" s="102"/>
      <c r="E417" s="102"/>
      <c r="F417" s="102"/>
      <c r="G417" s="102"/>
      <c r="H417" s="102"/>
      <c r="I417" s="154"/>
      <c r="J417" s="154"/>
      <c r="K417" s="154"/>
      <c r="L417" s="154"/>
      <c r="M417" s="154"/>
      <c r="N417" s="154"/>
      <c r="O417" s="154"/>
      <c r="P417" s="154"/>
      <c r="Q417" s="154"/>
      <c r="R417" s="102"/>
      <c r="S417" s="102"/>
      <c r="T417" s="102"/>
      <c r="U417" s="102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01"/>
    </row>
    <row r="418" spans="1:31" s="162" customFormat="1" x14ac:dyDescent="0.25">
      <c r="A418" s="101"/>
      <c r="B418" s="101"/>
      <c r="C418" s="102"/>
      <c r="D418" s="102"/>
      <c r="E418" s="102"/>
      <c r="F418" s="102"/>
      <c r="G418" s="102"/>
      <c r="H418" s="102"/>
      <c r="I418" s="154"/>
      <c r="J418" s="154"/>
      <c r="K418" s="154"/>
      <c r="L418" s="154"/>
      <c r="M418" s="154"/>
      <c r="N418" s="154"/>
      <c r="O418" s="154"/>
      <c r="P418" s="154"/>
      <c r="Q418" s="154"/>
      <c r="R418" s="102"/>
      <c r="S418" s="102"/>
      <c r="T418" s="102"/>
      <c r="U418" s="102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01"/>
    </row>
    <row r="419" spans="1:31" s="162" customFormat="1" x14ac:dyDescent="0.25">
      <c r="A419" s="101"/>
      <c r="B419" s="101"/>
      <c r="C419" s="102"/>
      <c r="D419" s="102"/>
      <c r="E419" s="102"/>
      <c r="F419" s="102"/>
      <c r="G419" s="102"/>
      <c r="H419" s="102"/>
      <c r="I419" s="154"/>
      <c r="J419" s="154"/>
      <c r="K419" s="154"/>
      <c r="L419" s="154"/>
      <c r="M419" s="154"/>
      <c r="N419" s="154"/>
      <c r="O419" s="154"/>
      <c r="P419" s="154"/>
      <c r="Q419" s="154"/>
      <c r="R419" s="102"/>
      <c r="S419" s="102"/>
      <c r="T419" s="102"/>
      <c r="U419" s="102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01"/>
    </row>
    <row r="420" spans="1:31" s="162" customFormat="1" x14ac:dyDescent="0.25">
      <c r="A420" s="101"/>
      <c r="B420" s="101"/>
      <c r="C420" s="102"/>
      <c r="D420" s="102"/>
      <c r="E420" s="102"/>
      <c r="F420" s="102"/>
      <c r="G420" s="102"/>
      <c r="H420" s="102"/>
      <c r="I420" s="154"/>
      <c r="J420" s="154"/>
      <c r="K420" s="154"/>
      <c r="L420" s="154"/>
      <c r="M420" s="154"/>
      <c r="N420" s="154"/>
      <c r="O420" s="154"/>
      <c r="P420" s="154"/>
      <c r="Q420" s="154"/>
      <c r="R420" s="102"/>
      <c r="S420" s="102"/>
      <c r="T420" s="102"/>
      <c r="U420" s="102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01"/>
    </row>
    <row r="421" spans="1:31" s="162" customFormat="1" x14ac:dyDescent="0.25">
      <c r="A421" s="101"/>
      <c r="B421" s="101"/>
      <c r="C421" s="102"/>
      <c r="D421" s="102"/>
      <c r="E421" s="102"/>
      <c r="F421" s="102"/>
      <c r="G421" s="102"/>
      <c r="H421" s="102"/>
      <c r="I421" s="154"/>
      <c r="J421" s="154"/>
      <c r="K421" s="154"/>
      <c r="L421" s="154"/>
      <c r="M421" s="154"/>
      <c r="N421" s="154"/>
      <c r="O421" s="154"/>
      <c r="P421" s="154"/>
      <c r="Q421" s="154"/>
      <c r="R421" s="102"/>
      <c r="S421" s="102"/>
      <c r="T421" s="102"/>
      <c r="U421" s="102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01"/>
    </row>
    <row r="422" spans="1:31" s="162" customFormat="1" x14ac:dyDescent="0.25">
      <c r="A422" s="101"/>
      <c r="B422" s="101"/>
      <c r="C422" s="102"/>
      <c r="D422" s="102"/>
      <c r="E422" s="102"/>
      <c r="F422" s="102"/>
      <c r="G422" s="102"/>
      <c r="H422" s="102"/>
      <c r="I422" s="154"/>
      <c r="J422" s="154"/>
      <c r="K422" s="154"/>
      <c r="L422" s="154"/>
      <c r="M422" s="154"/>
      <c r="N422" s="154"/>
      <c r="O422" s="154"/>
      <c r="P422" s="154"/>
      <c r="Q422" s="154"/>
      <c r="R422" s="102"/>
      <c r="S422" s="102"/>
      <c r="T422" s="102"/>
      <c r="U422" s="102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01"/>
    </row>
    <row r="423" spans="1:31" s="162" customFormat="1" x14ac:dyDescent="0.25">
      <c r="A423" s="101"/>
      <c r="B423" s="101"/>
      <c r="C423" s="102"/>
      <c r="D423" s="102"/>
      <c r="E423" s="102"/>
      <c r="F423" s="102"/>
      <c r="G423" s="102"/>
      <c r="H423" s="102"/>
      <c r="I423" s="154"/>
      <c r="J423" s="154"/>
      <c r="K423" s="154"/>
      <c r="L423" s="154"/>
      <c r="M423" s="154"/>
      <c r="N423" s="154"/>
      <c r="O423" s="154"/>
      <c r="P423" s="154"/>
      <c r="Q423" s="154"/>
      <c r="R423" s="102"/>
      <c r="S423" s="102"/>
      <c r="T423" s="102"/>
      <c r="U423" s="102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01"/>
    </row>
    <row r="424" spans="1:31" s="162" customFormat="1" x14ac:dyDescent="0.25">
      <c r="A424" s="101"/>
      <c r="B424" s="101"/>
      <c r="C424" s="102"/>
      <c r="D424" s="102"/>
      <c r="E424" s="102"/>
      <c r="F424" s="102"/>
      <c r="G424" s="102"/>
      <c r="H424" s="102"/>
      <c r="I424" s="154"/>
      <c r="J424" s="154"/>
      <c r="K424" s="154"/>
      <c r="L424" s="154"/>
      <c r="M424" s="154"/>
      <c r="N424" s="154"/>
      <c r="O424" s="154"/>
      <c r="P424" s="154"/>
      <c r="Q424" s="154"/>
      <c r="R424" s="102"/>
      <c r="S424" s="102"/>
      <c r="T424" s="102"/>
      <c r="U424" s="102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01"/>
    </row>
    <row r="425" spans="1:31" s="162" customFormat="1" x14ac:dyDescent="0.25">
      <c r="A425" s="101"/>
      <c r="B425" s="101"/>
      <c r="C425" s="102"/>
      <c r="D425" s="102"/>
      <c r="E425" s="102"/>
      <c r="F425" s="102"/>
      <c r="G425" s="102"/>
      <c r="H425" s="102"/>
      <c r="I425" s="154"/>
      <c r="J425" s="154"/>
      <c r="K425" s="154"/>
      <c r="L425" s="154"/>
      <c r="M425" s="154"/>
      <c r="N425" s="154"/>
      <c r="O425" s="154"/>
      <c r="P425" s="154"/>
      <c r="Q425" s="154"/>
      <c r="R425" s="102"/>
      <c r="S425" s="102"/>
      <c r="T425" s="102"/>
      <c r="U425" s="102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01"/>
    </row>
    <row r="426" spans="1:31" s="162" customFormat="1" x14ac:dyDescent="0.25">
      <c r="A426" s="101"/>
      <c r="B426" s="101"/>
      <c r="C426" s="102"/>
      <c r="D426" s="102"/>
      <c r="E426" s="102"/>
      <c r="F426" s="102"/>
      <c r="G426" s="102"/>
      <c r="H426" s="102"/>
      <c r="I426" s="154"/>
      <c r="J426" s="154"/>
      <c r="K426" s="154"/>
      <c r="L426" s="154"/>
      <c r="M426" s="154"/>
      <c r="N426" s="154"/>
      <c r="O426" s="154"/>
      <c r="P426" s="154"/>
      <c r="Q426" s="154"/>
      <c r="R426" s="102"/>
      <c r="S426" s="102"/>
      <c r="T426" s="102"/>
      <c r="U426" s="102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01"/>
    </row>
    <row r="427" spans="1:31" s="162" customFormat="1" x14ac:dyDescent="0.25">
      <c r="A427" s="101"/>
      <c r="B427" s="101"/>
      <c r="C427" s="102"/>
      <c r="D427" s="102"/>
      <c r="E427" s="102"/>
      <c r="F427" s="102"/>
      <c r="G427" s="102"/>
      <c r="H427" s="102"/>
      <c r="I427" s="154"/>
      <c r="J427" s="154"/>
      <c r="K427" s="154"/>
      <c r="L427" s="154"/>
      <c r="M427" s="154"/>
      <c r="N427" s="154"/>
      <c r="O427" s="154"/>
      <c r="P427" s="154"/>
      <c r="Q427" s="154"/>
      <c r="R427" s="102"/>
      <c r="S427" s="102"/>
      <c r="T427" s="102"/>
      <c r="U427" s="102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01"/>
    </row>
    <row r="428" spans="1:31" s="162" customFormat="1" x14ac:dyDescent="0.25">
      <c r="A428" s="101"/>
      <c r="B428" s="101"/>
      <c r="C428" s="102"/>
      <c r="D428" s="102"/>
      <c r="E428" s="102"/>
      <c r="F428" s="102"/>
      <c r="G428" s="102"/>
      <c r="H428" s="102"/>
      <c r="I428" s="154"/>
      <c r="J428" s="154"/>
      <c r="K428" s="154"/>
      <c r="L428" s="154"/>
      <c r="M428" s="154"/>
      <c r="N428" s="154"/>
      <c r="O428" s="154"/>
      <c r="P428" s="154"/>
      <c r="Q428" s="154"/>
      <c r="R428" s="102"/>
      <c r="S428" s="102"/>
      <c r="T428" s="102"/>
      <c r="U428" s="102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01"/>
    </row>
    <row r="429" spans="1:31" s="162" customFormat="1" x14ac:dyDescent="0.25">
      <c r="A429" s="101"/>
      <c r="B429" s="101"/>
      <c r="C429" s="102"/>
      <c r="D429" s="102"/>
      <c r="E429" s="102"/>
      <c r="F429" s="102"/>
      <c r="G429" s="102"/>
      <c r="H429" s="102"/>
      <c r="I429" s="154"/>
      <c r="J429" s="154"/>
      <c r="K429" s="154"/>
      <c r="L429" s="154"/>
      <c r="M429" s="154"/>
      <c r="N429" s="154"/>
      <c r="O429" s="154"/>
      <c r="P429" s="154"/>
      <c r="Q429" s="154"/>
      <c r="R429" s="102"/>
      <c r="S429" s="102"/>
      <c r="T429" s="102"/>
      <c r="U429" s="102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01"/>
    </row>
    <row r="430" spans="1:31" s="162" customFormat="1" x14ac:dyDescent="0.25">
      <c r="A430" s="101"/>
      <c r="B430" s="101"/>
      <c r="C430" s="102"/>
      <c r="D430" s="102"/>
      <c r="E430" s="102"/>
      <c r="F430" s="102"/>
      <c r="G430" s="102"/>
      <c r="H430" s="102"/>
      <c r="I430" s="154"/>
      <c r="J430" s="154"/>
      <c r="K430" s="154"/>
      <c r="L430" s="154"/>
      <c r="M430" s="154"/>
      <c r="N430" s="154"/>
      <c r="O430" s="154"/>
      <c r="P430" s="154"/>
      <c r="Q430" s="154"/>
      <c r="R430" s="102"/>
      <c r="S430" s="102"/>
      <c r="T430" s="102"/>
      <c r="U430" s="102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01"/>
    </row>
    <row r="431" spans="1:31" s="162" customFormat="1" x14ac:dyDescent="0.25">
      <c r="A431" s="101"/>
      <c r="B431" s="101"/>
      <c r="C431" s="102"/>
      <c r="D431" s="102"/>
      <c r="E431" s="102"/>
      <c r="F431" s="102"/>
      <c r="G431" s="102"/>
      <c r="H431" s="102"/>
      <c r="I431" s="154"/>
      <c r="J431" s="154"/>
      <c r="K431" s="154"/>
      <c r="L431" s="154"/>
      <c r="M431" s="154"/>
      <c r="N431" s="154"/>
      <c r="O431" s="154"/>
      <c r="P431" s="154"/>
      <c r="Q431" s="154"/>
      <c r="R431" s="102"/>
      <c r="S431" s="102"/>
      <c r="T431" s="102"/>
      <c r="U431" s="102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01"/>
    </row>
    <row r="432" spans="1:31" s="162" customFormat="1" x14ac:dyDescent="0.25">
      <c r="A432" s="101"/>
      <c r="B432" s="101"/>
      <c r="C432" s="102"/>
      <c r="D432" s="102"/>
      <c r="E432" s="102"/>
      <c r="F432" s="102"/>
      <c r="G432" s="102"/>
      <c r="H432" s="102"/>
      <c r="I432" s="154"/>
      <c r="J432" s="154"/>
      <c r="K432" s="154"/>
      <c r="L432" s="154"/>
      <c r="M432" s="154"/>
      <c r="N432" s="154"/>
      <c r="O432" s="154"/>
      <c r="P432" s="154"/>
      <c r="Q432" s="154"/>
      <c r="R432" s="102"/>
      <c r="S432" s="102"/>
      <c r="T432" s="102"/>
      <c r="U432" s="102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01"/>
    </row>
    <row r="433" spans="1:31" s="162" customFormat="1" x14ac:dyDescent="0.25">
      <c r="A433" s="101"/>
      <c r="B433" s="101"/>
      <c r="C433" s="102"/>
      <c r="D433" s="102"/>
      <c r="E433" s="102"/>
      <c r="F433" s="102"/>
      <c r="G433" s="102"/>
      <c r="H433" s="102"/>
      <c r="I433" s="154"/>
      <c r="J433" s="154"/>
      <c r="K433" s="154"/>
      <c r="L433" s="154"/>
      <c r="M433" s="154"/>
      <c r="N433" s="154"/>
      <c r="O433" s="154"/>
      <c r="P433" s="154"/>
      <c r="Q433" s="154"/>
      <c r="R433" s="102"/>
      <c r="S433" s="102"/>
      <c r="T433" s="102"/>
      <c r="U433" s="102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01"/>
    </row>
    <row r="434" spans="1:31" s="162" customFormat="1" x14ac:dyDescent="0.25">
      <c r="A434" s="101"/>
      <c r="B434" s="101"/>
      <c r="C434" s="102"/>
      <c r="D434" s="102"/>
      <c r="E434" s="102"/>
      <c r="F434" s="102"/>
      <c r="G434" s="102"/>
      <c r="H434" s="102"/>
      <c r="I434" s="154"/>
      <c r="J434" s="154"/>
      <c r="K434" s="154"/>
      <c r="L434" s="154"/>
      <c r="M434" s="154"/>
      <c r="N434" s="154"/>
      <c r="O434" s="154"/>
      <c r="P434" s="154"/>
      <c r="Q434" s="154"/>
      <c r="R434" s="102"/>
      <c r="S434" s="102"/>
      <c r="T434" s="102"/>
      <c r="U434" s="102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01"/>
    </row>
    <row r="435" spans="1:31" s="162" customFormat="1" x14ac:dyDescent="0.25">
      <c r="A435" s="101"/>
      <c r="B435" s="101"/>
      <c r="C435" s="102"/>
      <c r="D435" s="102"/>
      <c r="E435" s="102"/>
      <c r="F435" s="102"/>
      <c r="G435" s="102"/>
      <c r="H435" s="102"/>
      <c r="I435" s="154"/>
      <c r="J435" s="154"/>
      <c r="K435" s="154"/>
      <c r="L435" s="154"/>
      <c r="M435" s="154"/>
      <c r="N435" s="154"/>
      <c r="O435" s="154"/>
      <c r="P435" s="154"/>
      <c r="Q435" s="154"/>
      <c r="R435" s="102"/>
      <c r="S435" s="102"/>
      <c r="T435" s="102"/>
      <c r="U435" s="102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01"/>
    </row>
    <row r="436" spans="1:31" s="162" customFormat="1" x14ac:dyDescent="0.25">
      <c r="A436" s="101"/>
      <c r="B436" s="101"/>
      <c r="C436" s="102"/>
      <c r="D436" s="102"/>
      <c r="E436" s="102"/>
      <c r="F436" s="102"/>
      <c r="G436" s="102"/>
      <c r="H436" s="102"/>
      <c r="I436" s="154"/>
      <c r="J436" s="154"/>
      <c r="K436" s="154"/>
      <c r="L436" s="154"/>
      <c r="M436" s="154"/>
      <c r="N436" s="154"/>
      <c r="O436" s="154"/>
      <c r="P436" s="154"/>
      <c r="Q436" s="154"/>
      <c r="R436" s="102"/>
      <c r="S436" s="102"/>
      <c r="T436" s="102"/>
      <c r="U436" s="102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01"/>
    </row>
    <row r="437" spans="1:31" s="162" customFormat="1" x14ac:dyDescent="0.25">
      <c r="A437" s="101"/>
      <c r="B437" s="101"/>
      <c r="C437" s="102"/>
      <c r="D437" s="102"/>
      <c r="E437" s="102"/>
      <c r="F437" s="102"/>
      <c r="G437" s="102"/>
      <c r="H437" s="102"/>
      <c r="I437" s="154"/>
      <c r="J437" s="154"/>
      <c r="K437" s="154"/>
      <c r="L437" s="154"/>
      <c r="M437" s="154"/>
      <c r="N437" s="154"/>
      <c r="O437" s="154"/>
      <c r="P437" s="154"/>
      <c r="Q437" s="154"/>
      <c r="R437" s="102"/>
      <c r="S437" s="102"/>
      <c r="T437" s="102"/>
      <c r="U437" s="102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01"/>
    </row>
    <row r="438" spans="1:31" s="162" customFormat="1" x14ac:dyDescent="0.25">
      <c r="A438" s="101"/>
      <c r="B438" s="101"/>
      <c r="C438" s="102"/>
      <c r="D438" s="102"/>
      <c r="E438" s="102"/>
      <c r="F438" s="102"/>
      <c r="G438" s="102"/>
      <c r="H438" s="102"/>
      <c r="I438" s="154"/>
      <c r="J438" s="154"/>
      <c r="K438" s="154"/>
      <c r="L438" s="154"/>
      <c r="M438" s="154"/>
      <c r="N438" s="154"/>
      <c r="O438" s="154"/>
      <c r="P438" s="154"/>
      <c r="Q438" s="154"/>
      <c r="R438" s="102"/>
      <c r="S438" s="102"/>
      <c r="T438" s="102"/>
      <c r="U438" s="102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01"/>
    </row>
    <row r="439" spans="1:31" s="162" customFormat="1" x14ac:dyDescent="0.25">
      <c r="A439" s="101"/>
      <c r="B439" s="101"/>
      <c r="C439" s="102"/>
      <c r="D439" s="102"/>
      <c r="E439" s="102"/>
      <c r="F439" s="102"/>
      <c r="G439" s="102"/>
      <c r="H439" s="102"/>
      <c r="I439" s="154"/>
      <c r="J439" s="154"/>
      <c r="K439" s="154"/>
      <c r="L439" s="154"/>
      <c r="M439" s="154"/>
      <c r="N439" s="154"/>
      <c r="O439" s="154"/>
      <c r="P439" s="154"/>
      <c r="Q439" s="154"/>
      <c r="R439" s="102"/>
      <c r="S439" s="102"/>
      <c r="T439" s="102"/>
      <c r="U439" s="102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01"/>
    </row>
    <row r="440" spans="1:31" s="162" customFormat="1" x14ac:dyDescent="0.25">
      <c r="A440" s="101"/>
      <c r="B440" s="101"/>
      <c r="C440" s="102"/>
      <c r="D440" s="102"/>
      <c r="E440" s="102"/>
      <c r="F440" s="102"/>
      <c r="G440" s="102"/>
      <c r="H440" s="102"/>
      <c r="I440" s="154"/>
      <c r="J440" s="154"/>
      <c r="K440" s="154"/>
      <c r="L440" s="154"/>
      <c r="M440" s="154"/>
      <c r="N440" s="154"/>
      <c r="O440" s="154"/>
      <c r="P440" s="154"/>
      <c r="Q440" s="154"/>
      <c r="R440" s="102"/>
      <c r="S440" s="102"/>
      <c r="T440" s="102"/>
      <c r="U440" s="102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01"/>
    </row>
    <row r="441" spans="1:31" s="162" customFormat="1" x14ac:dyDescent="0.25">
      <c r="A441" s="101"/>
      <c r="B441" s="101"/>
      <c r="C441" s="102"/>
      <c r="D441" s="102"/>
      <c r="E441" s="102"/>
      <c r="F441" s="102"/>
      <c r="G441" s="102"/>
      <c r="H441" s="102"/>
      <c r="I441" s="154"/>
      <c r="J441" s="154"/>
      <c r="K441" s="154"/>
      <c r="L441" s="154"/>
      <c r="M441" s="154"/>
      <c r="N441" s="154"/>
      <c r="O441" s="154"/>
      <c r="P441" s="154"/>
      <c r="Q441" s="154"/>
      <c r="R441" s="102"/>
      <c r="S441" s="102"/>
      <c r="T441" s="102"/>
      <c r="U441" s="102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01"/>
    </row>
    <row r="442" spans="1:31" s="162" customFormat="1" x14ac:dyDescent="0.25">
      <c r="A442" s="101"/>
      <c r="B442" s="101"/>
      <c r="C442" s="102"/>
      <c r="D442" s="102"/>
      <c r="E442" s="102"/>
      <c r="F442" s="102"/>
      <c r="G442" s="102"/>
      <c r="H442" s="102"/>
      <c r="I442" s="154"/>
      <c r="J442" s="154"/>
      <c r="K442" s="154"/>
      <c r="L442" s="154"/>
      <c r="M442" s="154"/>
      <c r="N442" s="154"/>
      <c r="O442" s="154"/>
      <c r="P442" s="154"/>
      <c r="Q442" s="154"/>
      <c r="R442" s="102"/>
      <c r="S442" s="102"/>
      <c r="T442" s="102"/>
      <c r="U442" s="102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01"/>
    </row>
    <row r="443" spans="1:31" s="162" customFormat="1" x14ac:dyDescent="0.25">
      <c r="A443" s="101"/>
      <c r="B443" s="101"/>
      <c r="C443" s="102"/>
      <c r="D443" s="102"/>
      <c r="E443" s="102"/>
      <c r="F443" s="102"/>
      <c r="G443" s="102"/>
      <c r="H443" s="102"/>
      <c r="I443" s="154"/>
      <c r="J443" s="154"/>
      <c r="K443" s="154"/>
      <c r="L443" s="154"/>
      <c r="M443" s="154"/>
      <c r="N443" s="154"/>
      <c r="O443" s="154"/>
      <c r="P443" s="154"/>
      <c r="Q443" s="154"/>
      <c r="R443" s="102"/>
      <c r="S443" s="102"/>
      <c r="T443" s="102"/>
      <c r="U443" s="102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01"/>
    </row>
    <row r="444" spans="1:31" s="162" customFormat="1" x14ac:dyDescent="0.25">
      <c r="A444" s="101"/>
      <c r="B444" s="101"/>
      <c r="C444" s="102"/>
      <c r="D444" s="102"/>
      <c r="E444" s="102"/>
      <c r="F444" s="102"/>
      <c r="G444" s="102"/>
      <c r="H444" s="102"/>
      <c r="I444" s="154"/>
      <c r="J444" s="154"/>
      <c r="K444" s="154"/>
      <c r="L444" s="154"/>
      <c r="M444" s="154"/>
      <c r="N444" s="154"/>
      <c r="O444" s="154"/>
      <c r="P444" s="154"/>
      <c r="Q444" s="154"/>
      <c r="R444" s="102"/>
      <c r="S444" s="102"/>
      <c r="T444" s="102"/>
      <c r="U444" s="102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01"/>
    </row>
    <row r="445" spans="1:31" s="162" customFormat="1" x14ac:dyDescent="0.25">
      <c r="A445" s="101"/>
      <c r="B445" s="101"/>
      <c r="C445" s="102"/>
      <c r="D445" s="102"/>
      <c r="E445" s="102"/>
      <c r="F445" s="102"/>
      <c r="G445" s="102"/>
      <c r="H445" s="102"/>
      <c r="I445" s="154"/>
      <c r="J445" s="154"/>
      <c r="K445" s="154"/>
      <c r="L445" s="154"/>
      <c r="M445" s="154"/>
      <c r="N445" s="154"/>
      <c r="O445" s="154"/>
      <c r="P445" s="154"/>
      <c r="Q445" s="154"/>
      <c r="R445" s="102"/>
      <c r="S445" s="102"/>
      <c r="T445" s="102"/>
      <c r="U445" s="102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01"/>
    </row>
    <row r="446" spans="1:31" s="162" customFormat="1" x14ac:dyDescent="0.25">
      <c r="A446" s="101"/>
      <c r="B446" s="101"/>
      <c r="C446" s="102"/>
      <c r="D446" s="102"/>
      <c r="E446" s="102"/>
      <c r="F446" s="102"/>
      <c r="G446" s="102"/>
      <c r="H446" s="102"/>
      <c r="I446" s="154"/>
      <c r="J446" s="154"/>
      <c r="K446" s="154"/>
      <c r="L446" s="154"/>
      <c r="M446" s="154"/>
      <c r="N446" s="154"/>
      <c r="O446" s="154"/>
      <c r="P446" s="154"/>
      <c r="Q446" s="154"/>
      <c r="R446" s="102"/>
      <c r="S446" s="102"/>
      <c r="T446" s="102"/>
      <c r="U446" s="102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01"/>
    </row>
    <row r="447" spans="1:31" s="162" customFormat="1" x14ac:dyDescent="0.25">
      <c r="A447" s="101"/>
      <c r="B447" s="101"/>
      <c r="C447" s="102"/>
      <c r="D447" s="102"/>
      <c r="E447" s="102"/>
      <c r="F447" s="102"/>
      <c r="G447" s="102"/>
      <c r="H447" s="102"/>
      <c r="I447" s="154"/>
      <c r="J447" s="154"/>
      <c r="K447" s="154"/>
      <c r="L447" s="154"/>
      <c r="M447" s="154"/>
      <c r="N447" s="154"/>
      <c r="O447" s="154"/>
      <c r="P447" s="154"/>
      <c r="Q447" s="154"/>
      <c r="R447" s="102"/>
      <c r="S447" s="102"/>
      <c r="T447" s="102"/>
      <c r="U447" s="102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01"/>
    </row>
    <row r="448" spans="1:31" s="162" customFormat="1" x14ac:dyDescent="0.25">
      <c r="A448" s="101"/>
      <c r="B448" s="101"/>
      <c r="C448" s="102"/>
      <c r="D448" s="102"/>
      <c r="E448" s="102"/>
      <c r="F448" s="102"/>
      <c r="G448" s="102"/>
      <c r="H448" s="102"/>
      <c r="I448" s="154"/>
      <c r="J448" s="154"/>
      <c r="K448" s="154"/>
      <c r="L448" s="154"/>
      <c r="M448" s="154"/>
      <c r="N448" s="154"/>
      <c r="O448" s="154"/>
      <c r="P448" s="154"/>
      <c r="Q448" s="154"/>
      <c r="R448" s="102"/>
      <c r="S448" s="102"/>
      <c r="T448" s="102"/>
      <c r="U448" s="102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01"/>
    </row>
    <row r="449" spans="1:31" s="162" customFormat="1" x14ac:dyDescent="0.25">
      <c r="A449" s="101"/>
      <c r="B449" s="101"/>
      <c r="C449" s="102"/>
      <c r="D449" s="102"/>
      <c r="E449" s="102"/>
      <c r="F449" s="102"/>
      <c r="G449" s="102"/>
      <c r="H449" s="102"/>
      <c r="I449" s="154"/>
      <c r="J449" s="154"/>
      <c r="K449" s="154"/>
      <c r="L449" s="154"/>
      <c r="M449" s="154"/>
      <c r="N449" s="154"/>
      <c r="O449" s="154"/>
      <c r="P449" s="154"/>
      <c r="Q449" s="154"/>
      <c r="R449" s="102"/>
      <c r="S449" s="102"/>
      <c r="T449" s="102"/>
      <c r="U449" s="102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01"/>
    </row>
    <row r="450" spans="1:31" s="162" customFormat="1" x14ac:dyDescent="0.25">
      <c r="A450" s="101"/>
      <c r="B450" s="101"/>
      <c r="C450" s="102"/>
      <c r="D450" s="102"/>
      <c r="E450" s="102"/>
      <c r="F450" s="102"/>
      <c r="G450" s="102"/>
      <c r="H450" s="102"/>
      <c r="I450" s="154"/>
      <c r="J450" s="154"/>
      <c r="K450" s="154"/>
      <c r="L450" s="154"/>
      <c r="M450" s="154"/>
      <c r="N450" s="154"/>
      <c r="O450" s="154"/>
      <c r="P450" s="154"/>
      <c r="Q450" s="154"/>
      <c r="R450" s="102"/>
      <c r="S450" s="102"/>
      <c r="T450" s="102"/>
      <c r="U450" s="102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01"/>
    </row>
    <row r="451" spans="1:31" s="162" customFormat="1" x14ac:dyDescent="0.25">
      <c r="A451" s="101"/>
      <c r="B451" s="101"/>
      <c r="C451" s="102"/>
      <c r="D451" s="102"/>
      <c r="E451" s="102"/>
      <c r="F451" s="102"/>
      <c r="G451" s="102"/>
      <c r="H451" s="102"/>
      <c r="I451" s="154"/>
      <c r="J451" s="154"/>
      <c r="K451" s="154"/>
      <c r="L451" s="154"/>
      <c r="M451" s="154"/>
      <c r="N451" s="154"/>
      <c r="O451" s="154"/>
      <c r="P451" s="154"/>
      <c r="Q451" s="154"/>
      <c r="R451" s="102"/>
      <c r="S451" s="102"/>
      <c r="T451" s="102"/>
      <c r="U451" s="102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01"/>
    </row>
    <row r="452" spans="1:31" s="162" customFormat="1" x14ac:dyDescent="0.25">
      <c r="A452" s="101"/>
      <c r="B452" s="101"/>
      <c r="C452" s="102"/>
      <c r="D452" s="102"/>
      <c r="E452" s="102"/>
      <c r="F452" s="102"/>
      <c r="G452" s="102"/>
      <c r="H452" s="102"/>
      <c r="I452" s="154"/>
      <c r="J452" s="154"/>
      <c r="K452" s="154"/>
      <c r="L452" s="154"/>
      <c r="M452" s="154"/>
      <c r="N452" s="154"/>
      <c r="O452" s="154"/>
      <c r="P452" s="154"/>
      <c r="Q452" s="154"/>
      <c r="R452" s="102"/>
      <c r="S452" s="102"/>
      <c r="T452" s="102"/>
      <c r="U452" s="102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01"/>
    </row>
    <row r="453" spans="1:31" s="162" customFormat="1" x14ac:dyDescent="0.25">
      <c r="A453" s="101"/>
      <c r="B453" s="101"/>
      <c r="C453" s="102"/>
      <c r="D453" s="102"/>
      <c r="E453" s="102"/>
      <c r="F453" s="102"/>
      <c r="G453" s="102"/>
      <c r="H453" s="102"/>
      <c r="I453" s="154"/>
      <c r="J453" s="154"/>
      <c r="K453" s="154"/>
      <c r="L453" s="154"/>
      <c r="M453" s="154"/>
      <c r="N453" s="154"/>
      <c r="O453" s="154"/>
      <c r="P453" s="154"/>
      <c r="Q453" s="154"/>
      <c r="R453" s="102"/>
      <c r="S453" s="102"/>
      <c r="T453" s="102"/>
      <c r="U453" s="102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01"/>
    </row>
    <row r="454" spans="1:31" s="162" customFormat="1" x14ac:dyDescent="0.25">
      <c r="A454" s="101"/>
      <c r="B454" s="101"/>
      <c r="C454" s="102"/>
      <c r="D454" s="102"/>
      <c r="E454" s="102"/>
      <c r="F454" s="102"/>
      <c r="G454" s="102"/>
      <c r="H454" s="102"/>
      <c r="I454" s="154"/>
      <c r="J454" s="154"/>
      <c r="K454" s="154"/>
      <c r="L454" s="154"/>
      <c r="M454" s="154"/>
      <c r="N454" s="154"/>
      <c r="O454" s="154"/>
      <c r="P454" s="154"/>
      <c r="Q454" s="154"/>
      <c r="R454" s="102"/>
      <c r="S454" s="102"/>
      <c r="T454" s="102"/>
      <c r="U454" s="102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01"/>
    </row>
    <row r="455" spans="1:31" s="162" customFormat="1" x14ac:dyDescent="0.25">
      <c r="A455" s="101"/>
      <c r="B455" s="101"/>
      <c r="C455" s="102"/>
      <c r="D455" s="102"/>
      <c r="E455" s="102"/>
      <c r="F455" s="102"/>
      <c r="G455" s="102"/>
      <c r="H455" s="102"/>
      <c r="I455" s="154"/>
      <c r="J455" s="154"/>
      <c r="K455" s="154"/>
      <c r="L455" s="154"/>
      <c r="M455" s="154"/>
      <c r="N455" s="154"/>
      <c r="O455" s="154"/>
      <c r="P455" s="154"/>
      <c r="Q455" s="154"/>
      <c r="R455" s="102"/>
      <c r="S455" s="102"/>
      <c r="T455" s="102"/>
      <c r="U455" s="102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01"/>
    </row>
    <row r="456" spans="1:31" s="162" customFormat="1" x14ac:dyDescent="0.25">
      <c r="A456" s="101"/>
      <c r="B456" s="101"/>
      <c r="C456" s="102"/>
      <c r="D456" s="102"/>
      <c r="E456" s="102"/>
      <c r="F456" s="102"/>
      <c r="G456" s="102"/>
      <c r="H456" s="102"/>
      <c r="I456" s="154"/>
      <c r="J456" s="154"/>
      <c r="K456" s="154"/>
      <c r="L456" s="154"/>
      <c r="M456" s="154"/>
      <c r="N456" s="154"/>
      <c r="O456" s="154"/>
      <c r="P456" s="154"/>
      <c r="Q456" s="154"/>
      <c r="R456" s="102"/>
      <c r="S456" s="102"/>
      <c r="T456" s="102"/>
      <c r="U456" s="102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01"/>
    </row>
    <row r="457" spans="1:31" s="162" customFormat="1" x14ac:dyDescent="0.25">
      <c r="A457" s="101"/>
      <c r="B457" s="101"/>
      <c r="C457" s="102"/>
      <c r="D457" s="102"/>
      <c r="E457" s="102"/>
      <c r="F457" s="102"/>
      <c r="G457" s="102"/>
      <c r="H457" s="102"/>
      <c r="I457" s="154"/>
      <c r="J457" s="154"/>
      <c r="K457" s="154"/>
      <c r="L457" s="154"/>
      <c r="M457" s="154"/>
      <c r="N457" s="154"/>
      <c r="O457" s="154"/>
      <c r="P457" s="154"/>
      <c r="Q457" s="154"/>
      <c r="R457" s="102"/>
      <c r="S457" s="102"/>
      <c r="T457" s="102"/>
      <c r="U457" s="102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01"/>
    </row>
    <row r="458" spans="1:31" s="162" customFormat="1" x14ac:dyDescent="0.25">
      <c r="A458" s="101"/>
      <c r="B458" s="101"/>
      <c r="C458" s="102"/>
      <c r="D458" s="102"/>
      <c r="E458" s="102"/>
      <c r="F458" s="102"/>
      <c r="G458" s="102"/>
      <c r="H458" s="102"/>
      <c r="I458" s="154"/>
      <c r="J458" s="154"/>
      <c r="K458" s="154"/>
      <c r="L458" s="154"/>
      <c r="M458" s="154"/>
      <c r="N458" s="154"/>
      <c r="O458" s="154"/>
      <c r="P458" s="154"/>
      <c r="Q458" s="154"/>
      <c r="R458" s="102"/>
      <c r="S458" s="102"/>
      <c r="T458" s="102"/>
      <c r="U458" s="102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01"/>
    </row>
    <row r="459" spans="1:31" s="162" customFormat="1" x14ac:dyDescent="0.25">
      <c r="A459" s="101"/>
      <c r="B459" s="101"/>
      <c r="C459" s="102"/>
      <c r="D459" s="102"/>
      <c r="E459" s="102"/>
      <c r="F459" s="102"/>
      <c r="G459" s="102"/>
      <c r="H459" s="102"/>
      <c r="I459" s="154"/>
      <c r="J459" s="154"/>
      <c r="K459" s="154"/>
      <c r="L459" s="154"/>
      <c r="M459" s="154"/>
      <c r="N459" s="154"/>
      <c r="O459" s="154"/>
      <c r="P459" s="154"/>
      <c r="Q459" s="154"/>
      <c r="R459" s="102"/>
      <c r="S459" s="102"/>
      <c r="T459" s="102"/>
      <c r="U459" s="102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01"/>
    </row>
    <row r="460" spans="1:31" s="162" customFormat="1" x14ac:dyDescent="0.25">
      <c r="A460" s="101"/>
      <c r="B460" s="101"/>
      <c r="C460" s="102"/>
      <c r="D460" s="102"/>
      <c r="E460" s="102"/>
      <c r="F460" s="102"/>
      <c r="G460" s="102"/>
      <c r="H460" s="102"/>
      <c r="I460" s="154"/>
      <c r="J460" s="154"/>
      <c r="K460" s="154"/>
      <c r="L460" s="154"/>
      <c r="M460" s="154"/>
      <c r="N460" s="154"/>
      <c r="O460" s="154"/>
      <c r="P460" s="154"/>
      <c r="Q460" s="154"/>
      <c r="R460" s="102"/>
      <c r="S460" s="102"/>
      <c r="T460" s="102"/>
      <c r="U460" s="102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01"/>
    </row>
    <row r="461" spans="1:31" s="162" customFormat="1" x14ac:dyDescent="0.25">
      <c r="A461" s="101"/>
      <c r="B461" s="101"/>
      <c r="C461" s="102"/>
      <c r="D461" s="102"/>
      <c r="E461" s="102"/>
      <c r="F461" s="102"/>
      <c r="G461" s="102"/>
      <c r="H461" s="102"/>
      <c r="I461" s="154"/>
      <c r="J461" s="154"/>
      <c r="K461" s="154"/>
      <c r="L461" s="154"/>
      <c r="M461" s="154"/>
      <c r="N461" s="154"/>
      <c r="O461" s="154"/>
      <c r="P461" s="154"/>
      <c r="Q461" s="154"/>
      <c r="R461" s="102"/>
      <c r="S461" s="102"/>
      <c r="T461" s="102"/>
      <c r="U461" s="102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01"/>
    </row>
    <row r="462" spans="1:31" s="162" customFormat="1" x14ac:dyDescent="0.25">
      <c r="A462" s="101"/>
      <c r="B462" s="101"/>
      <c r="C462" s="102"/>
      <c r="D462" s="102"/>
      <c r="E462" s="102"/>
      <c r="F462" s="102"/>
      <c r="G462" s="102"/>
      <c r="H462" s="102"/>
      <c r="I462" s="154"/>
      <c r="J462" s="154"/>
      <c r="K462" s="154"/>
      <c r="L462" s="154"/>
      <c r="M462" s="154"/>
      <c r="N462" s="154"/>
      <c r="O462" s="154"/>
      <c r="P462" s="154"/>
      <c r="Q462" s="154"/>
      <c r="R462" s="102"/>
      <c r="S462" s="102"/>
      <c r="T462" s="102"/>
      <c r="U462" s="102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01"/>
    </row>
    <row r="463" spans="1:31" s="162" customFormat="1" x14ac:dyDescent="0.25">
      <c r="A463" s="101"/>
      <c r="B463" s="101"/>
      <c r="C463" s="102"/>
      <c r="D463" s="102"/>
      <c r="E463" s="102"/>
      <c r="F463" s="102"/>
      <c r="G463" s="102"/>
      <c r="H463" s="102"/>
      <c r="I463" s="154"/>
      <c r="J463" s="154"/>
      <c r="K463" s="154"/>
      <c r="L463" s="154"/>
      <c r="M463" s="154"/>
      <c r="N463" s="154"/>
      <c r="O463" s="154"/>
      <c r="P463" s="154"/>
      <c r="Q463" s="154"/>
      <c r="R463" s="102"/>
      <c r="S463" s="102"/>
      <c r="T463" s="102"/>
      <c r="U463" s="102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01"/>
    </row>
    <row r="464" spans="1:31" s="162" customFormat="1" x14ac:dyDescent="0.25">
      <c r="A464" s="101"/>
      <c r="B464" s="101"/>
      <c r="C464" s="102"/>
      <c r="D464" s="102"/>
      <c r="E464" s="102"/>
      <c r="F464" s="102"/>
      <c r="G464" s="102"/>
      <c r="H464" s="102"/>
      <c r="I464" s="154"/>
      <c r="J464" s="154"/>
      <c r="K464" s="154"/>
      <c r="L464" s="154"/>
      <c r="M464" s="154"/>
      <c r="N464" s="154"/>
      <c r="O464" s="154"/>
      <c r="P464" s="154"/>
      <c r="Q464" s="154"/>
      <c r="R464" s="102"/>
      <c r="S464" s="102"/>
      <c r="T464" s="102"/>
      <c r="U464" s="102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01"/>
    </row>
    <row r="465" spans="1:31" s="162" customFormat="1" x14ac:dyDescent="0.25">
      <c r="A465" s="101"/>
      <c r="B465" s="101"/>
      <c r="C465" s="102"/>
      <c r="D465" s="102"/>
      <c r="E465" s="102"/>
      <c r="F465" s="102"/>
      <c r="G465" s="102"/>
      <c r="H465" s="102"/>
      <c r="I465" s="154"/>
      <c r="J465" s="154"/>
      <c r="K465" s="154"/>
      <c r="L465" s="154"/>
      <c r="M465" s="154"/>
      <c r="N465" s="154"/>
      <c r="O465" s="154"/>
      <c r="P465" s="154"/>
      <c r="Q465" s="154"/>
      <c r="R465" s="102"/>
      <c r="S465" s="102"/>
      <c r="T465" s="102"/>
      <c r="U465" s="102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01"/>
    </row>
    <row r="466" spans="1:31" s="162" customFormat="1" x14ac:dyDescent="0.25">
      <c r="A466" s="101"/>
      <c r="B466" s="101"/>
      <c r="C466" s="102"/>
      <c r="D466" s="102"/>
      <c r="E466" s="102"/>
      <c r="F466" s="102"/>
      <c r="G466" s="102"/>
      <c r="H466" s="102"/>
      <c r="I466" s="154"/>
      <c r="J466" s="154"/>
      <c r="K466" s="154"/>
      <c r="L466" s="154"/>
      <c r="M466" s="154"/>
      <c r="N466" s="154"/>
      <c r="O466" s="154"/>
      <c r="P466" s="154"/>
      <c r="Q466" s="154"/>
      <c r="R466" s="102"/>
      <c r="S466" s="102"/>
      <c r="T466" s="102"/>
      <c r="U466" s="102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01"/>
    </row>
    <row r="467" spans="1:31" s="162" customFormat="1" x14ac:dyDescent="0.25">
      <c r="A467" s="101"/>
      <c r="B467" s="101"/>
      <c r="C467" s="102"/>
      <c r="D467" s="102"/>
      <c r="E467" s="102"/>
      <c r="F467" s="102"/>
      <c r="G467" s="102"/>
      <c r="H467" s="102"/>
      <c r="I467" s="154"/>
      <c r="J467" s="154"/>
      <c r="K467" s="154"/>
      <c r="L467" s="154"/>
      <c r="M467" s="154"/>
      <c r="N467" s="154"/>
      <c r="O467" s="154"/>
      <c r="P467" s="154"/>
      <c r="Q467" s="154"/>
      <c r="R467" s="102"/>
      <c r="S467" s="102"/>
      <c r="T467" s="102"/>
      <c r="U467" s="102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01"/>
    </row>
    <row r="468" spans="1:31" s="162" customFormat="1" x14ac:dyDescent="0.25">
      <c r="A468" s="101"/>
      <c r="B468" s="101"/>
      <c r="C468" s="102"/>
      <c r="D468" s="102"/>
      <c r="E468" s="102"/>
      <c r="F468" s="102"/>
      <c r="G468" s="102"/>
      <c r="H468" s="102"/>
      <c r="I468" s="154"/>
      <c r="J468" s="154"/>
      <c r="K468" s="154"/>
      <c r="L468" s="154"/>
      <c r="M468" s="154"/>
      <c r="N468" s="154"/>
      <c r="O468" s="154"/>
      <c r="P468" s="154"/>
      <c r="Q468" s="154"/>
      <c r="R468" s="102"/>
      <c r="S468" s="102"/>
      <c r="T468" s="102"/>
      <c r="U468" s="102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01"/>
    </row>
    <row r="469" spans="1:31" s="162" customFormat="1" x14ac:dyDescent="0.25">
      <c r="A469" s="101"/>
      <c r="B469" s="101"/>
      <c r="C469" s="102"/>
      <c r="D469" s="102"/>
      <c r="E469" s="102"/>
      <c r="F469" s="102"/>
      <c r="G469" s="102"/>
      <c r="H469" s="102"/>
      <c r="I469" s="154"/>
      <c r="J469" s="154"/>
      <c r="K469" s="154"/>
      <c r="L469" s="154"/>
      <c r="M469" s="154"/>
      <c r="N469" s="154"/>
      <c r="O469" s="154"/>
      <c r="P469" s="154"/>
      <c r="Q469" s="154"/>
      <c r="R469" s="102"/>
      <c r="S469" s="102"/>
      <c r="T469" s="102"/>
      <c r="U469" s="102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01"/>
    </row>
    <row r="470" spans="1:31" s="162" customFormat="1" x14ac:dyDescent="0.25">
      <c r="A470" s="101"/>
      <c r="B470" s="101"/>
      <c r="C470" s="102"/>
      <c r="D470" s="102"/>
      <c r="E470" s="102"/>
      <c r="F470" s="102"/>
      <c r="G470" s="102"/>
      <c r="H470" s="102"/>
      <c r="I470" s="154"/>
      <c r="J470" s="154"/>
      <c r="K470" s="154"/>
      <c r="L470" s="154"/>
      <c r="M470" s="154"/>
      <c r="N470" s="154"/>
      <c r="O470" s="154"/>
      <c r="P470" s="154"/>
      <c r="Q470" s="154"/>
      <c r="R470" s="102"/>
      <c r="S470" s="102"/>
      <c r="T470" s="102"/>
      <c r="U470" s="102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01"/>
    </row>
    <row r="471" spans="1:31" s="162" customFormat="1" x14ac:dyDescent="0.25">
      <c r="A471" s="101"/>
      <c r="B471" s="101"/>
      <c r="C471" s="102"/>
      <c r="D471" s="102"/>
      <c r="E471" s="102"/>
      <c r="F471" s="102"/>
      <c r="G471" s="102"/>
      <c r="H471" s="102"/>
      <c r="I471" s="154"/>
      <c r="J471" s="154"/>
      <c r="K471" s="154"/>
      <c r="L471" s="154"/>
      <c r="M471" s="154"/>
      <c r="N471" s="154"/>
      <c r="O471" s="154"/>
      <c r="P471" s="154"/>
      <c r="Q471" s="154"/>
      <c r="R471" s="102"/>
      <c r="S471" s="102"/>
      <c r="T471" s="102"/>
      <c r="U471" s="102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01"/>
    </row>
    <row r="472" spans="1:31" s="162" customFormat="1" x14ac:dyDescent="0.25">
      <c r="A472" s="101"/>
      <c r="B472" s="101"/>
      <c r="C472" s="102"/>
      <c r="D472" s="102"/>
      <c r="E472" s="102"/>
      <c r="F472" s="102"/>
      <c r="G472" s="102"/>
      <c r="H472" s="102"/>
      <c r="I472" s="154"/>
      <c r="J472" s="154"/>
      <c r="K472" s="154"/>
      <c r="L472" s="154"/>
      <c r="M472" s="154"/>
      <c r="N472" s="154"/>
      <c r="O472" s="154"/>
      <c r="P472" s="154"/>
      <c r="Q472" s="154"/>
      <c r="R472" s="102"/>
      <c r="S472" s="102"/>
      <c r="T472" s="102"/>
      <c r="U472" s="102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01"/>
    </row>
    <row r="473" spans="1:31" s="162" customFormat="1" x14ac:dyDescent="0.25">
      <c r="A473" s="101"/>
      <c r="B473" s="101"/>
      <c r="C473" s="102"/>
      <c r="D473" s="102"/>
      <c r="E473" s="102"/>
      <c r="F473" s="102"/>
      <c r="G473" s="102"/>
      <c r="H473" s="102"/>
      <c r="I473" s="154"/>
      <c r="J473" s="154"/>
      <c r="K473" s="154"/>
      <c r="L473" s="154"/>
      <c r="M473" s="154"/>
      <c r="N473" s="154"/>
      <c r="O473" s="154"/>
      <c r="P473" s="154"/>
      <c r="Q473" s="154"/>
      <c r="R473" s="102"/>
      <c r="S473" s="102"/>
      <c r="T473" s="102"/>
      <c r="U473" s="102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01"/>
    </row>
    <row r="474" spans="1:31" s="162" customFormat="1" x14ac:dyDescent="0.25">
      <c r="A474" s="101"/>
      <c r="B474" s="101"/>
      <c r="C474" s="102"/>
      <c r="D474" s="102"/>
      <c r="E474" s="102"/>
      <c r="F474" s="102"/>
      <c r="G474" s="102"/>
      <c r="H474" s="102"/>
      <c r="I474" s="154"/>
      <c r="J474" s="154"/>
      <c r="K474" s="154"/>
      <c r="L474" s="154"/>
      <c r="M474" s="154"/>
      <c r="N474" s="154"/>
      <c r="O474" s="154"/>
      <c r="P474" s="154"/>
      <c r="Q474" s="154"/>
      <c r="R474" s="102"/>
      <c r="S474" s="102"/>
      <c r="T474" s="102"/>
      <c r="U474" s="102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01"/>
    </row>
    <row r="475" spans="1:31" s="162" customFormat="1" x14ac:dyDescent="0.25">
      <c r="A475" s="101"/>
      <c r="B475" s="101"/>
      <c r="C475" s="102"/>
      <c r="D475" s="102"/>
      <c r="E475" s="102"/>
      <c r="F475" s="102"/>
      <c r="G475" s="102"/>
      <c r="H475" s="102"/>
      <c r="I475" s="154"/>
      <c r="J475" s="154"/>
      <c r="K475" s="154"/>
      <c r="L475" s="154"/>
      <c r="M475" s="154"/>
      <c r="N475" s="154"/>
      <c r="O475" s="154"/>
      <c r="P475" s="154"/>
      <c r="Q475" s="154"/>
      <c r="R475" s="102"/>
      <c r="S475" s="102"/>
      <c r="T475" s="102"/>
      <c r="U475" s="102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01"/>
    </row>
    <row r="476" spans="1:31" s="162" customFormat="1" x14ac:dyDescent="0.25">
      <c r="A476" s="101"/>
      <c r="B476" s="101"/>
      <c r="C476" s="102"/>
      <c r="D476" s="102"/>
      <c r="E476" s="102"/>
      <c r="F476" s="102"/>
      <c r="G476" s="102"/>
      <c r="H476" s="102"/>
      <c r="I476" s="154"/>
      <c r="J476" s="154"/>
      <c r="K476" s="154"/>
      <c r="L476" s="154"/>
      <c r="M476" s="154"/>
      <c r="N476" s="154"/>
      <c r="O476" s="154"/>
      <c r="P476" s="154"/>
      <c r="Q476" s="154"/>
      <c r="R476" s="102"/>
      <c r="S476" s="102"/>
      <c r="T476" s="102"/>
      <c r="U476" s="102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01"/>
    </row>
    <row r="477" spans="1:31" s="162" customFormat="1" x14ac:dyDescent="0.25">
      <c r="A477" s="101"/>
      <c r="B477" s="101"/>
      <c r="C477" s="102"/>
      <c r="D477" s="102"/>
      <c r="E477" s="102"/>
      <c r="F477" s="102"/>
      <c r="G477" s="102"/>
      <c r="H477" s="102"/>
      <c r="I477" s="154"/>
      <c r="J477" s="154"/>
      <c r="K477" s="154"/>
      <c r="L477" s="154"/>
      <c r="M477" s="154"/>
      <c r="N477" s="154"/>
      <c r="O477" s="154"/>
      <c r="P477" s="154"/>
      <c r="Q477" s="154"/>
      <c r="R477" s="102"/>
      <c r="S477" s="102"/>
      <c r="T477" s="102"/>
      <c r="U477" s="102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01"/>
    </row>
    <row r="478" spans="1:31" s="162" customFormat="1" x14ac:dyDescent="0.25">
      <c r="A478" s="101"/>
      <c r="B478" s="101"/>
      <c r="C478" s="102"/>
      <c r="D478" s="102"/>
      <c r="E478" s="102"/>
      <c r="F478" s="102"/>
      <c r="G478" s="102"/>
      <c r="H478" s="102"/>
      <c r="I478" s="154"/>
      <c r="J478" s="154"/>
      <c r="K478" s="154"/>
      <c r="L478" s="154"/>
      <c r="M478" s="154"/>
      <c r="N478" s="154"/>
      <c r="O478" s="154"/>
      <c r="P478" s="154"/>
      <c r="Q478" s="154"/>
      <c r="R478" s="102"/>
      <c r="S478" s="102"/>
      <c r="T478" s="102"/>
      <c r="U478" s="102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01"/>
    </row>
    <row r="479" spans="1:31" s="162" customFormat="1" x14ac:dyDescent="0.25">
      <c r="A479" s="101"/>
      <c r="B479" s="101"/>
      <c r="C479" s="102"/>
      <c r="D479" s="102"/>
      <c r="E479" s="102"/>
      <c r="F479" s="102"/>
      <c r="G479" s="102"/>
      <c r="H479" s="102"/>
      <c r="I479" s="154"/>
      <c r="J479" s="154"/>
      <c r="K479" s="154"/>
      <c r="L479" s="154"/>
      <c r="M479" s="154"/>
      <c r="N479" s="154"/>
      <c r="O479" s="154"/>
      <c r="P479" s="154"/>
      <c r="Q479" s="154"/>
      <c r="R479" s="102"/>
      <c r="S479" s="102"/>
      <c r="T479" s="102"/>
      <c r="U479" s="102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01"/>
    </row>
    <row r="480" spans="1:31" s="162" customFormat="1" x14ac:dyDescent="0.25">
      <c r="A480" s="101"/>
      <c r="B480" s="101"/>
      <c r="C480" s="102"/>
      <c r="D480" s="102"/>
      <c r="E480" s="102"/>
      <c r="F480" s="102"/>
      <c r="G480" s="102"/>
      <c r="H480" s="102"/>
      <c r="I480" s="154"/>
      <c r="J480" s="154"/>
      <c r="K480" s="154"/>
      <c r="L480" s="154"/>
      <c r="M480" s="154"/>
      <c r="N480" s="154"/>
      <c r="O480" s="154"/>
      <c r="P480" s="154"/>
      <c r="Q480" s="154"/>
      <c r="R480" s="102"/>
      <c r="S480" s="102"/>
      <c r="T480" s="102"/>
      <c r="U480" s="102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01"/>
    </row>
    <row r="481" spans="1:31" s="162" customFormat="1" x14ac:dyDescent="0.25">
      <c r="A481" s="101"/>
      <c r="B481" s="101"/>
      <c r="C481" s="102"/>
      <c r="D481" s="102"/>
      <c r="E481" s="102"/>
      <c r="F481" s="102"/>
      <c r="G481" s="102"/>
      <c r="H481" s="102"/>
      <c r="I481" s="154"/>
      <c r="J481" s="154"/>
      <c r="K481" s="154"/>
      <c r="L481" s="154"/>
      <c r="M481" s="154"/>
      <c r="N481" s="154"/>
      <c r="O481" s="154"/>
      <c r="P481" s="154"/>
      <c r="Q481" s="154"/>
      <c r="R481" s="102"/>
      <c r="S481" s="102"/>
      <c r="T481" s="102"/>
      <c r="U481" s="102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01"/>
    </row>
    <row r="482" spans="1:31" s="162" customFormat="1" x14ac:dyDescent="0.25">
      <c r="A482" s="101"/>
      <c r="B482" s="101"/>
      <c r="C482" s="102"/>
      <c r="D482" s="102"/>
      <c r="E482" s="102"/>
      <c r="F482" s="102"/>
      <c r="G482" s="102"/>
      <c r="H482" s="102"/>
      <c r="I482" s="154"/>
      <c r="J482" s="154"/>
      <c r="K482" s="154"/>
      <c r="L482" s="154"/>
      <c r="M482" s="154"/>
      <c r="N482" s="154"/>
      <c r="O482" s="154"/>
      <c r="P482" s="154"/>
      <c r="Q482" s="154"/>
      <c r="R482" s="102"/>
      <c r="S482" s="102"/>
      <c r="T482" s="102"/>
      <c r="U482" s="102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01"/>
    </row>
    <row r="483" spans="1:31" s="162" customFormat="1" x14ac:dyDescent="0.25">
      <c r="A483" s="101"/>
      <c r="B483" s="101"/>
      <c r="C483" s="102"/>
      <c r="D483" s="102"/>
      <c r="E483" s="102"/>
      <c r="F483" s="102"/>
      <c r="G483" s="102"/>
      <c r="H483" s="102"/>
      <c r="I483" s="154"/>
      <c r="J483" s="154"/>
      <c r="K483" s="154"/>
      <c r="L483" s="154"/>
      <c r="M483" s="154"/>
      <c r="N483" s="154"/>
      <c r="O483" s="154"/>
      <c r="P483" s="154"/>
      <c r="Q483" s="154"/>
      <c r="R483" s="102"/>
      <c r="S483" s="102"/>
      <c r="T483" s="102"/>
      <c r="U483" s="102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01"/>
    </row>
    <row r="484" spans="1:31" s="162" customFormat="1" x14ac:dyDescent="0.25">
      <c r="A484" s="101"/>
      <c r="B484" s="101"/>
      <c r="C484" s="102"/>
      <c r="D484" s="102"/>
      <c r="E484" s="102"/>
      <c r="F484" s="102"/>
      <c r="G484" s="102"/>
      <c r="H484" s="102"/>
      <c r="I484" s="154"/>
      <c r="J484" s="154"/>
      <c r="K484" s="154"/>
      <c r="L484" s="154"/>
      <c r="M484" s="154"/>
      <c r="N484" s="154"/>
      <c r="O484" s="154"/>
      <c r="P484" s="154"/>
      <c r="Q484" s="154"/>
      <c r="R484" s="102"/>
      <c r="S484" s="102"/>
      <c r="T484" s="102"/>
      <c r="U484" s="102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01"/>
    </row>
    <row r="485" spans="1:31" s="162" customFormat="1" x14ac:dyDescent="0.25">
      <c r="A485" s="101"/>
      <c r="B485" s="101"/>
      <c r="C485" s="102"/>
      <c r="D485" s="102"/>
      <c r="E485" s="102"/>
      <c r="F485" s="102"/>
      <c r="G485" s="102"/>
      <c r="H485" s="102"/>
      <c r="I485" s="154"/>
      <c r="J485" s="154"/>
      <c r="K485" s="154"/>
      <c r="L485" s="154"/>
      <c r="M485" s="154"/>
      <c r="N485" s="154"/>
      <c r="O485" s="154"/>
      <c r="P485" s="154"/>
      <c r="Q485" s="154"/>
      <c r="R485" s="102"/>
      <c r="S485" s="102"/>
      <c r="T485" s="102"/>
      <c r="U485" s="102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01"/>
    </row>
    <row r="486" spans="1:31" s="162" customFormat="1" x14ac:dyDescent="0.25">
      <c r="A486" s="101"/>
      <c r="B486" s="101"/>
      <c r="C486" s="102"/>
      <c r="D486" s="102"/>
      <c r="E486" s="102"/>
      <c r="F486" s="102"/>
      <c r="G486" s="102"/>
      <c r="H486" s="102"/>
      <c r="I486" s="154"/>
      <c r="J486" s="154"/>
      <c r="K486" s="154"/>
      <c r="L486" s="154"/>
      <c r="M486" s="154"/>
      <c r="N486" s="154"/>
      <c r="O486" s="154"/>
      <c r="P486" s="154"/>
      <c r="Q486" s="154"/>
      <c r="R486" s="102"/>
      <c r="S486" s="102"/>
      <c r="T486" s="102"/>
      <c r="U486" s="102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01"/>
    </row>
    <row r="487" spans="1:31" s="162" customFormat="1" x14ac:dyDescent="0.25">
      <c r="A487" s="101"/>
      <c r="B487" s="101"/>
      <c r="C487" s="102"/>
      <c r="D487" s="102"/>
      <c r="E487" s="102"/>
      <c r="F487" s="102"/>
      <c r="G487" s="102"/>
      <c r="H487" s="102"/>
      <c r="I487" s="154"/>
      <c r="J487" s="154"/>
      <c r="K487" s="154"/>
      <c r="L487" s="154"/>
      <c r="M487" s="154"/>
      <c r="N487" s="154"/>
      <c r="O487" s="154"/>
      <c r="P487" s="154"/>
      <c r="Q487" s="154"/>
      <c r="R487" s="102"/>
      <c r="S487" s="102"/>
      <c r="T487" s="102"/>
      <c r="U487" s="102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01"/>
    </row>
    <row r="488" spans="1:31" s="162" customFormat="1" x14ac:dyDescent="0.25">
      <c r="A488" s="101"/>
      <c r="B488" s="101"/>
      <c r="C488" s="102"/>
      <c r="D488" s="102"/>
      <c r="E488" s="102"/>
      <c r="F488" s="102"/>
      <c r="G488" s="102"/>
      <c r="H488" s="102"/>
      <c r="I488" s="154"/>
      <c r="J488" s="154"/>
      <c r="K488" s="154"/>
      <c r="L488" s="154"/>
      <c r="M488" s="154"/>
      <c r="N488" s="154"/>
      <c r="O488" s="154"/>
      <c r="P488" s="154"/>
      <c r="Q488" s="154"/>
      <c r="R488" s="102"/>
      <c r="S488" s="102"/>
      <c r="T488" s="102"/>
      <c r="U488" s="102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01"/>
    </row>
    <row r="489" spans="1:31" s="162" customFormat="1" x14ac:dyDescent="0.25">
      <c r="A489" s="101"/>
      <c r="B489" s="101"/>
      <c r="C489" s="102"/>
      <c r="D489" s="102"/>
      <c r="E489" s="102"/>
      <c r="F489" s="102"/>
      <c r="G489" s="102"/>
      <c r="H489" s="102"/>
      <c r="I489" s="154"/>
      <c r="J489" s="154"/>
      <c r="K489" s="154"/>
      <c r="L489" s="154"/>
      <c r="M489" s="154"/>
      <c r="N489" s="154"/>
      <c r="O489" s="154"/>
      <c r="P489" s="154"/>
      <c r="Q489" s="154"/>
      <c r="R489" s="102"/>
      <c r="S489" s="102"/>
      <c r="T489" s="102"/>
      <c r="U489" s="102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01"/>
    </row>
    <row r="490" spans="1:31" s="162" customFormat="1" x14ac:dyDescent="0.25">
      <c r="A490" s="101"/>
      <c r="B490" s="101"/>
      <c r="C490" s="102"/>
      <c r="D490" s="102"/>
      <c r="E490" s="102"/>
      <c r="F490" s="102"/>
      <c r="G490" s="102"/>
      <c r="H490" s="102"/>
      <c r="I490" s="154"/>
      <c r="J490" s="154"/>
      <c r="K490" s="154"/>
      <c r="L490" s="154"/>
      <c r="M490" s="154"/>
      <c r="N490" s="154"/>
      <c r="O490" s="154"/>
      <c r="P490" s="154"/>
      <c r="Q490" s="154"/>
      <c r="R490" s="102"/>
      <c r="S490" s="102"/>
      <c r="T490" s="102"/>
      <c r="U490" s="102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01"/>
    </row>
    <row r="491" spans="1:31" s="162" customFormat="1" x14ac:dyDescent="0.25">
      <c r="A491" s="101"/>
      <c r="B491" s="101"/>
      <c r="C491" s="102"/>
      <c r="D491" s="102"/>
      <c r="E491" s="102"/>
      <c r="F491" s="102"/>
      <c r="G491" s="102"/>
      <c r="H491" s="102"/>
      <c r="I491" s="154"/>
      <c r="J491" s="154"/>
      <c r="K491" s="154"/>
      <c r="L491" s="154"/>
      <c r="M491" s="154"/>
      <c r="N491" s="154"/>
      <c r="O491" s="154"/>
      <c r="P491" s="154"/>
      <c r="Q491" s="154"/>
      <c r="R491" s="102"/>
      <c r="S491" s="102"/>
      <c r="T491" s="102"/>
      <c r="U491" s="102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01"/>
    </row>
    <row r="492" spans="1:31" s="162" customFormat="1" x14ac:dyDescent="0.25">
      <c r="A492" s="101"/>
      <c r="B492" s="101"/>
      <c r="C492" s="102"/>
      <c r="D492" s="102"/>
      <c r="E492" s="102"/>
      <c r="F492" s="102"/>
      <c r="G492" s="102"/>
      <c r="H492" s="102"/>
      <c r="I492" s="154"/>
      <c r="J492" s="154"/>
      <c r="K492" s="154"/>
      <c r="L492" s="154"/>
      <c r="M492" s="154"/>
      <c r="N492" s="154"/>
      <c r="O492" s="154"/>
      <c r="P492" s="154"/>
      <c r="Q492" s="154"/>
      <c r="R492" s="102"/>
      <c r="S492" s="102"/>
      <c r="T492" s="102"/>
      <c r="U492" s="102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01"/>
    </row>
    <row r="493" spans="1:31" s="162" customFormat="1" x14ac:dyDescent="0.25">
      <c r="A493" s="101"/>
      <c r="B493" s="101"/>
      <c r="C493" s="102"/>
      <c r="D493" s="102"/>
      <c r="E493" s="102"/>
      <c r="F493" s="102"/>
      <c r="G493" s="102"/>
      <c r="H493" s="102"/>
      <c r="I493" s="154"/>
      <c r="J493" s="154"/>
      <c r="K493" s="154"/>
      <c r="L493" s="154"/>
      <c r="M493" s="154"/>
      <c r="N493" s="154"/>
      <c r="O493" s="154"/>
      <c r="P493" s="154"/>
      <c r="Q493" s="154"/>
      <c r="R493" s="102"/>
      <c r="S493" s="102"/>
      <c r="T493" s="102"/>
      <c r="U493" s="102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01"/>
    </row>
    <row r="494" spans="1:31" s="162" customFormat="1" x14ac:dyDescent="0.25">
      <c r="A494" s="101"/>
      <c r="B494" s="101"/>
      <c r="C494" s="102"/>
      <c r="D494" s="102"/>
      <c r="E494" s="102"/>
      <c r="F494" s="102"/>
      <c r="G494" s="102"/>
      <c r="H494" s="102"/>
      <c r="I494" s="154"/>
      <c r="J494" s="154"/>
      <c r="K494" s="154"/>
      <c r="L494" s="154"/>
      <c r="M494" s="154"/>
      <c r="N494" s="154"/>
      <c r="O494" s="154"/>
      <c r="P494" s="154"/>
      <c r="Q494" s="154"/>
      <c r="R494" s="102"/>
      <c r="S494" s="102"/>
      <c r="T494" s="102"/>
      <c r="U494" s="102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01"/>
    </row>
    <row r="495" spans="1:31" s="162" customFormat="1" x14ac:dyDescent="0.25">
      <c r="A495" s="101"/>
      <c r="B495" s="101"/>
      <c r="C495" s="102"/>
      <c r="D495" s="102"/>
      <c r="E495" s="102"/>
      <c r="F495" s="102"/>
      <c r="G495" s="102"/>
      <c r="H495" s="102"/>
      <c r="I495" s="154"/>
      <c r="J495" s="154"/>
      <c r="K495" s="154"/>
      <c r="L495" s="154"/>
      <c r="M495" s="154"/>
      <c r="N495" s="154"/>
      <c r="O495" s="154"/>
      <c r="P495" s="154"/>
      <c r="Q495" s="154"/>
      <c r="R495" s="102"/>
      <c r="S495" s="102"/>
      <c r="T495" s="102"/>
      <c r="U495" s="102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01"/>
    </row>
    <row r="496" spans="1:31" s="162" customFormat="1" x14ac:dyDescent="0.25">
      <c r="A496" s="101"/>
      <c r="B496" s="101"/>
      <c r="C496" s="102"/>
      <c r="D496" s="102"/>
      <c r="E496" s="102"/>
      <c r="F496" s="102"/>
      <c r="G496" s="102"/>
      <c r="H496" s="102"/>
      <c r="I496" s="154"/>
      <c r="J496" s="154"/>
      <c r="K496" s="154"/>
      <c r="L496" s="154"/>
      <c r="M496" s="154"/>
      <c r="N496" s="154"/>
      <c r="O496" s="154"/>
      <c r="P496" s="154"/>
      <c r="Q496" s="154"/>
      <c r="R496" s="102"/>
      <c r="S496" s="102"/>
      <c r="T496" s="102"/>
      <c r="U496" s="102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01"/>
    </row>
    <row r="497" spans="1:31" s="162" customFormat="1" x14ac:dyDescent="0.25">
      <c r="A497" s="101"/>
      <c r="B497" s="101"/>
      <c r="C497" s="102"/>
      <c r="D497" s="102"/>
      <c r="E497" s="102"/>
      <c r="F497" s="102"/>
      <c r="G497" s="102"/>
      <c r="H497" s="102"/>
      <c r="I497" s="154"/>
      <c r="J497" s="154"/>
      <c r="K497" s="154"/>
      <c r="L497" s="154"/>
      <c r="M497" s="154"/>
      <c r="N497" s="154"/>
      <c r="O497" s="154"/>
      <c r="P497" s="154"/>
      <c r="Q497" s="154"/>
      <c r="R497" s="102"/>
      <c r="S497" s="102"/>
      <c r="T497" s="102"/>
      <c r="U497" s="102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01"/>
    </row>
    <row r="498" spans="1:31" s="162" customFormat="1" x14ac:dyDescent="0.25">
      <c r="A498" s="101"/>
      <c r="B498" s="101"/>
      <c r="C498" s="102"/>
      <c r="D498" s="102"/>
      <c r="E498" s="102"/>
      <c r="F498" s="102"/>
      <c r="G498" s="102"/>
      <c r="H498" s="102"/>
      <c r="I498" s="154"/>
      <c r="J498" s="154"/>
      <c r="K498" s="154"/>
      <c r="L498" s="154"/>
      <c r="M498" s="154"/>
      <c r="N498" s="154"/>
      <c r="O498" s="154"/>
      <c r="P498" s="154"/>
      <c r="Q498" s="154"/>
      <c r="R498" s="102"/>
      <c r="S498" s="102"/>
      <c r="T498" s="102"/>
      <c r="U498" s="102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01"/>
    </row>
    <row r="499" spans="1:31" s="162" customFormat="1" x14ac:dyDescent="0.25">
      <c r="A499" s="101"/>
      <c r="B499" s="101"/>
      <c r="C499" s="102"/>
      <c r="D499" s="102"/>
      <c r="E499" s="102"/>
      <c r="F499" s="102"/>
      <c r="G499" s="102"/>
      <c r="H499" s="102"/>
      <c r="I499" s="154"/>
      <c r="J499" s="154"/>
      <c r="K499" s="154"/>
      <c r="L499" s="154"/>
      <c r="M499" s="154"/>
      <c r="N499" s="154"/>
      <c r="O499" s="154"/>
      <c r="P499" s="154"/>
      <c r="Q499" s="154"/>
      <c r="R499" s="102"/>
      <c r="S499" s="102"/>
      <c r="T499" s="102"/>
      <c r="U499" s="102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01"/>
    </row>
    <row r="500" spans="1:31" s="162" customFormat="1" x14ac:dyDescent="0.25">
      <c r="A500" s="101"/>
      <c r="B500" s="101"/>
      <c r="C500" s="102"/>
      <c r="D500" s="102"/>
      <c r="E500" s="102"/>
      <c r="F500" s="102"/>
      <c r="G500" s="102"/>
      <c r="H500" s="102"/>
      <c r="I500" s="154"/>
      <c r="J500" s="154"/>
      <c r="K500" s="154"/>
      <c r="L500" s="154"/>
      <c r="M500" s="154"/>
      <c r="N500" s="154"/>
      <c r="O500" s="154"/>
      <c r="P500" s="154"/>
      <c r="Q500" s="154"/>
      <c r="R500" s="102"/>
      <c r="S500" s="102"/>
      <c r="T500" s="102"/>
      <c r="U500" s="102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01"/>
    </row>
    <row r="501" spans="1:31" s="162" customFormat="1" x14ac:dyDescent="0.25">
      <c r="A501" s="101"/>
      <c r="B501" s="101"/>
      <c r="C501" s="102"/>
      <c r="D501" s="102"/>
      <c r="E501" s="102"/>
      <c r="F501" s="102"/>
      <c r="G501" s="102"/>
      <c r="H501" s="102"/>
      <c r="I501" s="154"/>
      <c r="J501" s="154"/>
      <c r="K501" s="154"/>
      <c r="L501" s="154"/>
      <c r="M501" s="154"/>
      <c r="N501" s="154"/>
      <c r="O501" s="154"/>
      <c r="P501" s="154"/>
      <c r="Q501" s="154"/>
      <c r="R501" s="102"/>
      <c r="S501" s="102"/>
      <c r="T501" s="102"/>
      <c r="U501" s="102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01"/>
    </row>
    <row r="502" spans="1:31" s="162" customFormat="1" x14ac:dyDescent="0.25">
      <c r="A502" s="101"/>
      <c r="B502" s="101"/>
      <c r="C502" s="102"/>
      <c r="D502" s="102"/>
      <c r="E502" s="102"/>
      <c r="F502" s="102"/>
      <c r="G502" s="102"/>
      <c r="H502" s="102"/>
      <c r="I502" s="154"/>
      <c r="J502" s="154"/>
      <c r="K502" s="154"/>
      <c r="L502" s="154"/>
      <c r="M502" s="154"/>
      <c r="N502" s="154"/>
      <c r="O502" s="154"/>
      <c r="P502" s="154"/>
      <c r="Q502" s="154"/>
      <c r="R502" s="102"/>
      <c r="S502" s="102"/>
      <c r="T502" s="102"/>
      <c r="U502" s="102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01"/>
    </row>
    <row r="503" spans="1:31" s="162" customFormat="1" x14ac:dyDescent="0.25">
      <c r="A503" s="101"/>
      <c r="B503" s="101"/>
      <c r="C503" s="102"/>
      <c r="D503" s="102"/>
      <c r="E503" s="102"/>
      <c r="F503" s="102"/>
      <c r="G503" s="102"/>
      <c r="H503" s="102"/>
      <c r="I503" s="154"/>
      <c r="J503" s="154"/>
      <c r="K503" s="154"/>
      <c r="L503" s="154"/>
      <c r="M503" s="154"/>
      <c r="N503" s="154"/>
      <c r="O503" s="154"/>
      <c r="P503" s="154"/>
      <c r="Q503" s="154"/>
      <c r="R503" s="102"/>
      <c r="S503" s="102"/>
      <c r="T503" s="102"/>
      <c r="U503" s="102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01"/>
    </row>
    <row r="504" spans="1:31" s="162" customFormat="1" x14ac:dyDescent="0.25">
      <c r="A504" s="101"/>
      <c r="B504" s="101"/>
      <c r="C504" s="102"/>
      <c r="D504" s="102"/>
      <c r="E504" s="102"/>
      <c r="F504" s="102"/>
      <c r="G504" s="102"/>
      <c r="H504" s="102"/>
      <c r="I504" s="154"/>
      <c r="J504" s="154"/>
      <c r="K504" s="154"/>
      <c r="L504" s="154"/>
      <c r="M504" s="154"/>
      <c r="N504" s="154"/>
      <c r="O504" s="154"/>
      <c r="P504" s="154"/>
      <c r="Q504" s="154"/>
      <c r="R504" s="102"/>
      <c r="S504" s="102"/>
      <c r="T504" s="102"/>
      <c r="U504" s="102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01"/>
    </row>
    <row r="505" spans="1:31" s="162" customFormat="1" x14ac:dyDescent="0.25">
      <c r="A505" s="101"/>
      <c r="B505" s="101"/>
      <c r="C505" s="102"/>
      <c r="D505" s="102"/>
      <c r="E505" s="102"/>
      <c r="F505" s="102"/>
      <c r="G505" s="102"/>
      <c r="H505" s="102"/>
      <c r="I505" s="154"/>
      <c r="J505" s="154"/>
      <c r="K505" s="154"/>
      <c r="L505" s="154"/>
      <c r="M505" s="154"/>
      <c r="N505" s="154"/>
      <c r="O505" s="154"/>
      <c r="P505" s="154"/>
      <c r="Q505" s="154"/>
      <c r="R505" s="102"/>
      <c r="S505" s="102"/>
      <c r="T505" s="102"/>
      <c r="U505" s="102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01"/>
    </row>
    <row r="506" spans="1:31" s="162" customFormat="1" x14ac:dyDescent="0.25">
      <c r="A506" s="101"/>
      <c r="B506" s="101"/>
      <c r="C506" s="102"/>
      <c r="D506" s="102"/>
      <c r="E506" s="102"/>
      <c r="F506" s="102"/>
      <c r="G506" s="102"/>
      <c r="H506" s="102"/>
      <c r="I506" s="154"/>
      <c r="J506" s="154"/>
      <c r="K506" s="154"/>
      <c r="L506" s="154"/>
      <c r="M506" s="154"/>
      <c r="N506" s="154"/>
      <c r="O506" s="154"/>
      <c r="P506" s="154"/>
      <c r="Q506" s="154"/>
      <c r="R506" s="102"/>
      <c r="S506" s="102"/>
      <c r="T506" s="102"/>
      <c r="U506" s="102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01"/>
    </row>
    <row r="507" spans="1:31" s="162" customFormat="1" x14ac:dyDescent="0.25">
      <c r="A507" s="101"/>
      <c r="B507" s="101"/>
      <c r="C507" s="102"/>
      <c r="D507" s="102"/>
      <c r="E507" s="102"/>
      <c r="F507" s="102"/>
      <c r="G507" s="102"/>
      <c r="H507" s="102"/>
      <c r="I507" s="154"/>
      <c r="J507" s="154"/>
      <c r="K507" s="154"/>
      <c r="L507" s="154"/>
      <c r="M507" s="154"/>
      <c r="N507" s="154"/>
      <c r="O507" s="154"/>
      <c r="P507" s="154"/>
      <c r="Q507" s="154"/>
      <c r="R507" s="102"/>
      <c r="S507" s="102"/>
      <c r="T507" s="102"/>
      <c r="U507" s="102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01"/>
    </row>
    <row r="508" spans="1:31" s="162" customFormat="1" x14ac:dyDescent="0.25">
      <c r="A508" s="101"/>
      <c r="B508" s="101"/>
      <c r="C508" s="102"/>
      <c r="D508" s="102"/>
      <c r="E508" s="102"/>
      <c r="F508" s="102"/>
      <c r="G508" s="102"/>
      <c r="H508" s="102"/>
      <c r="I508" s="154"/>
      <c r="J508" s="154"/>
      <c r="K508" s="154"/>
      <c r="L508" s="154"/>
      <c r="M508" s="154"/>
      <c r="N508" s="154"/>
      <c r="O508" s="154"/>
      <c r="P508" s="154"/>
      <c r="Q508" s="154"/>
      <c r="R508" s="102"/>
      <c r="S508" s="102"/>
      <c r="T508" s="102"/>
      <c r="U508" s="102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01"/>
    </row>
    <row r="509" spans="1:31" s="162" customFormat="1" x14ac:dyDescent="0.25">
      <c r="A509" s="101"/>
      <c r="B509" s="101"/>
      <c r="C509" s="102"/>
      <c r="D509" s="102"/>
      <c r="E509" s="102"/>
      <c r="F509" s="102"/>
      <c r="G509" s="102"/>
      <c r="H509" s="102"/>
      <c r="I509" s="154"/>
      <c r="J509" s="154"/>
      <c r="K509" s="154"/>
      <c r="L509" s="154"/>
      <c r="M509" s="154"/>
      <c r="N509" s="154"/>
      <c r="O509" s="154"/>
      <c r="P509" s="154"/>
      <c r="Q509" s="154"/>
      <c r="R509" s="102"/>
      <c r="S509" s="102"/>
      <c r="T509" s="102"/>
      <c r="U509" s="102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01"/>
    </row>
    <row r="510" spans="1:31" s="162" customFormat="1" x14ac:dyDescent="0.25">
      <c r="A510" s="101"/>
      <c r="B510" s="101"/>
      <c r="C510" s="102"/>
      <c r="D510" s="102"/>
      <c r="E510" s="102"/>
      <c r="F510" s="102"/>
      <c r="G510" s="102"/>
      <c r="H510" s="102"/>
      <c r="I510" s="154"/>
      <c r="J510" s="154"/>
      <c r="K510" s="154"/>
      <c r="L510" s="154"/>
      <c r="M510" s="154"/>
      <c r="N510" s="154"/>
      <c r="O510" s="154"/>
      <c r="P510" s="154"/>
      <c r="Q510" s="154"/>
      <c r="R510" s="102"/>
      <c r="S510" s="102"/>
      <c r="T510" s="102"/>
      <c r="U510" s="102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01"/>
    </row>
    <row r="511" spans="1:31" s="162" customFormat="1" x14ac:dyDescent="0.25">
      <c r="A511" s="101"/>
      <c r="B511" s="101"/>
      <c r="C511" s="102"/>
      <c r="D511" s="102"/>
      <c r="E511" s="102"/>
      <c r="F511" s="102"/>
      <c r="G511" s="102"/>
      <c r="H511" s="102"/>
      <c r="I511" s="154"/>
      <c r="J511" s="154"/>
      <c r="K511" s="154"/>
      <c r="L511" s="154"/>
      <c r="M511" s="154"/>
      <c r="N511" s="154"/>
      <c r="O511" s="154"/>
      <c r="P511" s="154"/>
      <c r="Q511" s="154"/>
      <c r="R511" s="102"/>
      <c r="S511" s="102"/>
      <c r="T511" s="102"/>
      <c r="U511" s="102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01"/>
    </row>
    <row r="512" spans="1:31" s="162" customFormat="1" x14ac:dyDescent="0.25">
      <c r="A512" s="101"/>
      <c r="B512" s="101"/>
      <c r="C512" s="102"/>
      <c r="D512" s="102"/>
      <c r="E512" s="102"/>
      <c r="F512" s="102"/>
      <c r="G512" s="102"/>
      <c r="H512" s="102"/>
      <c r="I512" s="154"/>
      <c r="J512" s="154"/>
      <c r="K512" s="154"/>
      <c r="L512" s="154"/>
      <c r="M512" s="154"/>
      <c r="N512" s="154"/>
      <c r="O512" s="154"/>
      <c r="P512" s="154"/>
      <c r="Q512" s="154"/>
      <c r="R512" s="102"/>
      <c r="S512" s="102"/>
      <c r="T512" s="102"/>
      <c r="U512" s="102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01"/>
    </row>
    <row r="513" spans="1:31" s="162" customFormat="1" x14ac:dyDescent="0.25">
      <c r="A513" s="101"/>
      <c r="B513" s="101"/>
      <c r="C513" s="102"/>
      <c r="D513" s="102"/>
      <c r="E513" s="102"/>
      <c r="F513" s="102"/>
      <c r="G513" s="102"/>
      <c r="H513" s="102"/>
      <c r="I513" s="154"/>
      <c r="J513" s="154"/>
      <c r="K513" s="154"/>
      <c r="L513" s="154"/>
      <c r="M513" s="154"/>
      <c r="N513" s="154"/>
      <c r="O513" s="154"/>
      <c r="P513" s="154"/>
      <c r="Q513" s="154"/>
      <c r="R513" s="102"/>
      <c r="S513" s="102"/>
      <c r="T513" s="102"/>
      <c r="U513" s="102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01"/>
    </row>
    <row r="514" spans="1:31" s="162" customFormat="1" x14ac:dyDescent="0.25">
      <c r="A514" s="101"/>
      <c r="B514" s="101"/>
      <c r="C514" s="102"/>
      <c r="D514" s="102"/>
      <c r="E514" s="102"/>
      <c r="F514" s="102"/>
      <c r="G514" s="102"/>
      <c r="H514" s="102"/>
      <c r="I514" s="154"/>
      <c r="J514" s="154"/>
      <c r="K514" s="154"/>
      <c r="L514" s="154"/>
      <c r="M514" s="154"/>
      <c r="N514" s="154"/>
      <c r="O514" s="154"/>
      <c r="P514" s="154"/>
      <c r="Q514" s="154"/>
      <c r="R514" s="102"/>
      <c r="S514" s="102"/>
      <c r="T514" s="102"/>
      <c r="U514" s="102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01"/>
    </row>
    <row r="515" spans="1:31" s="162" customFormat="1" x14ac:dyDescent="0.25">
      <c r="A515" s="101"/>
      <c r="B515" s="101"/>
      <c r="C515" s="102"/>
      <c r="D515" s="102"/>
      <c r="E515" s="102"/>
      <c r="F515" s="102"/>
      <c r="G515" s="102"/>
      <c r="H515" s="102"/>
      <c r="I515" s="154"/>
      <c r="J515" s="154"/>
      <c r="K515" s="154"/>
      <c r="L515" s="154"/>
      <c r="M515" s="154"/>
      <c r="N515" s="154"/>
      <c r="O515" s="154"/>
      <c r="P515" s="154"/>
      <c r="Q515" s="154"/>
      <c r="R515" s="102"/>
      <c r="S515" s="102"/>
      <c r="T515" s="102"/>
      <c r="U515" s="102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01"/>
    </row>
    <row r="516" spans="1:31" s="162" customFormat="1" x14ac:dyDescent="0.25">
      <c r="A516" s="101"/>
      <c r="B516" s="101"/>
      <c r="C516" s="102"/>
      <c r="D516" s="102"/>
      <c r="E516" s="102"/>
      <c r="F516" s="102"/>
      <c r="G516" s="102"/>
      <c r="H516" s="102"/>
      <c r="I516" s="154"/>
      <c r="J516" s="154"/>
      <c r="K516" s="154"/>
      <c r="L516" s="154"/>
      <c r="M516" s="154"/>
      <c r="N516" s="154"/>
      <c r="O516" s="154"/>
      <c r="P516" s="154"/>
      <c r="Q516" s="154"/>
      <c r="R516" s="102"/>
      <c r="S516" s="102"/>
      <c r="T516" s="102"/>
      <c r="U516" s="102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01"/>
    </row>
    <row r="517" spans="1:31" s="162" customFormat="1" x14ac:dyDescent="0.25">
      <c r="A517" s="101"/>
      <c r="B517" s="101"/>
      <c r="C517" s="102"/>
      <c r="D517" s="102"/>
      <c r="E517" s="102"/>
      <c r="F517" s="102"/>
      <c r="G517" s="102"/>
      <c r="H517" s="102"/>
      <c r="I517" s="154"/>
      <c r="J517" s="154"/>
      <c r="K517" s="154"/>
      <c r="L517" s="154"/>
      <c r="M517" s="154"/>
      <c r="N517" s="154"/>
      <c r="O517" s="154"/>
      <c r="P517" s="154"/>
      <c r="Q517" s="154"/>
      <c r="R517" s="102"/>
      <c r="S517" s="102"/>
      <c r="T517" s="102"/>
      <c r="U517" s="102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01"/>
    </row>
    <row r="518" spans="1:31" s="162" customFormat="1" x14ac:dyDescent="0.25">
      <c r="A518" s="101"/>
      <c r="B518" s="101"/>
      <c r="C518" s="102"/>
      <c r="D518" s="102"/>
      <c r="E518" s="102"/>
      <c r="F518" s="102"/>
      <c r="G518" s="102"/>
      <c r="H518" s="102"/>
      <c r="I518" s="154"/>
      <c r="J518" s="154"/>
      <c r="K518" s="154"/>
      <c r="L518" s="154"/>
      <c r="M518" s="154"/>
      <c r="N518" s="154"/>
      <c r="O518" s="154"/>
      <c r="P518" s="154"/>
      <c r="Q518" s="154"/>
      <c r="R518" s="102"/>
      <c r="S518" s="102"/>
      <c r="T518" s="102"/>
      <c r="U518" s="102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01"/>
    </row>
    <row r="519" spans="1:31" s="162" customFormat="1" x14ac:dyDescent="0.25">
      <c r="A519" s="101"/>
      <c r="B519" s="101"/>
      <c r="C519" s="102"/>
      <c r="D519" s="102"/>
      <c r="E519" s="102"/>
      <c r="F519" s="102"/>
      <c r="G519" s="102"/>
      <c r="H519" s="102"/>
      <c r="I519" s="154"/>
      <c r="J519" s="154"/>
      <c r="K519" s="154"/>
      <c r="L519" s="154"/>
      <c r="M519" s="154"/>
      <c r="N519" s="154"/>
      <c r="O519" s="154"/>
      <c r="P519" s="154"/>
      <c r="Q519" s="154"/>
      <c r="R519" s="102"/>
      <c r="S519" s="102"/>
      <c r="T519" s="102"/>
      <c r="U519" s="102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01"/>
    </row>
    <row r="520" spans="1:31" s="162" customFormat="1" x14ac:dyDescent="0.25">
      <c r="A520" s="101"/>
      <c r="B520" s="101"/>
      <c r="C520" s="102"/>
      <c r="D520" s="102"/>
      <c r="E520" s="102"/>
      <c r="F520" s="102"/>
      <c r="G520" s="102"/>
      <c r="H520" s="102"/>
      <c r="I520" s="154"/>
      <c r="J520" s="154"/>
      <c r="K520" s="154"/>
      <c r="L520" s="154"/>
      <c r="M520" s="154"/>
      <c r="N520" s="154"/>
      <c r="O520" s="154"/>
      <c r="P520" s="154"/>
      <c r="Q520" s="154"/>
      <c r="R520" s="102"/>
      <c r="S520" s="102"/>
      <c r="T520" s="102"/>
      <c r="U520" s="102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01"/>
    </row>
    <row r="521" spans="1:31" s="162" customFormat="1" x14ac:dyDescent="0.25">
      <c r="A521" s="101"/>
      <c r="B521" s="101"/>
      <c r="C521" s="102"/>
      <c r="D521" s="102"/>
      <c r="E521" s="102"/>
      <c r="F521" s="102"/>
      <c r="G521" s="102"/>
      <c r="H521" s="102"/>
      <c r="I521" s="154"/>
      <c r="J521" s="154"/>
      <c r="K521" s="154"/>
      <c r="L521" s="154"/>
      <c r="M521" s="154"/>
      <c r="N521" s="154"/>
      <c r="O521" s="154"/>
      <c r="P521" s="154"/>
      <c r="Q521" s="154"/>
      <c r="R521" s="102"/>
      <c r="S521" s="102"/>
      <c r="T521" s="102"/>
      <c r="U521" s="102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01"/>
    </row>
    <row r="522" spans="1:31" s="162" customFormat="1" x14ac:dyDescent="0.25">
      <c r="A522" s="101"/>
      <c r="B522" s="101"/>
      <c r="C522" s="102"/>
      <c r="D522" s="102"/>
      <c r="E522" s="102"/>
      <c r="F522" s="102"/>
      <c r="G522" s="102"/>
      <c r="H522" s="102"/>
      <c r="I522" s="154"/>
      <c r="J522" s="154"/>
      <c r="K522" s="154"/>
      <c r="L522" s="154"/>
      <c r="M522" s="154"/>
      <c r="N522" s="154"/>
      <c r="O522" s="154"/>
      <c r="P522" s="154"/>
      <c r="Q522" s="154"/>
      <c r="R522" s="102"/>
      <c r="S522" s="102"/>
      <c r="T522" s="102"/>
      <c r="U522" s="102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01"/>
    </row>
    <row r="523" spans="1:31" s="162" customFormat="1" x14ac:dyDescent="0.25">
      <c r="A523" s="101"/>
      <c r="B523" s="101"/>
      <c r="C523" s="102"/>
      <c r="D523" s="102"/>
      <c r="E523" s="102"/>
      <c r="F523" s="102"/>
      <c r="G523" s="102"/>
      <c r="H523" s="102"/>
      <c r="I523" s="154"/>
      <c r="J523" s="154"/>
      <c r="K523" s="154"/>
      <c r="L523" s="154"/>
      <c r="M523" s="154"/>
      <c r="N523" s="154"/>
      <c r="O523" s="154"/>
      <c r="P523" s="154"/>
      <c r="Q523" s="154"/>
      <c r="R523" s="102"/>
      <c r="S523" s="102"/>
      <c r="T523" s="102"/>
      <c r="U523" s="102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01"/>
    </row>
    <row r="524" spans="1:31" s="162" customFormat="1" x14ac:dyDescent="0.25">
      <c r="A524" s="101"/>
      <c r="B524" s="101"/>
      <c r="C524" s="102"/>
      <c r="D524" s="102"/>
      <c r="E524" s="102"/>
      <c r="F524" s="102"/>
      <c r="G524" s="102"/>
      <c r="H524" s="102"/>
      <c r="I524" s="154"/>
      <c r="J524" s="154"/>
      <c r="K524" s="154"/>
      <c r="L524" s="154"/>
      <c r="M524" s="154"/>
      <c r="N524" s="154"/>
      <c r="O524" s="154"/>
      <c r="P524" s="154"/>
      <c r="Q524" s="154"/>
      <c r="R524" s="102"/>
      <c r="S524" s="102"/>
      <c r="T524" s="102"/>
      <c r="U524" s="102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01"/>
    </row>
    <row r="525" spans="1:31" s="162" customFormat="1" x14ac:dyDescent="0.25">
      <c r="A525" s="101"/>
      <c r="B525" s="101"/>
      <c r="C525" s="102"/>
      <c r="D525" s="102"/>
      <c r="E525" s="102"/>
      <c r="F525" s="102"/>
      <c r="G525" s="102"/>
      <c r="H525" s="102"/>
      <c r="I525" s="154"/>
      <c r="J525" s="154"/>
      <c r="K525" s="154"/>
      <c r="L525" s="154"/>
      <c r="M525" s="154"/>
      <c r="N525" s="154"/>
      <c r="O525" s="154"/>
      <c r="P525" s="154"/>
      <c r="Q525" s="154"/>
      <c r="R525" s="102"/>
      <c r="S525" s="102"/>
      <c r="T525" s="102"/>
      <c r="U525" s="102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01"/>
    </row>
    <row r="526" spans="1:31" s="162" customFormat="1" x14ac:dyDescent="0.25">
      <c r="A526" s="101"/>
      <c r="B526" s="101"/>
      <c r="C526" s="102"/>
      <c r="D526" s="102"/>
      <c r="E526" s="102"/>
      <c r="F526" s="102"/>
      <c r="G526" s="102"/>
      <c r="H526" s="102"/>
      <c r="I526" s="154"/>
      <c r="J526" s="154"/>
      <c r="K526" s="154"/>
      <c r="L526" s="154"/>
      <c r="M526" s="154"/>
      <c r="N526" s="154"/>
      <c r="O526" s="154"/>
      <c r="P526" s="154"/>
      <c r="Q526" s="154"/>
      <c r="R526" s="102"/>
      <c r="S526" s="102"/>
      <c r="T526" s="102"/>
      <c r="U526" s="102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01"/>
    </row>
    <row r="527" spans="1:31" s="162" customFormat="1" x14ac:dyDescent="0.25">
      <c r="A527" s="101"/>
      <c r="B527" s="101"/>
      <c r="C527" s="102"/>
      <c r="D527" s="102"/>
      <c r="E527" s="102"/>
      <c r="F527" s="102"/>
      <c r="G527" s="102"/>
      <c r="H527" s="102"/>
      <c r="I527" s="154"/>
      <c r="J527" s="154"/>
      <c r="K527" s="154"/>
      <c r="L527" s="154"/>
      <c r="M527" s="154"/>
      <c r="N527" s="154"/>
      <c r="O527" s="154"/>
      <c r="P527" s="154"/>
      <c r="Q527" s="154"/>
      <c r="R527" s="102"/>
      <c r="S527" s="102"/>
      <c r="T527" s="102"/>
      <c r="U527" s="102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01"/>
    </row>
    <row r="528" spans="1:31" s="162" customFormat="1" x14ac:dyDescent="0.25">
      <c r="A528" s="101"/>
      <c r="B528" s="101"/>
      <c r="C528" s="102"/>
      <c r="D528" s="102"/>
      <c r="E528" s="102"/>
      <c r="F528" s="102"/>
      <c r="G528" s="102"/>
      <c r="H528" s="102"/>
      <c r="I528" s="154"/>
      <c r="J528" s="154"/>
      <c r="K528" s="154"/>
      <c r="L528" s="154"/>
      <c r="M528" s="154"/>
      <c r="N528" s="154"/>
      <c r="O528" s="154"/>
      <c r="P528" s="154"/>
      <c r="Q528" s="154"/>
      <c r="R528" s="102"/>
      <c r="S528" s="102"/>
      <c r="T528" s="102"/>
      <c r="U528" s="102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01"/>
    </row>
    <row r="529" spans="1:31" s="162" customFormat="1" x14ac:dyDescent="0.25">
      <c r="A529" s="101"/>
      <c r="B529" s="101"/>
      <c r="C529" s="102"/>
      <c r="D529" s="102"/>
      <c r="E529" s="102"/>
      <c r="F529" s="102"/>
      <c r="G529" s="102"/>
      <c r="H529" s="102"/>
      <c r="I529" s="154"/>
      <c r="J529" s="154"/>
      <c r="K529" s="154"/>
      <c r="L529" s="154"/>
      <c r="M529" s="154"/>
      <c r="N529" s="154"/>
      <c r="O529" s="154"/>
      <c r="P529" s="154"/>
      <c r="Q529" s="154"/>
      <c r="R529" s="102"/>
      <c r="S529" s="102"/>
      <c r="T529" s="102"/>
      <c r="U529" s="102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01"/>
    </row>
    <row r="530" spans="1:31" s="162" customFormat="1" x14ac:dyDescent="0.25">
      <c r="A530" s="101"/>
      <c r="B530" s="101"/>
      <c r="C530" s="102"/>
      <c r="D530" s="102"/>
      <c r="E530" s="102"/>
      <c r="F530" s="102"/>
      <c r="G530" s="102"/>
      <c r="H530" s="102"/>
      <c r="I530" s="154"/>
      <c r="J530" s="154"/>
      <c r="K530" s="154"/>
      <c r="L530" s="154"/>
      <c r="M530" s="154"/>
      <c r="N530" s="154"/>
      <c r="O530" s="154"/>
      <c r="P530" s="154"/>
      <c r="Q530" s="154"/>
      <c r="R530" s="102"/>
      <c r="S530" s="102"/>
      <c r="T530" s="102"/>
      <c r="U530" s="102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01"/>
    </row>
    <row r="531" spans="1:31" s="162" customFormat="1" x14ac:dyDescent="0.25">
      <c r="A531" s="101"/>
      <c r="B531" s="101"/>
      <c r="C531" s="102"/>
      <c r="D531" s="102"/>
      <c r="E531" s="102"/>
      <c r="F531" s="102"/>
      <c r="G531" s="102"/>
      <c r="H531" s="102"/>
      <c r="I531" s="154"/>
      <c r="J531" s="154"/>
      <c r="K531" s="154"/>
      <c r="L531" s="154"/>
      <c r="M531" s="154"/>
      <c r="N531" s="154"/>
      <c r="O531" s="154"/>
      <c r="P531" s="154"/>
      <c r="Q531" s="154"/>
      <c r="R531" s="102"/>
      <c r="S531" s="102"/>
      <c r="T531" s="102"/>
      <c r="U531" s="102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01"/>
    </row>
    <row r="532" spans="1:31" s="162" customFormat="1" x14ac:dyDescent="0.25">
      <c r="A532" s="101"/>
      <c r="B532" s="101"/>
      <c r="C532" s="102"/>
      <c r="D532" s="102"/>
      <c r="E532" s="102"/>
      <c r="F532" s="102"/>
      <c r="G532" s="102"/>
      <c r="H532" s="102"/>
      <c r="I532" s="154"/>
      <c r="J532" s="154"/>
      <c r="K532" s="154"/>
      <c r="L532" s="154"/>
      <c r="M532" s="154"/>
      <c r="N532" s="154"/>
      <c r="O532" s="154"/>
      <c r="P532" s="154"/>
      <c r="Q532" s="154"/>
      <c r="R532" s="102"/>
      <c r="S532" s="102"/>
      <c r="T532" s="102"/>
      <c r="U532" s="102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01"/>
    </row>
    <row r="533" spans="1:31" s="162" customFormat="1" x14ac:dyDescent="0.25">
      <c r="A533" s="101"/>
      <c r="B533" s="101"/>
      <c r="C533" s="102"/>
      <c r="D533" s="102"/>
      <c r="E533" s="102"/>
      <c r="F533" s="102"/>
      <c r="G533" s="102"/>
      <c r="H533" s="102"/>
      <c r="I533" s="154"/>
      <c r="J533" s="154"/>
      <c r="K533" s="154"/>
      <c r="L533" s="154"/>
      <c r="M533" s="154"/>
      <c r="N533" s="154"/>
      <c r="O533" s="154"/>
      <c r="P533" s="154"/>
      <c r="Q533" s="154"/>
      <c r="R533" s="102"/>
      <c r="S533" s="102"/>
      <c r="T533" s="102"/>
      <c r="U533" s="102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01"/>
    </row>
    <row r="534" spans="1:31" s="162" customFormat="1" x14ac:dyDescent="0.25">
      <c r="A534" s="101"/>
      <c r="B534" s="101"/>
      <c r="C534" s="102"/>
      <c r="D534" s="102"/>
      <c r="E534" s="102"/>
      <c r="F534" s="102"/>
      <c r="G534" s="102"/>
      <c r="H534" s="102"/>
      <c r="I534" s="154"/>
      <c r="J534" s="154"/>
      <c r="K534" s="154"/>
      <c r="L534" s="154"/>
      <c r="M534" s="154"/>
      <c r="N534" s="154"/>
      <c r="O534" s="154"/>
      <c r="P534" s="154"/>
      <c r="Q534" s="154"/>
      <c r="R534" s="102"/>
      <c r="S534" s="102"/>
      <c r="T534" s="102"/>
      <c r="U534" s="102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01"/>
    </row>
    <row r="535" spans="1:31" s="162" customFormat="1" x14ac:dyDescent="0.25">
      <c r="A535" s="101"/>
      <c r="B535" s="101"/>
      <c r="C535" s="102"/>
      <c r="D535" s="102"/>
      <c r="E535" s="102"/>
      <c r="F535" s="102"/>
      <c r="G535" s="102"/>
      <c r="H535" s="102"/>
      <c r="I535" s="154"/>
      <c r="J535" s="154"/>
      <c r="K535" s="154"/>
      <c r="L535" s="154"/>
      <c r="M535" s="154"/>
      <c r="N535" s="154"/>
      <c r="O535" s="154"/>
      <c r="P535" s="154"/>
      <c r="Q535" s="154"/>
      <c r="R535" s="102"/>
      <c r="S535" s="102"/>
      <c r="T535" s="102"/>
      <c r="U535" s="102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01"/>
    </row>
    <row r="536" spans="1:31" s="162" customFormat="1" x14ac:dyDescent="0.25">
      <c r="A536" s="101"/>
      <c r="B536" s="101"/>
      <c r="C536" s="102"/>
      <c r="D536" s="102"/>
      <c r="E536" s="102"/>
      <c r="F536" s="102"/>
      <c r="G536" s="102"/>
      <c r="H536" s="102"/>
      <c r="I536" s="154"/>
      <c r="J536" s="154"/>
      <c r="K536" s="154"/>
      <c r="L536" s="154"/>
      <c r="M536" s="154"/>
      <c r="N536" s="154"/>
      <c r="O536" s="154"/>
      <c r="P536" s="154"/>
      <c r="Q536" s="154"/>
      <c r="R536" s="102"/>
      <c r="S536" s="102"/>
      <c r="T536" s="102"/>
      <c r="U536" s="102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01"/>
    </row>
    <row r="537" spans="1:31" s="162" customFormat="1" x14ac:dyDescent="0.25">
      <c r="A537" s="101"/>
      <c r="B537" s="101"/>
      <c r="C537" s="102"/>
      <c r="D537" s="102"/>
      <c r="E537" s="102"/>
      <c r="F537" s="102"/>
      <c r="G537" s="102"/>
      <c r="H537" s="102"/>
      <c r="I537" s="154"/>
      <c r="J537" s="154"/>
      <c r="K537" s="154"/>
      <c r="L537" s="154"/>
      <c r="M537" s="154"/>
      <c r="N537" s="154"/>
      <c r="O537" s="154"/>
      <c r="P537" s="154"/>
      <c r="Q537" s="154"/>
      <c r="R537" s="102"/>
      <c r="S537" s="102"/>
      <c r="T537" s="102"/>
      <c r="U537" s="102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01"/>
    </row>
    <row r="538" spans="1:31" s="162" customFormat="1" x14ac:dyDescent="0.25">
      <c r="A538" s="101"/>
      <c r="B538" s="101"/>
      <c r="C538" s="102"/>
      <c r="D538" s="102"/>
      <c r="E538" s="102"/>
      <c r="F538" s="102"/>
      <c r="G538" s="102"/>
      <c r="H538" s="102"/>
      <c r="I538" s="154"/>
      <c r="J538" s="154"/>
      <c r="K538" s="154"/>
      <c r="L538" s="154"/>
      <c r="M538" s="154"/>
      <c r="N538" s="154"/>
      <c r="O538" s="154"/>
      <c r="P538" s="154"/>
      <c r="Q538" s="154"/>
      <c r="R538" s="102"/>
      <c r="S538" s="102"/>
      <c r="T538" s="102"/>
      <c r="U538" s="102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01"/>
    </row>
    <row r="539" spans="1:31" s="162" customFormat="1" x14ac:dyDescent="0.25">
      <c r="A539" s="101"/>
      <c r="B539" s="101"/>
      <c r="C539" s="102"/>
      <c r="D539" s="102"/>
      <c r="E539" s="102"/>
      <c r="F539" s="102"/>
      <c r="G539" s="102"/>
      <c r="H539" s="102"/>
      <c r="I539" s="154"/>
      <c r="J539" s="154"/>
      <c r="K539" s="154"/>
      <c r="L539" s="154"/>
      <c r="M539" s="154"/>
      <c r="N539" s="154"/>
      <c r="O539" s="154"/>
      <c r="P539" s="154"/>
      <c r="Q539" s="154"/>
      <c r="R539" s="102"/>
      <c r="S539" s="102"/>
      <c r="T539" s="102"/>
      <c r="U539" s="102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01"/>
    </row>
    <row r="540" spans="1:31" s="162" customFormat="1" x14ac:dyDescent="0.25">
      <c r="A540" s="101"/>
      <c r="B540" s="101"/>
      <c r="C540" s="102"/>
      <c r="D540" s="102"/>
      <c r="E540" s="102"/>
      <c r="F540" s="102"/>
      <c r="G540" s="102"/>
      <c r="H540" s="102"/>
      <c r="I540" s="154"/>
      <c r="J540" s="154"/>
      <c r="K540" s="154"/>
      <c r="L540" s="154"/>
      <c r="M540" s="154"/>
      <c r="N540" s="154"/>
      <c r="O540" s="154"/>
      <c r="P540" s="154"/>
      <c r="Q540" s="154"/>
      <c r="R540" s="102"/>
      <c r="S540" s="102"/>
      <c r="T540" s="102"/>
      <c r="U540" s="102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01"/>
    </row>
    <row r="541" spans="1:31" s="162" customFormat="1" x14ac:dyDescent="0.25">
      <c r="A541" s="101"/>
      <c r="B541" s="101"/>
      <c r="C541" s="102"/>
      <c r="D541" s="102"/>
      <c r="E541" s="102"/>
      <c r="F541" s="102"/>
      <c r="G541" s="102"/>
      <c r="H541" s="102"/>
      <c r="I541" s="154"/>
      <c r="J541" s="154"/>
      <c r="K541" s="154"/>
      <c r="L541" s="154"/>
      <c r="M541" s="154"/>
      <c r="N541" s="154"/>
      <c r="O541" s="154"/>
      <c r="P541" s="154"/>
      <c r="Q541" s="154"/>
      <c r="R541" s="102"/>
      <c r="S541" s="102"/>
      <c r="T541" s="102"/>
      <c r="U541" s="102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01"/>
    </row>
    <row r="542" spans="1:31" s="162" customFormat="1" x14ac:dyDescent="0.25">
      <c r="A542" s="101"/>
      <c r="B542" s="101"/>
      <c r="C542" s="102"/>
      <c r="D542" s="102"/>
      <c r="E542" s="102"/>
      <c r="F542" s="102"/>
      <c r="G542" s="102"/>
      <c r="H542" s="102"/>
      <c r="I542" s="154"/>
      <c r="J542" s="154"/>
      <c r="K542" s="154"/>
      <c r="L542" s="154"/>
      <c r="M542" s="154"/>
      <c r="N542" s="154"/>
      <c r="O542" s="154"/>
      <c r="P542" s="154"/>
      <c r="Q542" s="154"/>
      <c r="R542" s="102"/>
      <c r="S542" s="102"/>
      <c r="T542" s="102"/>
      <c r="U542" s="102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01"/>
    </row>
    <row r="543" spans="1:31" s="162" customFormat="1" x14ac:dyDescent="0.25">
      <c r="A543" s="101"/>
      <c r="B543" s="101"/>
      <c r="C543" s="102"/>
      <c r="D543" s="102"/>
      <c r="E543" s="102"/>
      <c r="F543" s="102"/>
      <c r="G543" s="102"/>
      <c r="H543" s="102"/>
      <c r="I543" s="154"/>
      <c r="J543" s="154"/>
      <c r="K543" s="154"/>
      <c r="L543" s="154"/>
      <c r="M543" s="154"/>
      <c r="N543" s="154"/>
      <c r="O543" s="154"/>
      <c r="P543" s="154"/>
      <c r="Q543" s="154"/>
      <c r="R543" s="102"/>
      <c r="S543" s="102"/>
      <c r="T543" s="102"/>
      <c r="U543" s="102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01"/>
    </row>
    <row r="544" spans="1:31" s="162" customFormat="1" x14ac:dyDescent="0.25">
      <c r="A544" s="101"/>
      <c r="B544" s="101"/>
      <c r="C544" s="102"/>
      <c r="D544" s="102"/>
      <c r="E544" s="102"/>
      <c r="F544" s="102"/>
      <c r="G544" s="102"/>
      <c r="H544" s="102"/>
      <c r="I544" s="154"/>
      <c r="J544" s="154"/>
      <c r="K544" s="154"/>
      <c r="L544" s="154"/>
      <c r="M544" s="154"/>
      <c r="N544" s="154"/>
      <c r="O544" s="154"/>
      <c r="P544" s="154"/>
      <c r="Q544" s="154"/>
      <c r="R544" s="102"/>
      <c r="S544" s="102"/>
      <c r="T544" s="102"/>
      <c r="U544" s="102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01"/>
    </row>
    <row r="545" spans="1:31" s="162" customFormat="1" x14ac:dyDescent="0.25">
      <c r="A545" s="101"/>
      <c r="B545" s="101"/>
      <c r="C545" s="102"/>
      <c r="D545" s="102"/>
      <c r="E545" s="102"/>
      <c r="F545" s="102"/>
      <c r="G545" s="102"/>
      <c r="H545" s="102"/>
      <c r="I545" s="154"/>
      <c r="J545" s="154"/>
      <c r="K545" s="154"/>
      <c r="L545" s="154"/>
      <c r="M545" s="154"/>
      <c r="N545" s="154"/>
      <c r="O545" s="154"/>
      <c r="P545" s="154"/>
      <c r="Q545" s="154"/>
      <c r="R545" s="102"/>
      <c r="S545" s="102"/>
      <c r="T545" s="102"/>
      <c r="U545" s="102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01"/>
    </row>
    <row r="546" spans="1:31" s="162" customFormat="1" x14ac:dyDescent="0.25">
      <c r="A546" s="101"/>
      <c r="B546" s="101"/>
      <c r="C546" s="102"/>
      <c r="D546" s="102"/>
      <c r="E546" s="102"/>
      <c r="F546" s="102"/>
      <c r="G546" s="102"/>
      <c r="H546" s="102"/>
      <c r="I546" s="154"/>
      <c r="J546" s="154"/>
      <c r="K546" s="154"/>
      <c r="L546" s="154"/>
      <c r="M546" s="154"/>
      <c r="N546" s="154"/>
      <c r="O546" s="154"/>
      <c r="P546" s="154"/>
      <c r="Q546" s="154"/>
      <c r="R546" s="102"/>
      <c r="S546" s="102"/>
      <c r="T546" s="102"/>
      <c r="U546" s="102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01"/>
    </row>
    <row r="547" spans="1:31" s="162" customFormat="1" x14ac:dyDescent="0.25">
      <c r="A547" s="101"/>
      <c r="B547" s="101"/>
      <c r="C547" s="102"/>
      <c r="D547" s="102"/>
      <c r="E547" s="102"/>
      <c r="F547" s="102"/>
      <c r="G547" s="102"/>
      <c r="H547" s="102"/>
      <c r="I547" s="154"/>
      <c r="J547" s="154"/>
      <c r="K547" s="154"/>
      <c r="L547" s="154"/>
      <c r="M547" s="154"/>
      <c r="N547" s="154"/>
      <c r="O547" s="154"/>
      <c r="P547" s="154"/>
      <c r="Q547" s="154"/>
      <c r="R547" s="102"/>
      <c r="S547" s="102"/>
      <c r="T547" s="102"/>
      <c r="U547" s="102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01"/>
    </row>
    <row r="548" spans="1:31" s="162" customFormat="1" x14ac:dyDescent="0.25">
      <c r="A548" s="101"/>
      <c r="B548" s="101"/>
      <c r="C548" s="102"/>
      <c r="D548" s="102"/>
      <c r="E548" s="102"/>
      <c r="F548" s="102"/>
      <c r="G548" s="102"/>
      <c r="H548" s="102"/>
      <c r="I548" s="154"/>
      <c r="J548" s="154"/>
      <c r="K548" s="154"/>
      <c r="L548" s="154"/>
      <c r="M548" s="154"/>
      <c r="N548" s="154"/>
      <c r="O548" s="154"/>
      <c r="P548" s="154"/>
      <c r="Q548" s="154"/>
      <c r="R548" s="102"/>
      <c r="S548" s="102"/>
      <c r="T548" s="102"/>
      <c r="U548" s="102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01"/>
    </row>
    <row r="549" spans="1:31" s="162" customFormat="1" x14ac:dyDescent="0.25">
      <c r="A549" s="101"/>
      <c r="B549" s="101"/>
      <c r="C549" s="102"/>
      <c r="D549" s="102"/>
      <c r="E549" s="102"/>
      <c r="F549" s="102"/>
      <c r="G549" s="102"/>
      <c r="H549" s="102"/>
      <c r="I549" s="154"/>
      <c r="J549" s="154"/>
      <c r="K549" s="154"/>
      <c r="L549" s="154"/>
      <c r="M549" s="154"/>
      <c r="N549" s="154"/>
      <c r="O549" s="154"/>
      <c r="P549" s="154"/>
      <c r="Q549" s="154"/>
      <c r="R549" s="102"/>
      <c r="S549" s="102"/>
      <c r="T549" s="102"/>
      <c r="U549" s="102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01"/>
    </row>
    <row r="550" spans="1:31" s="162" customFormat="1" x14ac:dyDescent="0.25">
      <c r="A550" s="101"/>
      <c r="B550" s="101"/>
      <c r="C550" s="102"/>
      <c r="D550" s="102"/>
      <c r="E550" s="102"/>
      <c r="F550" s="102"/>
      <c r="G550" s="102"/>
      <c r="H550" s="102"/>
      <c r="I550" s="154"/>
      <c r="J550" s="154"/>
      <c r="K550" s="154"/>
      <c r="L550" s="154"/>
      <c r="M550" s="154"/>
      <c r="N550" s="154"/>
      <c r="O550" s="154"/>
      <c r="P550" s="154"/>
      <c r="Q550" s="154"/>
      <c r="R550" s="102"/>
      <c r="S550" s="102"/>
      <c r="T550" s="102"/>
      <c r="U550" s="102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01"/>
    </row>
    <row r="551" spans="1:31" s="162" customFormat="1" x14ac:dyDescent="0.25">
      <c r="A551" s="101"/>
      <c r="B551" s="101"/>
      <c r="C551" s="102"/>
      <c r="D551" s="102"/>
      <c r="E551" s="102"/>
      <c r="F551" s="102"/>
      <c r="G551" s="102"/>
      <c r="H551" s="102"/>
      <c r="I551" s="154"/>
      <c r="J551" s="154"/>
      <c r="K551" s="154"/>
      <c r="L551" s="154"/>
      <c r="M551" s="154"/>
      <c r="N551" s="154"/>
      <c r="O551" s="154"/>
      <c r="P551" s="154"/>
      <c r="Q551" s="154"/>
      <c r="R551" s="102"/>
      <c r="S551" s="102"/>
      <c r="T551" s="102"/>
      <c r="U551" s="102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01"/>
    </row>
    <row r="552" spans="1:31" s="162" customFormat="1" x14ac:dyDescent="0.25">
      <c r="A552" s="101"/>
      <c r="B552" s="101"/>
      <c r="C552" s="102"/>
      <c r="D552" s="102"/>
      <c r="E552" s="102"/>
      <c r="F552" s="102"/>
      <c r="G552" s="102"/>
      <c r="H552" s="102"/>
      <c r="I552" s="154"/>
      <c r="J552" s="154"/>
      <c r="K552" s="154"/>
      <c r="L552" s="154"/>
      <c r="M552" s="154"/>
      <c r="N552" s="154"/>
      <c r="O552" s="154"/>
      <c r="P552" s="154"/>
      <c r="Q552" s="154"/>
      <c r="R552" s="102"/>
      <c r="S552" s="102"/>
      <c r="T552" s="102"/>
      <c r="U552" s="102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01"/>
    </row>
    <row r="553" spans="1:31" s="162" customFormat="1" x14ac:dyDescent="0.25">
      <c r="A553" s="101"/>
      <c r="B553" s="101"/>
      <c r="C553" s="102"/>
      <c r="D553" s="102"/>
      <c r="E553" s="102"/>
      <c r="F553" s="102"/>
      <c r="G553" s="102"/>
      <c r="H553" s="102"/>
      <c r="I553" s="154"/>
      <c r="J553" s="154"/>
      <c r="K553" s="154"/>
      <c r="L553" s="154"/>
      <c r="M553" s="154"/>
      <c r="N553" s="154"/>
      <c r="O553" s="154"/>
      <c r="P553" s="154"/>
      <c r="Q553" s="154"/>
      <c r="R553" s="102"/>
      <c r="S553" s="102"/>
      <c r="T553" s="102"/>
      <c r="U553" s="102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01"/>
    </row>
    <row r="554" spans="1:31" s="162" customFormat="1" x14ac:dyDescent="0.25">
      <c r="A554" s="101"/>
      <c r="B554" s="101"/>
      <c r="C554" s="102"/>
      <c r="D554" s="102"/>
      <c r="E554" s="102"/>
      <c r="F554" s="102"/>
      <c r="G554" s="102"/>
      <c r="H554" s="102"/>
      <c r="I554" s="154"/>
      <c r="J554" s="154"/>
      <c r="K554" s="154"/>
      <c r="L554" s="154"/>
      <c r="M554" s="154"/>
      <c r="N554" s="154"/>
      <c r="O554" s="154"/>
      <c r="P554" s="154"/>
      <c r="Q554" s="154"/>
      <c r="R554" s="102"/>
      <c r="S554" s="102"/>
      <c r="T554" s="102"/>
      <c r="U554" s="102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01"/>
    </row>
    <row r="555" spans="1:31" s="162" customFormat="1" x14ac:dyDescent="0.25">
      <c r="A555" s="101"/>
      <c r="B555" s="101"/>
      <c r="C555" s="102"/>
      <c r="D555" s="102"/>
      <c r="E555" s="102"/>
      <c r="F555" s="102"/>
      <c r="G555" s="102"/>
      <c r="H555" s="102"/>
      <c r="I555" s="154"/>
      <c r="J555" s="154"/>
      <c r="K555" s="154"/>
      <c r="L555" s="154"/>
      <c r="M555" s="154"/>
      <c r="N555" s="154"/>
      <c r="O555" s="154"/>
      <c r="P555" s="154"/>
      <c r="Q555" s="154"/>
      <c r="R555" s="102"/>
      <c r="S555" s="102"/>
      <c r="T555" s="102"/>
      <c r="U555" s="102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01"/>
    </row>
    <row r="556" spans="1:31" s="162" customFormat="1" x14ac:dyDescent="0.25">
      <c r="A556" s="101"/>
      <c r="B556" s="101"/>
      <c r="C556" s="102"/>
      <c r="D556" s="102"/>
      <c r="E556" s="102"/>
      <c r="F556" s="102"/>
      <c r="G556" s="102"/>
      <c r="H556" s="102"/>
      <c r="I556" s="154"/>
      <c r="J556" s="154"/>
      <c r="K556" s="154"/>
      <c r="L556" s="154"/>
      <c r="M556" s="154"/>
      <c r="N556" s="154"/>
      <c r="O556" s="154"/>
      <c r="P556" s="154"/>
      <c r="Q556" s="154"/>
      <c r="R556" s="102"/>
      <c r="S556" s="102"/>
      <c r="T556" s="102"/>
      <c r="U556" s="102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01"/>
    </row>
    <row r="557" spans="1:31" s="162" customFormat="1" x14ac:dyDescent="0.25">
      <c r="A557" s="101"/>
      <c r="B557" s="101"/>
      <c r="C557" s="102"/>
      <c r="D557" s="102"/>
      <c r="E557" s="102"/>
      <c r="F557" s="102"/>
      <c r="G557" s="102"/>
      <c r="H557" s="102"/>
      <c r="I557" s="154"/>
      <c r="J557" s="154"/>
      <c r="K557" s="154"/>
      <c r="L557" s="154"/>
      <c r="M557" s="154"/>
      <c r="N557" s="154"/>
      <c r="O557" s="154"/>
      <c r="P557" s="154"/>
      <c r="Q557" s="154"/>
      <c r="R557" s="102"/>
      <c r="S557" s="102"/>
      <c r="T557" s="102"/>
      <c r="U557" s="102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01"/>
    </row>
    <row r="558" spans="1:31" s="162" customFormat="1" x14ac:dyDescent="0.25">
      <c r="A558" s="101"/>
      <c r="B558" s="101"/>
      <c r="C558" s="102"/>
      <c r="D558" s="102"/>
      <c r="E558" s="102"/>
      <c r="F558" s="102"/>
      <c r="G558" s="102"/>
      <c r="H558" s="102"/>
      <c r="I558" s="154"/>
      <c r="J558" s="154"/>
      <c r="K558" s="154"/>
      <c r="L558" s="154"/>
      <c r="M558" s="154"/>
      <c r="N558" s="154"/>
      <c r="O558" s="154"/>
      <c r="P558" s="154"/>
      <c r="Q558" s="154"/>
      <c r="R558" s="102"/>
      <c r="S558" s="102"/>
      <c r="T558" s="102"/>
      <c r="U558" s="102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01"/>
    </row>
    <row r="559" spans="1:31" s="162" customFormat="1" x14ac:dyDescent="0.25">
      <c r="A559" s="101"/>
      <c r="B559" s="101"/>
      <c r="C559" s="102"/>
      <c r="D559" s="102"/>
      <c r="E559" s="102"/>
      <c r="F559" s="102"/>
      <c r="G559" s="102"/>
      <c r="H559" s="102"/>
      <c r="I559" s="154"/>
      <c r="J559" s="154"/>
      <c r="K559" s="154"/>
      <c r="L559" s="154"/>
      <c r="M559" s="154"/>
      <c r="N559" s="154"/>
      <c r="O559" s="154"/>
      <c r="P559" s="154"/>
      <c r="Q559" s="154"/>
      <c r="R559" s="102"/>
      <c r="S559" s="102"/>
      <c r="T559" s="102"/>
      <c r="U559" s="102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01"/>
    </row>
    <row r="560" spans="1:31" s="162" customFormat="1" x14ac:dyDescent="0.25">
      <c r="A560" s="101"/>
      <c r="B560" s="101"/>
      <c r="C560" s="102"/>
      <c r="D560" s="102"/>
      <c r="E560" s="102"/>
      <c r="F560" s="102"/>
      <c r="G560" s="102"/>
      <c r="H560" s="102"/>
      <c r="I560" s="154"/>
      <c r="J560" s="154"/>
      <c r="K560" s="154"/>
      <c r="L560" s="154"/>
      <c r="M560" s="154"/>
      <c r="N560" s="154"/>
      <c r="O560" s="154"/>
      <c r="P560" s="154"/>
      <c r="Q560" s="154"/>
      <c r="R560" s="102"/>
      <c r="S560" s="102"/>
      <c r="T560" s="102"/>
      <c r="U560" s="102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01"/>
    </row>
    <row r="561" spans="1:31" s="162" customFormat="1" x14ac:dyDescent="0.25">
      <c r="A561" s="101"/>
      <c r="B561" s="101"/>
      <c r="C561" s="102"/>
      <c r="D561" s="102"/>
      <c r="E561" s="102"/>
      <c r="F561" s="102"/>
      <c r="G561" s="102"/>
      <c r="H561" s="102"/>
      <c r="I561" s="154"/>
      <c r="J561" s="154"/>
      <c r="K561" s="154"/>
      <c r="L561" s="154"/>
      <c r="M561" s="154"/>
      <c r="N561" s="154"/>
      <c r="O561" s="154"/>
      <c r="P561" s="154"/>
      <c r="Q561" s="154"/>
      <c r="R561" s="102"/>
      <c r="S561" s="102"/>
      <c r="T561" s="102"/>
      <c r="U561" s="102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01"/>
    </row>
    <row r="562" spans="1:31" s="162" customFormat="1" x14ac:dyDescent="0.25">
      <c r="A562" s="101"/>
      <c r="B562" s="101"/>
      <c r="C562" s="102"/>
      <c r="D562" s="102"/>
      <c r="E562" s="102"/>
      <c r="F562" s="102"/>
      <c r="G562" s="102"/>
      <c r="H562" s="102"/>
      <c r="I562" s="154"/>
      <c r="J562" s="154"/>
      <c r="K562" s="154"/>
      <c r="L562" s="154"/>
      <c r="M562" s="154"/>
      <c r="N562" s="154"/>
      <c r="O562" s="154"/>
      <c r="P562" s="154"/>
      <c r="Q562" s="154"/>
      <c r="R562" s="102"/>
      <c r="S562" s="102"/>
      <c r="T562" s="102"/>
      <c r="U562" s="102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01"/>
    </row>
    <row r="563" spans="1:31" s="162" customFormat="1" x14ac:dyDescent="0.25">
      <c r="A563" s="101"/>
      <c r="B563" s="101"/>
      <c r="C563" s="102"/>
      <c r="D563" s="102"/>
      <c r="E563" s="102"/>
      <c r="F563" s="102"/>
      <c r="G563" s="102"/>
      <c r="H563" s="102"/>
      <c r="I563" s="154"/>
      <c r="J563" s="154"/>
      <c r="K563" s="154"/>
      <c r="L563" s="154"/>
      <c r="M563" s="154"/>
      <c r="N563" s="154"/>
      <c r="O563" s="154"/>
      <c r="P563" s="154"/>
      <c r="Q563" s="154"/>
      <c r="R563" s="102"/>
      <c r="S563" s="102"/>
      <c r="T563" s="102"/>
      <c r="U563" s="102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01"/>
    </row>
    <row r="564" spans="1:31" s="162" customFormat="1" x14ac:dyDescent="0.25">
      <c r="A564" s="101"/>
      <c r="B564" s="101"/>
      <c r="C564" s="102"/>
      <c r="D564" s="102"/>
      <c r="E564" s="102"/>
      <c r="F564" s="102"/>
      <c r="G564" s="102"/>
      <c r="H564" s="102"/>
      <c r="I564" s="154"/>
      <c r="J564" s="154"/>
      <c r="K564" s="154"/>
      <c r="L564" s="154"/>
      <c r="M564" s="154"/>
      <c r="N564" s="154"/>
      <c r="O564" s="154"/>
      <c r="P564" s="154"/>
      <c r="Q564" s="154"/>
      <c r="R564" s="102"/>
      <c r="S564" s="102"/>
      <c r="T564" s="102"/>
      <c r="U564" s="102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01"/>
    </row>
    <row r="565" spans="1:31" s="162" customFormat="1" x14ac:dyDescent="0.25">
      <c r="A565" s="101"/>
      <c r="B565" s="101"/>
      <c r="C565" s="102"/>
      <c r="D565" s="102"/>
      <c r="E565" s="102"/>
      <c r="F565" s="102"/>
      <c r="G565" s="102"/>
      <c r="H565" s="102"/>
      <c r="I565" s="154"/>
      <c r="J565" s="154"/>
      <c r="K565" s="154"/>
      <c r="L565" s="154"/>
      <c r="M565" s="154"/>
      <c r="N565" s="154"/>
      <c r="O565" s="154"/>
      <c r="P565" s="154"/>
      <c r="Q565" s="154"/>
      <c r="R565" s="102"/>
      <c r="S565" s="102"/>
      <c r="T565" s="102"/>
      <c r="U565" s="102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01"/>
    </row>
    <row r="566" spans="1:31" s="162" customFormat="1" x14ac:dyDescent="0.25">
      <c r="A566" s="101"/>
      <c r="B566" s="101"/>
      <c r="C566" s="102"/>
      <c r="D566" s="102"/>
      <c r="E566" s="102"/>
      <c r="F566" s="102"/>
      <c r="G566" s="102"/>
      <c r="H566" s="102"/>
      <c r="I566" s="154"/>
      <c r="J566" s="154"/>
      <c r="K566" s="154"/>
      <c r="L566" s="154"/>
      <c r="M566" s="154"/>
      <c r="N566" s="154"/>
      <c r="O566" s="154"/>
      <c r="P566" s="154"/>
      <c r="Q566" s="154"/>
      <c r="R566" s="102"/>
      <c r="S566" s="102"/>
      <c r="T566" s="102"/>
      <c r="U566" s="102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01"/>
    </row>
    <row r="567" spans="1:31" s="162" customFormat="1" x14ac:dyDescent="0.25">
      <c r="A567" s="101"/>
      <c r="B567" s="101"/>
      <c r="C567" s="102"/>
      <c r="D567" s="102"/>
      <c r="E567" s="102"/>
      <c r="F567" s="102"/>
      <c r="G567" s="102"/>
      <c r="H567" s="102"/>
      <c r="I567" s="154"/>
      <c r="J567" s="154"/>
      <c r="K567" s="154"/>
      <c r="L567" s="154"/>
      <c r="M567" s="154"/>
      <c r="N567" s="154"/>
      <c r="O567" s="154"/>
      <c r="P567" s="154"/>
      <c r="Q567" s="154"/>
      <c r="R567" s="102"/>
      <c r="S567" s="102"/>
      <c r="T567" s="102"/>
      <c r="U567" s="102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01"/>
    </row>
    <row r="568" spans="1:31" s="162" customFormat="1" x14ac:dyDescent="0.25">
      <c r="A568" s="101"/>
      <c r="B568" s="101"/>
      <c r="C568" s="102"/>
      <c r="D568" s="102"/>
      <c r="E568" s="102"/>
      <c r="F568" s="102"/>
      <c r="G568" s="102"/>
      <c r="H568" s="102"/>
      <c r="I568" s="154"/>
      <c r="J568" s="154"/>
      <c r="K568" s="154"/>
      <c r="L568" s="154"/>
      <c r="M568" s="154"/>
      <c r="N568" s="154"/>
      <c r="O568" s="154"/>
      <c r="P568" s="154"/>
      <c r="Q568" s="154"/>
      <c r="R568" s="102"/>
      <c r="S568" s="102"/>
      <c r="T568" s="102"/>
      <c r="U568" s="102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01"/>
    </row>
    <row r="569" spans="1:31" s="162" customFormat="1" x14ac:dyDescent="0.25">
      <c r="A569" s="101"/>
      <c r="B569" s="101"/>
      <c r="C569" s="102"/>
      <c r="D569" s="102"/>
      <c r="E569" s="102"/>
      <c r="F569" s="102"/>
      <c r="G569" s="102"/>
      <c r="H569" s="102"/>
      <c r="I569" s="154"/>
      <c r="J569" s="154"/>
      <c r="K569" s="154"/>
      <c r="L569" s="154"/>
      <c r="M569" s="154"/>
      <c r="N569" s="154"/>
      <c r="O569" s="154"/>
      <c r="P569" s="154"/>
      <c r="Q569" s="154"/>
      <c r="R569" s="102"/>
      <c r="S569" s="102"/>
      <c r="T569" s="102"/>
      <c r="U569" s="102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01"/>
    </row>
    <row r="570" spans="1:31" s="162" customFormat="1" x14ac:dyDescent="0.25">
      <c r="A570" s="101"/>
      <c r="B570" s="101"/>
      <c r="C570" s="102"/>
      <c r="D570" s="102"/>
      <c r="E570" s="102"/>
      <c r="F570" s="102"/>
      <c r="G570" s="102"/>
      <c r="H570" s="102"/>
      <c r="I570" s="154"/>
      <c r="J570" s="154"/>
      <c r="K570" s="154"/>
      <c r="L570" s="154"/>
      <c r="M570" s="154"/>
      <c r="N570" s="154"/>
      <c r="O570" s="154"/>
      <c r="P570" s="154"/>
      <c r="Q570" s="154"/>
      <c r="R570" s="102"/>
      <c r="S570" s="102"/>
      <c r="T570" s="102"/>
      <c r="U570" s="102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01"/>
    </row>
    <row r="571" spans="1:31" s="162" customFormat="1" x14ac:dyDescent="0.25">
      <c r="A571" s="101"/>
      <c r="B571" s="101"/>
      <c r="C571" s="102"/>
      <c r="D571" s="102"/>
      <c r="E571" s="102"/>
      <c r="F571" s="102"/>
      <c r="G571" s="102"/>
      <c r="H571" s="102"/>
      <c r="I571" s="154"/>
      <c r="J571" s="154"/>
      <c r="K571" s="154"/>
      <c r="L571" s="154"/>
      <c r="M571" s="154"/>
      <c r="N571" s="154"/>
      <c r="O571" s="154"/>
      <c r="P571" s="154"/>
      <c r="Q571" s="154"/>
      <c r="R571" s="102"/>
      <c r="S571" s="102"/>
      <c r="T571" s="102"/>
      <c r="U571" s="102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01"/>
    </row>
    <row r="572" spans="1:31" s="162" customFormat="1" x14ac:dyDescent="0.25">
      <c r="A572" s="101"/>
      <c r="B572" s="101"/>
      <c r="C572" s="102"/>
      <c r="D572" s="102"/>
      <c r="E572" s="102"/>
      <c r="F572" s="102"/>
      <c r="G572" s="102"/>
      <c r="H572" s="102"/>
      <c r="I572" s="154"/>
      <c r="J572" s="154"/>
      <c r="K572" s="154"/>
      <c r="L572" s="154"/>
      <c r="M572" s="154"/>
      <c r="N572" s="154"/>
      <c r="O572" s="154"/>
      <c r="P572" s="154"/>
      <c r="Q572" s="154"/>
      <c r="R572" s="102"/>
      <c r="S572" s="102"/>
      <c r="T572" s="102"/>
      <c r="U572" s="102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01"/>
    </row>
    <row r="573" spans="1:31" s="162" customFormat="1" x14ac:dyDescent="0.25">
      <c r="A573" s="101"/>
      <c r="B573" s="101"/>
      <c r="C573" s="102"/>
      <c r="D573" s="102"/>
      <c r="E573" s="102"/>
      <c r="F573" s="102"/>
      <c r="G573" s="102"/>
      <c r="H573" s="102"/>
      <c r="I573" s="154"/>
      <c r="J573" s="154"/>
      <c r="K573" s="154"/>
      <c r="L573" s="154"/>
      <c r="M573" s="154"/>
      <c r="N573" s="154"/>
      <c r="O573" s="154"/>
      <c r="P573" s="154"/>
      <c r="Q573" s="154"/>
      <c r="R573" s="102"/>
      <c r="S573" s="102"/>
      <c r="T573" s="102"/>
      <c r="U573" s="102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01"/>
    </row>
    <row r="574" spans="1:31" s="162" customFormat="1" x14ac:dyDescent="0.25">
      <c r="A574" s="101"/>
      <c r="B574" s="101"/>
      <c r="C574" s="102"/>
      <c r="D574" s="102"/>
      <c r="E574" s="102"/>
      <c r="F574" s="102"/>
      <c r="G574" s="102"/>
      <c r="H574" s="102"/>
      <c r="I574" s="154"/>
      <c r="J574" s="154"/>
      <c r="K574" s="154"/>
      <c r="L574" s="154"/>
      <c r="M574" s="154"/>
      <c r="N574" s="154"/>
      <c r="O574" s="154"/>
      <c r="P574" s="154"/>
      <c r="Q574" s="154"/>
      <c r="R574" s="102"/>
      <c r="S574" s="102"/>
      <c r="T574" s="102"/>
      <c r="U574" s="102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01"/>
    </row>
    <row r="575" spans="1:31" s="162" customFormat="1" x14ac:dyDescent="0.25">
      <c r="A575" s="101"/>
      <c r="B575" s="101"/>
      <c r="C575" s="102"/>
      <c r="D575" s="102"/>
      <c r="E575" s="102"/>
      <c r="F575" s="102"/>
      <c r="G575" s="102"/>
      <c r="H575" s="102"/>
      <c r="I575" s="154"/>
      <c r="J575" s="154"/>
      <c r="K575" s="154"/>
      <c r="L575" s="154"/>
      <c r="M575" s="154"/>
      <c r="N575" s="154"/>
      <c r="O575" s="154"/>
      <c r="P575" s="154"/>
      <c r="Q575" s="154"/>
      <c r="R575" s="102"/>
      <c r="S575" s="102"/>
      <c r="T575" s="102"/>
      <c r="U575" s="102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01"/>
    </row>
    <row r="576" spans="1:31" s="162" customFormat="1" x14ac:dyDescent="0.25">
      <c r="A576" s="101"/>
      <c r="B576" s="101"/>
      <c r="C576" s="102"/>
      <c r="D576" s="102"/>
      <c r="E576" s="102"/>
      <c r="F576" s="102"/>
      <c r="G576" s="102"/>
      <c r="H576" s="102"/>
      <c r="I576" s="154"/>
      <c r="J576" s="154"/>
      <c r="K576" s="154"/>
      <c r="L576" s="154"/>
      <c r="M576" s="154"/>
      <c r="N576" s="154"/>
      <c r="O576" s="154"/>
      <c r="P576" s="154"/>
      <c r="Q576" s="154"/>
      <c r="R576" s="102"/>
      <c r="S576" s="102"/>
      <c r="T576" s="102"/>
      <c r="U576" s="102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01"/>
    </row>
    <row r="577" spans="1:31" s="162" customFormat="1" x14ac:dyDescent="0.25">
      <c r="A577" s="101"/>
      <c r="B577" s="101"/>
      <c r="C577" s="102"/>
      <c r="D577" s="102"/>
      <c r="E577" s="102"/>
      <c r="F577" s="102"/>
      <c r="G577" s="102"/>
      <c r="H577" s="102"/>
      <c r="I577" s="154"/>
      <c r="J577" s="154"/>
      <c r="K577" s="154"/>
      <c r="L577" s="154"/>
      <c r="M577" s="154"/>
      <c r="N577" s="154"/>
      <c r="O577" s="154"/>
      <c r="P577" s="154"/>
      <c r="Q577" s="154"/>
      <c r="R577" s="102"/>
      <c r="S577" s="102"/>
      <c r="T577" s="102"/>
      <c r="U577" s="102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01"/>
    </row>
    <row r="578" spans="1:31" s="162" customFormat="1" x14ac:dyDescent="0.25">
      <c r="A578" s="101"/>
      <c r="B578" s="101"/>
      <c r="C578" s="102"/>
      <c r="D578" s="102"/>
      <c r="E578" s="102"/>
      <c r="F578" s="102"/>
      <c r="G578" s="102"/>
      <c r="H578" s="102"/>
      <c r="I578" s="154"/>
      <c r="J578" s="154"/>
      <c r="K578" s="154"/>
      <c r="L578" s="154"/>
      <c r="M578" s="154"/>
      <c r="N578" s="154"/>
      <c r="O578" s="154"/>
      <c r="P578" s="154"/>
      <c r="Q578" s="154"/>
      <c r="R578" s="102"/>
      <c r="S578" s="102"/>
      <c r="T578" s="102"/>
      <c r="U578" s="102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01"/>
    </row>
    <row r="579" spans="1:31" s="162" customFormat="1" x14ac:dyDescent="0.25">
      <c r="A579" s="101"/>
      <c r="B579" s="101"/>
      <c r="C579" s="102"/>
      <c r="D579" s="102"/>
      <c r="E579" s="102"/>
      <c r="F579" s="102"/>
      <c r="G579" s="102"/>
      <c r="H579" s="102"/>
      <c r="I579" s="154"/>
      <c r="J579" s="154"/>
      <c r="K579" s="154"/>
      <c r="L579" s="154"/>
      <c r="M579" s="154"/>
      <c r="N579" s="154"/>
      <c r="O579" s="154"/>
      <c r="P579" s="154"/>
      <c r="Q579" s="154"/>
      <c r="R579" s="102"/>
      <c r="S579" s="102"/>
      <c r="T579" s="102"/>
      <c r="U579" s="102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01"/>
    </row>
    <row r="580" spans="1:31" s="162" customFormat="1" x14ac:dyDescent="0.25">
      <c r="A580" s="101"/>
      <c r="B580" s="101"/>
      <c r="C580" s="102"/>
      <c r="D580" s="102"/>
      <c r="E580" s="102"/>
      <c r="F580" s="102"/>
      <c r="G580" s="102"/>
      <c r="H580" s="102"/>
      <c r="I580" s="154"/>
      <c r="J580" s="154"/>
      <c r="K580" s="154"/>
      <c r="L580" s="154"/>
      <c r="M580" s="154"/>
      <c r="N580" s="154"/>
      <c r="O580" s="154"/>
      <c r="P580" s="154"/>
      <c r="Q580" s="154"/>
      <c r="R580" s="102"/>
      <c r="S580" s="102"/>
      <c r="T580" s="102"/>
      <c r="U580" s="102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01"/>
    </row>
    <row r="581" spans="1:31" s="162" customFormat="1" x14ac:dyDescent="0.25">
      <c r="A581" s="101"/>
      <c r="B581" s="101"/>
      <c r="C581" s="102"/>
      <c r="D581" s="102"/>
      <c r="E581" s="102"/>
      <c r="F581" s="102"/>
      <c r="G581" s="102"/>
      <c r="H581" s="102"/>
      <c r="I581" s="154"/>
      <c r="J581" s="154"/>
      <c r="K581" s="154"/>
      <c r="L581" s="154"/>
      <c r="M581" s="154"/>
      <c r="N581" s="154"/>
      <c r="O581" s="154"/>
      <c r="P581" s="154"/>
      <c r="Q581" s="154"/>
      <c r="R581" s="102"/>
      <c r="S581" s="102"/>
      <c r="T581" s="102"/>
      <c r="U581" s="102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01"/>
    </row>
    <row r="582" spans="1:31" s="162" customFormat="1" x14ac:dyDescent="0.25">
      <c r="A582" s="101"/>
      <c r="B582" s="101"/>
      <c r="C582" s="102"/>
      <c r="D582" s="102"/>
      <c r="E582" s="102"/>
      <c r="F582" s="102"/>
      <c r="G582" s="102"/>
      <c r="H582" s="102"/>
      <c r="I582" s="154"/>
      <c r="J582" s="154"/>
      <c r="K582" s="154"/>
      <c r="L582" s="154"/>
      <c r="M582" s="154"/>
      <c r="N582" s="154"/>
      <c r="O582" s="154"/>
      <c r="P582" s="154"/>
      <c r="Q582" s="154"/>
      <c r="R582" s="102"/>
      <c r="S582" s="102"/>
      <c r="T582" s="102"/>
      <c r="U582" s="102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01"/>
    </row>
    <row r="583" spans="1:31" s="162" customFormat="1" x14ac:dyDescent="0.25">
      <c r="A583" s="101"/>
      <c r="B583" s="101"/>
      <c r="C583" s="102"/>
      <c r="D583" s="102"/>
      <c r="E583" s="102"/>
      <c r="F583" s="102"/>
      <c r="G583" s="102"/>
      <c r="H583" s="102"/>
      <c r="I583" s="154"/>
      <c r="J583" s="154"/>
      <c r="K583" s="154"/>
      <c r="L583" s="154"/>
      <c r="M583" s="154"/>
      <c r="N583" s="154"/>
      <c r="O583" s="154"/>
      <c r="P583" s="154"/>
      <c r="Q583" s="154"/>
      <c r="R583" s="102"/>
      <c r="S583" s="102"/>
      <c r="T583" s="102"/>
      <c r="U583" s="102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01"/>
    </row>
    <row r="584" spans="1:31" s="162" customFormat="1" x14ac:dyDescent="0.25">
      <c r="A584" s="101"/>
      <c r="B584" s="101"/>
      <c r="C584" s="102"/>
      <c r="D584" s="102"/>
      <c r="E584" s="102"/>
      <c r="F584" s="102"/>
      <c r="G584" s="102"/>
      <c r="H584" s="102"/>
      <c r="I584" s="154"/>
      <c r="J584" s="154"/>
      <c r="K584" s="154"/>
      <c r="L584" s="154"/>
      <c r="M584" s="154"/>
      <c r="N584" s="154"/>
      <c r="O584" s="154"/>
      <c r="P584" s="154"/>
      <c r="Q584" s="154"/>
      <c r="R584" s="102"/>
      <c r="S584" s="102"/>
      <c r="T584" s="102"/>
      <c r="U584" s="102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01"/>
    </row>
    <row r="585" spans="1:31" s="162" customFormat="1" x14ac:dyDescent="0.25">
      <c r="A585" s="101"/>
      <c r="B585" s="101"/>
      <c r="C585" s="102"/>
      <c r="D585" s="102"/>
      <c r="E585" s="102"/>
      <c r="F585" s="102"/>
      <c r="G585" s="102"/>
      <c r="H585" s="102"/>
      <c r="I585" s="154"/>
      <c r="J585" s="154"/>
      <c r="K585" s="154"/>
      <c r="L585" s="154"/>
      <c r="M585" s="154"/>
      <c r="N585" s="154"/>
      <c r="O585" s="154"/>
      <c r="P585" s="154"/>
      <c r="Q585" s="154"/>
      <c r="R585" s="102"/>
      <c r="S585" s="102"/>
      <c r="T585" s="102"/>
      <c r="U585" s="102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01"/>
    </row>
    <row r="586" spans="1:31" s="162" customFormat="1" x14ac:dyDescent="0.25">
      <c r="A586" s="101"/>
      <c r="B586" s="101"/>
      <c r="C586" s="102"/>
      <c r="D586" s="102"/>
      <c r="E586" s="102"/>
      <c r="F586" s="102"/>
      <c r="G586" s="102"/>
      <c r="H586" s="102"/>
      <c r="I586" s="154"/>
      <c r="J586" s="154"/>
      <c r="K586" s="154"/>
      <c r="L586" s="154"/>
      <c r="M586" s="154"/>
      <c r="N586" s="154"/>
      <c r="O586" s="154"/>
      <c r="P586" s="154"/>
      <c r="Q586" s="154"/>
      <c r="R586" s="102"/>
      <c r="S586" s="102"/>
      <c r="T586" s="102"/>
      <c r="U586" s="102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01"/>
    </row>
    <row r="587" spans="1:31" s="162" customFormat="1" x14ac:dyDescent="0.25">
      <c r="A587" s="101"/>
      <c r="B587" s="101"/>
      <c r="C587" s="102"/>
      <c r="D587" s="102"/>
      <c r="E587" s="102"/>
      <c r="F587" s="102"/>
      <c r="G587" s="102"/>
      <c r="H587" s="102"/>
      <c r="I587" s="154"/>
      <c r="J587" s="154"/>
      <c r="K587" s="154"/>
      <c r="L587" s="154"/>
      <c r="M587" s="154"/>
      <c r="N587" s="154"/>
      <c r="O587" s="154"/>
      <c r="P587" s="154"/>
      <c r="Q587" s="154"/>
      <c r="R587" s="102"/>
      <c r="S587" s="102"/>
      <c r="T587" s="102"/>
      <c r="U587" s="102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01"/>
    </row>
    <row r="588" spans="1:31" s="162" customFormat="1" x14ac:dyDescent="0.25">
      <c r="A588" s="101"/>
      <c r="B588" s="101"/>
      <c r="C588" s="102"/>
      <c r="D588" s="102"/>
      <c r="E588" s="102"/>
      <c r="F588" s="102"/>
      <c r="G588" s="102"/>
      <c r="H588" s="102"/>
      <c r="I588" s="154"/>
      <c r="J588" s="154"/>
      <c r="K588" s="154"/>
      <c r="L588" s="154"/>
      <c r="M588" s="154"/>
      <c r="N588" s="154"/>
      <c r="O588" s="154"/>
      <c r="P588" s="154"/>
      <c r="Q588" s="154"/>
      <c r="R588" s="102"/>
      <c r="S588" s="102"/>
      <c r="T588" s="102"/>
      <c r="U588" s="102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01"/>
    </row>
    <row r="589" spans="1:31" s="162" customFormat="1" x14ac:dyDescent="0.25">
      <c r="A589" s="101"/>
      <c r="B589" s="101"/>
      <c r="C589" s="102"/>
      <c r="D589" s="102"/>
      <c r="E589" s="102"/>
      <c r="F589" s="102"/>
      <c r="G589" s="102"/>
      <c r="H589" s="102"/>
      <c r="I589" s="154"/>
      <c r="J589" s="154"/>
      <c r="K589" s="154"/>
      <c r="L589" s="154"/>
      <c r="M589" s="154"/>
      <c r="N589" s="154"/>
      <c r="O589" s="154"/>
      <c r="P589" s="154"/>
      <c r="Q589" s="154"/>
      <c r="R589" s="102"/>
      <c r="S589" s="102"/>
      <c r="T589" s="102"/>
      <c r="U589" s="102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01"/>
    </row>
    <row r="590" spans="1:31" s="162" customFormat="1" x14ac:dyDescent="0.25">
      <c r="A590" s="101"/>
      <c r="B590" s="101"/>
      <c r="C590" s="102"/>
      <c r="D590" s="102"/>
      <c r="E590" s="102"/>
      <c r="F590" s="102"/>
      <c r="G590" s="102"/>
      <c r="H590" s="102"/>
      <c r="I590" s="154"/>
      <c r="J590" s="154"/>
      <c r="K590" s="154"/>
      <c r="L590" s="154"/>
      <c r="M590" s="154"/>
      <c r="N590" s="154"/>
      <c r="O590" s="154"/>
      <c r="P590" s="154"/>
      <c r="Q590" s="154"/>
      <c r="R590" s="102"/>
      <c r="S590" s="102"/>
      <c r="T590" s="102"/>
      <c r="U590" s="102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01"/>
    </row>
    <row r="591" spans="1:31" s="162" customFormat="1" x14ac:dyDescent="0.25">
      <c r="A591" s="101"/>
      <c r="B591" s="101"/>
      <c r="C591" s="102"/>
      <c r="D591" s="102"/>
      <c r="E591" s="102"/>
      <c r="F591" s="102"/>
      <c r="G591" s="102"/>
      <c r="H591" s="102"/>
      <c r="I591" s="154"/>
      <c r="J591" s="154"/>
      <c r="K591" s="154"/>
      <c r="L591" s="154"/>
      <c r="M591" s="154"/>
      <c r="N591" s="154"/>
      <c r="O591" s="154"/>
      <c r="P591" s="154"/>
      <c r="Q591" s="154"/>
      <c r="R591" s="102"/>
      <c r="S591" s="102"/>
      <c r="T591" s="102"/>
      <c r="U591" s="102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01"/>
    </row>
    <row r="592" spans="1:31" s="162" customFormat="1" x14ac:dyDescent="0.25">
      <c r="A592" s="101"/>
      <c r="B592" s="101"/>
      <c r="C592" s="102"/>
      <c r="D592" s="102"/>
      <c r="E592" s="102"/>
      <c r="F592" s="102"/>
      <c r="G592" s="102"/>
      <c r="H592" s="102"/>
      <c r="I592" s="154"/>
      <c r="J592" s="154"/>
      <c r="K592" s="154"/>
      <c r="L592" s="154"/>
      <c r="M592" s="154"/>
      <c r="N592" s="154"/>
      <c r="O592" s="154"/>
      <c r="P592" s="154"/>
      <c r="Q592" s="154"/>
      <c r="R592" s="102"/>
      <c r="S592" s="102"/>
      <c r="T592" s="102"/>
      <c r="U592" s="102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01"/>
    </row>
    <row r="593" spans="1:31" s="162" customFormat="1" x14ac:dyDescent="0.25">
      <c r="A593" s="101"/>
      <c r="B593" s="101"/>
      <c r="C593" s="102"/>
      <c r="D593" s="102"/>
      <c r="E593" s="102"/>
      <c r="F593" s="102"/>
      <c r="G593" s="102"/>
      <c r="H593" s="102"/>
      <c r="I593" s="154"/>
      <c r="J593" s="154"/>
      <c r="K593" s="154"/>
      <c r="L593" s="154"/>
      <c r="M593" s="154"/>
      <c r="N593" s="154"/>
      <c r="O593" s="154"/>
      <c r="P593" s="154"/>
      <c r="Q593" s="154"/>
      <c r="R593" s="102"/>
      <c r="S593" s="102"/>
      <c r="T593" s="102"/>
      <c r="U593" s="102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01"/>
    </row>
    <row r="594" spans="1:31" s="162" customFormat="1" x14ac:dyDescent="0.25">
      <c r="A594" s="101"/>
      <c r="B594" s="101"/>
      <c r="C594" s="102"/>
      <c r="D594" s="102"/>
      <c r="E594" s="102"/>
      <c r="F594" s="102"/>
      <c r="G594" s="102"/>
      <c r="H594" s="102"/>
      <c r="I594" s="154"/>
      <c r="J594" s="154"/>
      <c r="K594" s="154"/>
      <c r="L594" s="154"/>
      <c r="M594" s="154"/>
      <c r="N594" s="154"/>
      <c r="O594" s="154"/>
      <c r="P594" s="154"/>
      <c r="Q594" s="154"/>
      <c r="R594" s="102"/>
      <c r="S594" s="102"/>
      <c r="T594" s="102"/>
      <c r="U594" s="102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01"/>
    </row>
    <row r="595" spans="1:31" s="162" customFormat="1" x14ac:dyDescent="0.25">
      <c r="A595" s="101"/>
      <c r="B595" s="101"/>
      <c r="C595" s="102"/>
      <c r="D595" s="102"/>
      <c r="E595" s="102"/>
      <c r="F595" s="102"/>
      <c r="G595" s="102"/>
      <c r="H595" s="102"/>
      <c r="I595" s="154"/>
      <c r="J595" s="154"/>
      <c r="K595" s="154"/>
      <c r="L595" s="154"/>
      <c r="M595" s="154"/>
      <c r="N595" s="154"/>
      <c r="O595" s="154"/>
      <c r="P595" s="154"/>
      <c r="Q595" s="154"/>
      <c r="R595" s="102"/>
      <c r="S595" s="102"/>
      <c r="T595" s="102"/>
      <c r="U595" s="102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01"/>
    </row>
    <row r="596" spans="1:31" s="162" customFormat="1" x14ac:dyDescent="0.25">
      <c r="A596" s="101"/>
      <c r="B596" s="101"/>
      <c r="C596" s="102"/>
      <c r="D596" s="102"/>
      <c r="E596" s="102"/>
      <c r="F596" s="102"/>
      <c r="G596" s="102"/>
      <c r="H596" s="102"/>
      <c r="I596" s="154"/>
      <c r="J596" s="154"/>
      <c r="K596" s="154"/>
      <c r="L596" s="154"/>
      <c r="M596" s="154"/>
      <c r="N596" s="154"/>
      <c r="O596" s="154"/>
      <c r="P596" s="154"/>
      <c r="Q596" s="154"/>
      <c r="R596" s="102"/>
      <c r="S596" s="102"/>
      <c r="T596" s="102"/>
      <c r="U596" s="102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01"/>
    </row>
    <row r="597" spans="1:31" s="162" customFormat="1" x14ac:dyDescent="0.25">
      <c r="A597" s="101"/>
      <c r="B597" s="101"/>
      <c r="C597" s="102"/>
      <c r="D597" s="102"/>
      <c r="E597" s="102"/>
      <c r="F597" s="102"/>
      <c r="G597" s="102"/>
      <c r="H597" s="102"/>
      <c r="I597" s="154"/>
      <c r="J597" s="154"/>
      <c r="K597" s="154"/>
      <c r="L597" s="154"/>
      <c r="M597" s="154"/>
      <c r="N597" s="154"/>
      <c r="O597" s="154"/>
      <c r="P597" s="154"/>
      <c r="Q597" s="154"/>
      <c r="R597" s="102"/>
      <c r="S597" s="102"/>
      <c r="T597" s="102"/>
      <c r="U597" s="102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01"/>
    </row>
    <row r="598" spans="1:31" s="162" customFormat="1" x14ac:dyDescent="0.25">
      <c r="A598" s="101"/>
      <c r="B598" s="101"/>
      <c r="C598" s="102"/>
      <c r="D598" s="102"/>
      <c r="E598" s="102"/>
      <c r="F598" s="102"/>
      <c r="G598" s="102"/>
      <c r="H598" s="102"/>
      <c r="I598" s="154"/>
      <c r="J598" s="154"/>
      <c r="K598" s="154"/>
      <c r="L598" s="154"/>
      <c r="M598" s="154"/>
      <c r="N598" s="154"/>
      <c r="O598" s="154"/>
      <c r="P598" s="154"/>
      <c r="Q598" s="154"/>
      <c r="R598" s="102"/>
      <c r="S598" s="102"/>
      <c r="T598" s="102"/>
      <c r="U598" s="102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01"/>
    </row>
    <row r="599" spans="1:31" s="162" customFormat="1" x14ac:dyDescent="0.25">
      <c r="A599" s="101"/>
      <c r="B599" s="101"/>
      <c r="C599" s="102"/>
      <c r="D599" s="102"/>
      <c r="E599" s="102"/>
      <c r="F599" s="102"/>
      <c r="G599" s="102"/>
      <c r="H599" s="102"/>
      <c r="I599" s="154"/>
      <c r="J599" s="154"/>
      <c r="K599" s="154"/>
      <c r="L599" s="154"/>
      <c r="M599" s="154"/>
      <c r="N599" s="154"/>
      <c r="O599" s="154"/>
      <c r="P599" s="154"/>
      <c r="Q599" s="154"/>
      <c r="R599" s="102"/>
      <c r="S599" s="102"/>
      <c r="T599" s="102"/>
      <c r="U599" s="102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01"/>
    </row>
    <row r="600" spans="1:31" s="162" customFormat="1" x14ac:dyDescent="0.25">
      <c r="A600" s="101"/>
      <c r="B600" s="101"/>
      <c r="C600" s="102"/>
      <c r="D600" s="102"/>
      <c r="E600" s="102"/>
      <c r="F600" s="102"/>
      <c r="G600" s="102"/>
      <c r="H600" s="102"/>
      <c r="I600" s="154"/>
      <c r="J600" s="154"/>
      <c r="K600" s="154"/>
      <c r="L600" s="154"/>
      <c r="M600" s="154"/>
      <c r="N600" s="154"/>
      <c r="O600" s="154"/>
      <c r="P600" s="154"/>
      <c r="Q600" s="154"/>
      <c r="R600" s="102"/>
      <c r="S600" s="102"/>
      <c r="T600" s="102"/>
      <c r="U600" s="102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01"/>
    </row>
    <row r="601" spans="1:31" s="162" customFormat="1" x14ac:dyDescent="0.25">
      <c r="A601" s="101"/>
      <c r="B601" s="101"/>
      <c r="C601" s="102"/>
      <c r="D601" s="102"/>
      <c r="E601" s="102"/>
      <c r="F601" s="102"/>
      <c r="G601" s="102"/>
      <c r="H601" s="102"/>
      <c r="I601" s="154"/>
      <c r="J601" s="154"/>
      <c r="K601" s="154"/>
      <c r="L601" s="154"/>
      <c r="M601" s="154"/>
      <c r="N601" s="154"/>
      <c r="O601" s="154"/>
      <c r="P601" s="154"/>
      <c r="Q601" s="154"/>
      <c r="R601" s="102"/>
      <c r="S601" s="102"/>
      <c r="T601" s="102"/>
      <c r="U601" s="102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01"/>
    </row>
    <row r="602" spans="1:31" s="162" customFormat="1" x14ac:dyDescent="0.25">
      <c r="A602" s="101"/>
      <c r="B602" s="101"/>
      <c r="C602" s="102"/>
      <c r="D602" s="102"/>
      <c r="E602" s="102"/>
      <c r="F602" s="102"/>
      <c r="G602" s="102"/>
      <c r="H602" s="102"/>
      <c r="I602" s="154"/>
      <c r="J602" s="154"/>
      <c r="K602" s="154"/>
      <c r="L602" s="154"/>
      <c r="M602" s="154"/>
      <c r="N602" s="154"/>
      <c r="O602" s="154"/>
      <c r="P602" s="154"/>
      <c r="Q602" s="154"/>
      <c r="R602" s="102"/>
      <c r="S602" s="102"/>
      <c r="T602" s="102"/>
      <c r="U602" s="102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01"/>
    </row>
    <row r="603" spans="1:31" s="162" customFormat="1" x14ac:dyDescent="0.25">
      <c r="A603" s="101"/>
      <c r="B603" s="101"/>
      <c r="C603" s="102"/>
      <c r="D603" s="102"/>
      <c r="E603" s="102"/>
      <c r="F603" s="102"/>
      <c r="G603" s="102"/>
      <c r="H603" s="102"/>
      <c r="I603" s="154"/>
      <c r="J603" s="154"/>
      <c r="K603" s="154"/>
      <c r="L603" s="154"/>
      <c r="M603" s="154"/>
      <c r="N603" s="154"/>
      <c r="O603" s="154"/>
      <c r="P603" s="154"/>
      <c r="Q603" s="154"/>
      <c r="R603" s="102"/>
      <c r="S603" s="102"/>
      <c r="T603" s="102"/>
      <c r="U603" s="102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01"/>
    </row>
    <row r="604" spans="1:31" s="162" customFormat="1" x14ac:dyDescent="0.25">
      <c r="A604" s="101"/>
      <c r="B604" s="101"/>
      <c r="C604" s="102"/>
      <c r="D604" s="102"/>
      <c r="E604" s="102"/>
      <c r="F604" s="102"/>
      <c r="G604" s="102"/>
      <c r="H604" s="102"/>
      <c r="I604" s="154"/>
      <c r="J604" s="154"/>
      <c r="K604" s="154"/>
      <c r="L604" s="154"/>
      <c r="M604" s="154"/>
      <c r="N604" s="154"/>
      <c r="O604" s="154"/>
      <c r="P604" s="154"/>
      <c r="Q604" s="154"/>
      <c r="R604" s="102"/>
      <c r="S604" s="102"/>
      <c r="T604" s="102"/>
      <c r="U604" s="102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01"/>
    </row>
    <row r="605" spans="1:31" s="162" customFormat="1" x14ac:dyDescent="0.25">
      <c r="A605" s="101"/>
      <c r="B605" s="101"/>
      <c r="C605" s="102"/>
      <c r="D605" s="102"/>
      <c r="E605" s="102"/>
      <c r="F605" s="102"/>
      <c r="G605" s="102"/>
      <c r="H605" s="102"/>
      <c r="I605" s="154"/>
      <c r="J605" s="154"/>
      <c r="K605" s="154"/>
      <c r="L605" s="154"/>
      <c r="M605" s="154"/>
      <c r="N605" s="154"/>
      <c r="O605" s="154"/>
      <c r="P605" s="154"/>
      <c r="Q605" s="154"/>
      <c r="R605" s="102"/>
      <c r="S605" s="102"/>
      <c r="T605" s="102"/>
      <c r="U605" s="102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01"/>
    </row>
    <row r="606" spans="1:31" s="162" customFormat="1" x14ac:dyDescent="0.25">
      <c r="A606" s="101"/>
      <c r="B606" s="101"/>
      <c r="C606" s="102"/>
      <c r="D606" s="102"/>
      <c r="E606" s="102"/>
      <c r="F606" s="102"/>
      <c r="G606" s="102"/>
      <c r="H606" s="102"/>
      <c r="I606" s="154"/>
      <c r="J606" s="154"/>
      <c r="K606" s="154"/>
      <c r="L606" s="154"/>
      <c r="M606" s="154"/>
      <c r="N606" s="154"/>
      <c r="O606" s="154"/>
      <c r="P606" s="154"/>
      <c r="Q606" s="154"/>
      <c r="R606" s="102"/>
      <c r="S606" s="102"/>
      <c r="T606" s="102"/>
      <c r="U606" s="102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01"/>
    </row>
    <row r="607" spans="1:31" s="162" customFormat="1" x14ac:dyDescent="0.25">
      <c r="A607" s="101"/>
      <c r="B607" s="101"/>
      <c r="C607" s="102"/>
      <c r="D607" s="102"/>
      <c r="E607" s="102"/>
      <c r="F607" s="102"/>
      <c r="G607" s="102"/>
      <c r="H607" s="102"/>
      <c r="I607" s="154"/>
      <c r="J607" s="154"/>
      <c r="K607" s="154"/>
      <c r="L607" s="154"/>
      <c r="M607" s="154"/>
      <c r="N607" s="154"/>
      <c r="O607" s="154"/>
      <c r="P607" s="154"/>
      <c r="Q607" s="154"/>
      <c r="R607" s="102"/>
      <c r="S607" s="102"/>
      <c r="T607" s="102"/>
      <c r="U607" s="102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01"/>
    </row>
    <row r="608" spans="1:31" s="162" customFormat="1" x14ac:dyDescent="0.25">
      <c r="A608" s="101"/>
      <c r="B608" s="101"/>
      <c r="C608" s="102"/>
      <c r="D608" s="102"/>
      <c r="E608" s="102"/>
      <c r="F608" s="102"/>
      <c r="G608" s="102"/>
      <c r="H608" s="102"/>
      <c r="I608" s="154"/>
      <c r="J608" s="154"/>
      <c r="K608" s="154"/>
      <c r="L608" s="154"/>
      <c r="M608" s="154"/>
      <c r="N608" s="154"/>
      <c r="O608" s="154"/>
      <c r="P608" s="154"/>
      <c r="Q608" s="154"/>
      <c r="R608" s="102"/>
      <c r="S608" s="102"/>
      <c r="T608" s="102"/>
      <c r="U608" s="102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01"/>
    </row>
    <row r="609" spans="1:31" s="162" customFormat="1" x14ac:dyDescent="0.25">
      <c r="A609" s="101"/>
      <c r="B609" s="101"/>
      <c r="C609" s="102"/>
      <c r="D609" s="102"/>
      <c r="E609" s="102"/>
      <c r="F609" s="102"/>
      <c r="G609" s="102"/>
      <c r="H609" s="102"/>
      <c r="I609" s="154"/>
      <c r="J609" s="154"/>
      <c r="K609" s="154"/>
      <c r="L609" s="154"/>
      <c r="M609" s="154"/>
      <c r="N609" s="154"/>
      <c r="O609" s="154"/>
      <c r="P609" s="154"/>
      <c r="Q609" s="154"/>
      <c r="R609" s="102"/>
      <c r="S609" s="102"/>
      <c r="T609" s="102"/>
      <c r="U609" s="102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01"/>
    </row>
    <row r="610" spans="1:31" s="162" customFormat="1" x14ac:dyDescent="0.25">
      <c r="A610" s="101"/>
      <c r="B610" s="101"/>
      <c r="C610" s="102"/>
      <c r="D610" s="102"/>
      <c r="E610" s="102"/>
      <c r="F610" s="102"/>
      <c r="G610" s="102"/>
      <c r="H610" s="102"/>
      <c r="I610" s="154"/>
      <c r="J610" s="154"/>
      <c r="K610" s="154"/>
      <c r="L610" s="154"/>
      <c r="M610" s="154"/>
      <c r="N610" s="154"/>
      <c r="O610" s="154"/>
      <c r="P610" s="154"/>
      <c r="Q610" s="154"/>
      <c r="R610" s="102"/>
      <c r="S610" s="102"/>
      <c r="T610" s="102"/>
      <c r="U610" s="102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01"/>
    </row>
    <row r="611" spans="1:31" s="162" customFormat="1" x14ac:dyDescent="0.25">
      <c r="A611" s="101"/>
      <c r="B611" s="101"/>
      <c r="C611" s="102"/>
      <c r="D611" s="102"/>
      <c r="E611" s="102"/>
      <c r="F611" s="102"/>
      <c r="G611" s="102"/>
      <c r="H611" s="102"/>
      <c r="I611" s="154"/>
      <c r="J611" s="154"/>
      <c r="K611" s="154"/>
      <c r="L611" s="154"/>
      <c r="M611" s="154"/>
      <c r="N611" s="154"/>
      <c r="O611" s="154"/>
      <c r="P611" s="154"/>
      <c r="Q611" s="154"/>
      <c r="R611" s="102"/>
      <c r="S611" s="102"/>
      <c r="T611" s="102"/>
      <c r="U611" s="102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01"/>
    </row>
    <row r="612" spans="1:31" s="162" customFormat="1" x14ac:dyDescent="0.25">
      <c r="A612" s="101"/>
      <c r="B612" s="101"/>
      <c r="C612" s="102"/>
      <c r="D612" s="102"/>
      <c r="E612" s="102"/>
      <c r="F612" s="102"/>
      <c r="G612" s="102"/>
      <c r="H612" s="102"/>
      <c r="I612" s="154"/>
      <c r="J612" s="154"/>
      <c r="K612" s="154"/>
      <c r="L612" s="154"/>
      <c r="M612" s="154"/>
      <c r="N612" s="154"/>
      <c r="O612" s="154"/>
      <c r="P612" s="154"/>
      <c r="Q612" s="154"/>
      <c r="R612" s="102"/>
      <c r="S612" s="102"/>
      <c r="T612" s="102"/>
      <c r="U612" s="102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01"/>
    </row>
    <row r="613" spans="1:31" s="162" customFormat="1" x14ac:dyDescent="0.25">
      <c r="A613" s="101"/>
      <c r="B613" s="101"/>
      <c r="C613" s="102"/>
      <c r="D613" s="102"/>
      <c r="E613" s="102"/>
      <c r="F613" s="102"/>
      <c r="G613" s="102"/>
      <c r="H613" s="102"/>
      <c r="I613" s="154"/>
      <c r="J613" s="154"/>
      <c r="K613" s="154"/>
      <c r="L613" s="154"/>
      <c r="M613" s="154"/>
      <c r="N613" s="154"/>
      <c r="O613" s="154"/>
      <c r="P613" s="154"/>
      <c r="Q613" s="154"/>
      <c r="R613" s="102"/>
      <c r="S613" s="102"/>
      <c r="T613" s="102"/>
      <c r="U613" s="102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01"/>
    </row>
    <row r="614" spans="1:31" s="162" customFormat="1" x14ac:dyDescent="0.25">
      <c r="A614" s="101"/>
      <c r="B614" s="101"/>
      <c r="C614" s="102"/>
      <c r="D614" s="102"/>
      <c r="E614" s="102"/>
      <c r="F614" s="102"/>
      <c r="G614" s="102"/>
      <c r="H614" s="102"/>
      <c r="I614" s="154"/>
      <c r="J614" s="154"/>
      <c r="K614" s="154"/>
      <c r="L614" s="154"/>
      <c r="M614" s="154"/>
      <c r="N614" s="154"/>
      <c r="O614" s="154"/>
      <c r="P614" s="154"/>
      <c r="Q614" s="154"/>
      <c r="R614" s="102"/>
      <c r="S614" s="102"/>
      <c r="T614" s="102"/>
      <c r="U614" s="102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01"/>
    </row>
    <row r="615" spans="1:31" s="162" customFormat="1" x14ac:dyDescent="0.25">
      <c r="A615" s="101"/>
      <c r="B615" s="101"/>
      <c r="C615" s="102"/>
      <c r="D615" s="102"/>
      <c r="E615" s="102"/>
      <c r="F615" s="102"/>
      <c r="G615" s="102"/>
      <c r="H615" s="102"/>
      <c r="I615" s="154"/>
      <c r="J615" s="154"/>
      <c r="K615" s="154"/>
      <c r="L615" s="154"/>
      <c r="M615" s="154"/>
      <c r="N615" s="154"/>
      <c r="O615" s="154"/>
      <c r="P615" s="154"/>
      <c r="Q615" s="154"/>
      <c r="R615" s="102"/>
      <c r="S615" s="102"/>
      <c r="T615" s="102"/>
      <c r="U615" s="102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01"/>
    </row>
    <row r="616" spans="1:31" s="162" customFormat="1" x14ac:dyDescent="0.25">
      <c r="A616" s="101"/>
      <c r="B616" s="101"/>
      <c r="C616" s="102"/>
      <c r="D616" s="102"/>
      <c r="E616" s="102"/>
      <c r="F616" s="102"/>
      <c r="G616" s="102"/>
      <c r="H616" s="102"/>
      <c r="I616" s="154"/>
      <c r="J616" s="154"/>
      <c r="K616" s="154"/>
      <c r="L616" s="154"/>
      <c r="M616" s="154"/>
      <c r="N616" s="154"/>
      <c r="O616" s="154"/>
      <c r="P616" s="154"/>
      <c r="Q616" s="154"/>
      <c r="R616" s="102"/>
      <c r="S616" s="102"/>
      <c r="T616" s="102"/>
      <c r="U616" s="102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01"/>
    </row>
    <row r="617" spans="1:31" s="162" customFormat="1" x14ac:dyDescent="0.25">
      <c r="A617" s="101"/>
      <c r="B617" s="101"/>
      <c r="C617" s="102"/>
      <c r="D617" s="102"/>
      <c r="E617" s="102"/>
      <c r="F617" s="102"/>
      <c r="G617" s="102"/>
      <c r="H617" s="102"/>
      <c r="I617" s="154"/>
      <c r="J617" s="154"/>
      <c r="K617" s="154"/>
      <c r="L617" s="154"/>
      <c r="M617" s="154"/>
      <c r="N617" s="154"/>
      <c r="O617" s="154"/>
      <c r="P617" s="154"/>
      <c r="Q617" s="154"/>
      <c r="R617" s="102"/>
      <c r="S617" s="102"/>
      <c r="T617" s="102"/>
      <c r="U617" s="102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01"/>
    </row>
    <row r="618" spans="1:31" s="162" customFormat="1" x14ac:dyDescent="0.25">
      <c r="A618" s="101"/>
      <c r="B618" s="101"/>
      <c r="C618" s="102"/>
      <c r="D618" s="102"/>
      <c r="E618" s="102"/>
      <c r="F618" s="102"/>
      <c r="G618" s="102"/>
      <c r="H618" s="102"/>
      <c r="I618" s="154"/>
      <c r="J618" s="154"/>
      <c r="K618" s="154"/>
      <c r="L618" s="154"/>
      <c r="M618" s="154"/>
      <c r="N618" s="154"/>
      <c r="O618" s="154"/>
      <c r="P618" s="154"/>
      <c r="Q618" s="154"/>
      <c r="R618" s="102"/>
      <c r="S618" s="102"/>
      <c r="T618" s="102"/>
      <c r="U618" s="102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01"/>
    </row>
    <row r="619" spans="1:31" s="162" customFormat="1" x14ac:dyDescent="0.25">
      <c r="A619" s="101"/>
      <c r="B619" s="101"/>
      <c r="C619" s="102"/>
      <c r="D619" s="102"/>
      <c r="E619" s="102"/>
      <c r="F619" s="102"/>
      <c r="G619" s="102"/>
      <c r="H619" s="102"/>
      <c r="I619" s="154"/>
      <c r="J619" s="154"/>
      <c r="K619" s="154"/>
      <c r="L619" s="154"/>
      <c r="M619" s="154"/>
      <c r="N619" s="154"/>
      <c r="O619" s="154"/>
      <c r="P619" s="154"/>
      <c r="Q619" s="154"/>
      <c r="R619" s="102"/>
      <c r="S619" s="102"/>
      <c r="T619" s="102"/>
      <c r="U619" s="102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01"/>
    </row>
    <row r="620" spans="1:31" s="162" customFormat="1" x14ac:dyDescent="0.25">
      <c r="A620" s="101"/>
      <c r="B620" s="101"/>
      <c r="C620" s="102"/>
      <c r="D620" s="102"/>
      <c r="E620" s="102"/>
      <c r="F620" s="102"/>
      <c r="G620" s="102"/>
      <c r="H620" s="102"/>
      <c r="I620" s="154"/>
      <c r="J620" s="154"/>
      <c r="K620" s="154"/>
      <c r="L620" s="154"/>
      <c r="M620" s="154"/>
      <c r="N620" s="154"/>
      <c r="O620" s="154"/>
      <c r="P620" s="154"/>
      <c r="Q620" s="154"/>
      <c r="R620" s="102"/>
      <c r="S620" s="102"/>
      <c r="T620" s="102"/>
      <c r="U620" s="102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01"/>
    </row>
    <row r="621" spans="1:31" s="162" customFormat="1" x14ac:dyDescent="0.25">
      <c r="A621" s="101"/>
      <c r="B621" s="101"/>
      <c r="C621" s="102"/>
      <c r="D621" s="102"/>
      <c r="E621" s="102"/>
      <c r="F621" s="102"/>
      <c r="G621" s="102"/>
      <c r="H621" s="102"/>
      <c r="I621" s="154"/>
      <c r="J621" s="154"/>
      <c r="K621" s="154"/>
      <c r="L621" s="154"/>
      <c r="M621" s="154"/>
      <c r="N621" s="154"/>
      <c r="O621" s="154"/>
      <c r="P621" s="154"/>
      <c r="Q621" s="154"/>
      <c r="R621" s="102"/>
      <c r="S621" s="102"/>
      <c r="T621" s="102"/>
      <c r="U621" s="102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01"/>
    </row>
    <row r="622" spans="1:31" s="162" customFormat="1" x14ac:dyDescent="0.25">
      <c r="A622" s="101"/>
      <c r="B622" s="101"/>
      <c r="C622" s="102"/>
      <c r="D622" s="102"/>
      <c r="E622" s="102"/>
      <c r="F622" s="102"/>
      <c r="G622" s="102"/>
      <c r="H622" s="102"/>
      <c r="I622" s="154"/>
      <c r="J622" s="154"/>
      <c r="K622" s="154"/>
      <c r="L622" s="154"/>
      <c r="M622" s="154"/>
      <c r="N622" s="154"/>
      <c r="O622" s="154"/>
      <c r="P622" s="154"/>
      <c r="Q622" s="154"/>
      <c r="R622" s="102"/>
      <c r="S622" s="102"/>
      <c r="T622" s="102"/>
      <c r="U622" s="102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01"/>
    </row>
    <row r="623" spans="1:31" s="162" customFormat="1" x14ac:dyDescent="0.25">
      <c r="A623" s="101"/>
      <c r="B623" s="101"/>
      <c r="C623" s="102"/>
      <c r="D623" s="102"/>
      <c r="E623" s="102"/>
      <c r="F623" s="102"/>
      <c r="G623" s="102"/>
      <c r="H623" s="102"/>
      <c r="I623" s="154"/>
      <c r="J623" s="154"/>
      <c r="K623" s="154"/>
      <c r="L623" s="154"/>
      <c r="M623" s="154"/>
      <c r="N623" s="154"/>
      <c r="O623" s="154"/>
      <c r="P623" s="154"/>
      <c r="Q623" s="154"/>
      <c r="R623" s="102"/>
      <c r="S623" s="102"/>
      <c r="T623" s="102"/>
      <c r="U623" s="102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01"/>
    </row>
    <row r="624" spans="1:31" s="162" customFormat="1" x14ac:dyDescent="0.25">
      <c r="A624" s="101"/>
      <c r="B624" s="101"/>
      <c r="C624" s="102"/>
      <c r="D624" s="102"/>
      <c r="E624" s="102"/>
      <c r="F624" s="102"/>
      <c r="G624" s="102"/>
      <c r="H624" s="102"/>
      <c r="I624" s="154"/>
      <c r="J624" s="154"/>
      <c r="K624" s="154"/>
      <c r="L624" s="154"/>
      <c r="M624" s="154"/>
      <c r="N624" s="154"/>
      <c r="O624" s="154"/>
      <c r="P624" s="154"/>
      <c r="Q624" s="154"/>
      <c r="R624" s="102"/>
      <c r="S624" s="102"/>
      <c r="T624" s="102"/>
      <c r="U624" s="102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01"/>
    </row>
    <row r="625" spans="1:31" s="162" customFormat="1" x14ac:dyDescent="0.25">
      <c r="A625" s="101"/>
      <c r="B625" s="101"/>
      <c r="C625" s="102"/>
      <c r="D625" s="102"/>
      <c r="E625" s="102"/>
      <c r="F625" s="102"/>
      <c r="G625" s="102"/>
      <c r="H625" s="102"/>
      <c r="I625" s="154"/>
      <c r="J625" s="154"/>
      <c r="K625" s="154"/>
      <c r="L625" s="154"/>
      <c r="M625" s="154"/>
      <c r="N625" s="154"/>
      <c r="O625" s="154"/>
      <c r="P625" s="154"/>
      <c r="Q625" s="154"/>
      <c r="R625" s="102"/>
      <c r="S625" s="102"/>
      <c r="T625" s="102"/>
      <c r="U625" s="102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01"/>
    </row>
    <row r="626" spans="1:31" s="162" customFormat="1" x14ac:dyDescent="0.25">
      <c r="A626" s="101"/>
      <c r="B626" s="101"/>
      <c r="C626" s="102"/>
      <c r="D626" s="102"/>
      <c r="E626" s="102"/>
      <c r="F626" s="102"/>
      <c r="G626" s="102"/>
      <c r="H626" s="102"/>
      <c r="I626" s="154"/>
      <c r="J626" s="154"/>
      <c r="K626" s="154"/>
      <c r="L626" s="154"/>
      <c r="M626" s="154"/>
      <c r="N626" s="154"/>
      <c r="O626" s="154"/>
      <c r="P626" s="154"/>
      <c r="Q626" s="154"/>
      <c r="R626" s="102"/>
      <c r="S626" s="102"/>
      <c r="T626" s="102"/>
      <c r="U626" s="102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01"/>
    </row>
    <row r="627" spans="1:31" s="162" customFormat="1" x14ac:dyDescent="0.25">
      <c r="A627" s="101"/>
      <c r="B627" s="101"/>
      <c r="C627" s="102"/>
      <c r="D627" s="102"/>
      <c r="E627" s="102"/>
      <c r="F627" s="102"/>
      <c r="G627" s="102"/>
      <c r="H627" s="102"/>
      <c r="I627" s="154"/>
      <c r="J627" s="154"/>
      <c r="K627" s="154"/>
      <c r="L627" s="154"/>
      <c r="M627" s="154"/>
      <c r="N627" s="154"/>
      <c r="O627" s="154"/>
      <c r="P627" s="154"/>
      <c r="Q627" s="154"/>
      <c r="R627" s="102"/>
      <c r="S627" s="102"/>
      <c r="T627" s="102"/>
      <c r="U627" s="102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01"/>
    </row>
    <row r="628" spans="1:31" s="162" customFormat="1" x14ac:dyDescent="0.25">
      <c r="A628" s="101"/>
      <c r="B628" s="101"/>
      <c r="C628" s="102"/>
      <c r="D628" s="102"/>
      <c r="E628" s="102"/>
      <c r="F628" s="102"/>
      <c r="G628" s="102"/>
      <c r="H628" s="102"/>
      <c r="I628" s="154"/>
      <c r="J628" s="154"/>
      <c r="K628" s="154"/>
      <c r="L628" s="154"/>
      <c r="M628" s="154"/>
      <c r="N628" s="154"/>
      <c r="O628" s="154"/>
      <c r="P628" s="154"/>
      <c r="Q628" s="154"/>
      <c r="R628" s="102"/>
      <c r="S628" s="102"/>
      <c r="T628" s="102"/>
      <c r="U628" s="102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01"/>
    </row>
    <row r="629" spans="1:31" s="162" customFormat="1" x14ac:dyDescent="0.25">
      <c r="A629" s="101"/>
      <c r="B629" s="101"/>
      <c r="C629" s="102"/>
      <c r="D629" s="102"/>
      <c r="E629" s="102"/>
      <c r="F629" s="102"/>
      <c r="G629" s="102"/>
      <c r="H629" s="102"/>
      <c r="I629" s="154"/>
      <c r="J629" s="154"/>
      <c r="K629" s="154"/>
      <c r="L629" s="154"/>
      <c r="M629" s="154"/>
      <c r="N629" s="154"/>
      <c r="O629" s="154"/>
      <c r="P629" s="154"/>
      <c r="Q629" s="154"/>
      <c r="R629" s="102"/>
      <c r="S629" s="102"/>
      <c r="T629" s="102"/>
      <c r="U629" s="102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01"/>
    </row>
    <row r="630" spans="1:31" s="162" customFormat="1" x14ac:dyDescent="0.25">
      <c r="A630" s="101"/>
      <c r="B630" s="101"/>
      <c r="C630" s="102"/>
      <c r="D630" s="102"/>
      <c r="E630" s="102"/>
      <c r="F630" s="102"/>
      <c r="G630" s="102"/>
      <c r="H630" s="102"/>
      <c r="I630" s="154"/>
      <c r="J630" s="154"/>
      <c r="K630" s="154"/>
      <c r="L630" s="154"/>
      <c r="M630" s="154"/>
      <c r="N630" s="154"/>
      <c r="O630" s="154"/>
      <c r="P630" s="154"/>
      <c r="Q630" s="154"/>
      <c r="R630" s="102"/>
      <c r="S630" s="102"/>
      <c r="T630" s="102"/>
      <c r="U630" s="102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01"/>
    </row>
    <row r="631" spans="1:31" s="162" customFormat="1" x14ac:dyDescent="0.25">
      <c r="A631" s="101"/>
      <c r="B631" s="101"/>
      <c r="C631" s="102"/>
      <c r="D631" s="102"/>
      <c r="E631" s="102"/>
      <c r="F631" s="102"/>
      <c r="G631" s="102"/>
      <c r="H631" s="102"/>
      <c r="I631" s="154"/>
      <c r="J631" s="154"/>
      <c r="K631" s="154"/>
      <c r="L631" s="154"/>
      <c r="M631" s="154"/>
      <c r="N631" s="154"/>
      <c r="O631" s="154"/>
      <c r="P631" s="154"/>
      <c r="Q631" s="154"/>
      <c r="R631" s="102"/>
      <c r="S631" s="102"/>
      <c r="T631" s="102"/>
      <c r="U631" s="102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01"/>
    </row>
    <row r="632" spans="1:31" s="162" customFormat="1" x14ac:dyDescent="0.25">
      <c r="A632" s="101"/>
      <c r="B632" s="101"/>
      <c r="C632" s="102"/>
      <c r="D632" s="102"/>
      <c r="E632" s="102"/>
      <c r="F632" s="102"/>
      <c r="G632" s="102"/>
      <c r="H632" s="102"/>
      <c r="I632" s="154"/>
      <c r="J632" s="154"/>
      <c r="K632" s="154"/>
      <c r="L632" s="154"/>
      <c r="M632" s="154"/>
      <c r="N632" s="154"/>
      <c r="O632" s="154"/>
      <c r="P632" s="154"/>
      <c r="Q632" s="154"/>
      <c r="R632" s="102"/>
      <c r="S632" s="102"/>
      <c r="T632" s="102"/>
      <c r="U632" s="102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01"/>
    </row>
    <row r="633" spans="1:31" s="162" customFormat="1" x14ac:dyDescent="0.25">
      <c r="A633" s="101"/>
      <c r="B633" s="101"/>
      <c r="C633" s="102"/>
      <c r="D633" s="102"/>
      <c r="E633" s="102"/>
      <c r="F633" s="102"/>
      <c r="G633" s="102"/>
      <c r="H633" s="102"/>
      <c r="I633" s="154"/>
      <c r="J633" s="154"/>
      <c r="K633" s="154"/>
      <c r="L633" s="154"/>
      <c r="M633" s="154"/>
      <c r="N633" s="154"/>
      <c r="O633" s="154"/>
      <c r="P633" s="154"/>
      <c r="Q633" s="154"/>
      <c r="R633" s="102"/>
      <c r="S633" s="102"/>
      <c r="T633" s="102"/>
      <c r="U633" s="102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01"/>
    </row>
    <row r="634" spans="1:31" s="162" customFormat="1" x14ac:dyDescent="0.25">
      <c r="A634" s="101"/>
      <c r="B634" s="101"/>
      <c r="C634" s="102"/>
      <c r="D634" s="102"/>
      <c r="E634" s="102"/>
      <c r="F634" s="102"/>
      <c r="G634" s="102"/>
      <c r="H634" s="102"/>
      <c r="I634" s="154"/>
      <c r="J634" s="154"/>
      <c r="K634" s="154"/>
      <c r="L634" s="154"/>
      <c r="M634" s="154"/>
      <c r="N634" s="154"/>
      <c r="O634" s="154"/>
      <c r="P634" s="154"/>
      <c r="Q634" s="154"/>
      <c r="R634" s="102"/>
      <c r="S634" s="102"/>
      <c r="T634" s="102"/>
      <c r="U634" s="102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01"/>
    </row>
    <row r="635" spans="1:31" s="162" customFormat="1" x14ac:dyDescent="0.25">
      <c r="A635" s="101"/>
      <c r="B635" s="101"/>
      <c r="C635" s="102"/>
      <c r="D635" s="102"/>
      <c r="E635" s="102"/>
      <c r="F635" s="102"/>
      <c r="G635" s="102"/>
      <c r="H635" s="102"/>
      <c r="I635" s="154"/>
      <c r="J635" s="154"/>
      <c r="K635" s="154"/>
      <c r="L635" s="154"/>
      <c r="M635" s="154"/>
      <c r="N635" s="154"/>
      <c r="O635" s="154"/>
      <c r="P635" s="154"/>
      <c r="Q635" s="154"/>
      <c r="R635" s="102"/>
      <c r="S635" s="102"/>
      <c r="T635" s="102"/>
      <c r="U635" s="102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01"/>
    </row>
    <row r="636" spans="1:31" s="162" customFormat="1" x14ac:dyDescent="0.25">
      <c r="A636" s="101"/>
      <c r="B636" s="101"/>
      <c r="C636" s="102"/>
      <c r="D636" s="102"/>
      <c r="E636" s="102"/>
      <c r="F636" s="102"/>
      <c r="G636" s="102"/>
      <c r="H636" s="102"/>
      <c r="I636" s="154"/>
      <c r="J636" s="154"/>
      <c r="K636" s="154"/>
      <c r="L636" s="154"/>
      <c r="M636" s="154"/>
      <c r="N636" s="154"/>
      <c r="O636" s="154"/>
      <c r="P636" s="154"/>
      <c r="Q636" s="154"/>
      <c r="R636" s="102"/>
      <c r="S636" s="102"/>
      <c r="T636" s="102"/>
      <c r="U636" s="102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01"/>
    </row>
    <row r="637" spans="1:31" s="162" customFormat="1" x14ac:dyDescent="0.25">
      <c r="A637" s="101"/>
      <c r="B637" s="101"/>
      <c r="C637" s="102"/>
      <c r="D637" s="102"/>
      <c r="E637" s="102"/>
      <c r="F637" s="102"/>
      <c r="G637" s="102"/>
      <c r="H637" s="102"/>
      <c r="I637" s="154"/>
      <c r="J637" s="154"/>
      <c r="K637" s="154"/>
      <c r="L637" s="154"/>
      <c r="M637" s="154"/>
      <c r="N637" s="154"/>
      <c r="O637" s="154"/>
      <c r="P637" s="154"/>
      <c r="Q637" s="154"/>
      <c r="R637" s="102"/>
      <c r="S637" s="102"/>
      <c r="T637" s="102"/>
      <c r="U637" s="102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01"/>
    </row>
    <row r="638" spans="1:31" s="162" customFormat="1" x14ac:dyDescent="0.25">
      <c r="A638" s="101"/>
      <c r="B638" s="101"/>
      <c r="C638" s="102"/>
      <c r="D638" s="102"/>
      <c r="E638" s="102"/>
      <c r="F638" s="102"/>
      <c r="G638" s="102"/>
      <c r="H638" s="102"/>
      <c r="I638" s="154"/>
      <c r="J638" s="154"/>
      <c r="K638" s="154"/>
      <c r="L638" s="154"/>
      <c r="M638" s="154"/>
      <c r="N638" s="154"/>
      <c r="O638" s="154"/>
      <c r="P638" s="154"/>
      <c r="Q638" s="154"/>
      <c r="R638" s="102"/>
      <c r="S638" s="102"/>
      <c r="T638" s="102"/>
      <c r="U638" s="102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01"/>
    </row>
    <row r="639" spans="1:31" s="162" customFormat="1" x14ac:dyDescent="0.25">
      <c r="A639" s="101"/>
      <c r="B639" s="101"/>
      <c r="C639" s="102"/>
      <c r="D639" s="102"/>
      <c r="E639" s="102"/>
      <c r="F639" s="102"/>
      <c r="G639" s="102"/>
      <c r="H639" s="102"/>
      <c r="I639" s="154"/>
      <c r="J639" s="154"/>
      <c r="K639" s="154"/>
      <c r="L639" s="154"/>
      <c r="M639" s="154"/>
      <c r="N639" s="154"/>
      <c r="O639" s="154"/>
      <c r="P639" s="154"/>
      <c r="Q639" s="154"/>
      <c r="R639" s="102"/>
      <c r="S639" s="102"/>
      <c r="T639" s="102"/>
      <c r="U639" s="102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01"/>
    </row>
    <row r="640" spans="1:31" s="162" customFormat="1" x14ac:dyDescent="0.25">
      <c r="A640" s="101"/>
      <c r="B640" s="101"/>
      <c r="C640" s="102"/>
      <c r="D640" s="102"/>
      <c r="E640" s="102"/>
      <c r="F640" s="102"/>
      <c r="G640" s="102"/>
      <c r="H640" s="102"/>
      <c r="I640" s="154"/>
      <c r="J640" s="154"/>
      <c r="K640" s="154"/>
      <c r="L640" s="154"/>
      <c r="M640" s="154"/>
      <c r="N640" s="154"/>
      <c r="O640" s="154"/>
      <c r="P640" s="154"/>
      <c r="Q640" s="154"/>
      <c r="R640" s="102"/>
      <c r="S640" s="102"/>
      <c r="T640" s="102"/>
      <c r="U640" s="102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01"/>
    </row>
    <row r="641" spans="1:31" s="162" customFormat="1" x14ac:dyDescent="0.25">
      <c r="A641" s="101"/>
      <c r="B641" s="101"/>
      <c r="C641" s="102"/>
      <c r="D641" s="102"/>
      <c r="E641" s="102"/>
      <c r="F641" s="102"/>
      <c r="G641" s="102"/>
      <c r="H641" s="102"/>
      <c r="I641" s="154"/>
      <c r="J641" s="154"/>
      <c r="K641" s="154"/>
      <c r="L641" s="154"/>
      <c r="M641" s="154"/>
      <c r="N641" s="154"/>
      <c r="O641" s="154"/>
      <c r="P641" s="154"/>
      <c r="Q641" s="154"/>
      <c r="R641" s="102"/>
      <c r="S641" s="102"/>
      <c r="T641" s="102"/>
      <c r="U641" s="102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01"/>
    </row>
    <row r="642" spans="1:31" s="162" customFormat="1" x14ac:dyDescent="0.25">
      <c r="A642" s="101"/>
      <c r="B642" s="101"/>
      <c r="C642" s="102"/>
      <c r="D642" s="102"/>
      <c r="E642" s="102"/>
      <c r="F642" s="102"/>
      <c r="G642" s="102"/>
      <c r="H642" s="102"/>
      <c r="I642" s="154"/>
      <c r="J642" s="154"/>
      <c r="K642" s="154"/>
      <c r="L642" s="154"/>
      <c r="M642" s="154"/>
      <c r="N642" s="154"/>
      <c r="O642" s="154"/>
      <c r="P642" s="154"/>
      <c r="Q642" s="154"/>
      <c r="R642" s="102"/>
      <c r="S642" s="102"/>
      <c r="T642" s="102"/>
      <c r="U642" s="102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01"/>
    </row>
    <row r="643" spans="1:31" s="162" customFormat="1" x14ac:dyDescent="0.25">
      <c r="A643" s="101"/>
      <c r="B643" s="101"/>
      <c r="C643" s="102"/>
      <c r="D643" s="102"/>
      <c r="E643" s="102"/>
      <c r="F643" s="102"/>
      <c r="G643" s="102"/>
      <c r="H643" s="102"/>
      <c r="I643" s="154"/>
      <c r="J643" s="154"/>
      <c r="K643" s="154"/>
      <c r="L643" s="154"/>
      <c r="M643" s="154"/>
      <c r="N643" s="154"/>
      <c r="O643" s="154"/>
      <c r="P643" s="154"/>
      <c r="Q643" s="154"/>
      <c r="R643" s="102"/>
      <c r="S643" s="102"/>
      <c r="T643" s="102"/>
      <c r="U643" s="102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01"/>
    </row>
    <row r="644" spans="1:31" s="162" customFormat="1" x14ac:dyDescent="0.25">
      <c r="A644" s="101"/>
      <c r="B644" s="101"/>
      <c r="C644" s="102"/>
      <c r="D644" s="102"/>
      <c r="E644" s="102"/>
      <c r="F644" s="102"/>
      <c r="G644" s="102"/>
      <c r="H644" s="102"/>
      <c r="I644" s="154"/>
      <c r="J644" s="154"/>
      <c r="K644" s="154"/>
      <c r="L644" s="154"/>
      <c r="M644" s="154"/>
      <c r="N644" s="154"/>
      <c r="O644" s="154"/>
      <c r="P644" s="154"/>
      <c r="Q644" s="154"/>
      <c r="R644" s="102"/>
      <c r="S644" s="102"/>
      <c r="T644" s="102"/>
      <c r="U644" s="102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01"/>
    </row>
    <row r="645" spans="1:31" s="162" customFormat="1" x14ac:dyDescent="0.25">
      <c r="A645" s="101"/>
      <c r="B645" s="101"/>
      <c r="C645" s="102"/>
      <c r="D645" s="102"/>
      <c r="E645" s="102"/>
      <c r="F645" s="102"/>
      <c r="G645" s="102"/>
      <c r="H645" s="102"/>
      <c r="I645" s="154"/>
      <c r="J645" s="154"/>
      <c r="K645" s="154"/>
      <c r="L645" s="154"/>
      <c r="M645" s="154"/>
      <c r="N645" s="154"/>
      <c r="O645" s="154"/>
      <c r="P645" s="154"/>
      <c r="Q645" s="154"/>
      <c r="R645" s="102"/>
      <c r="S645" s="102"/>
      <c r="T645" s="102"/>
      <c r="U645" s="102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01"/>
    </row>
    <row r="646" spans="1:31" s="162" customFormat="1" x14ac:dyDescent="0.25">
      <c r="A646" s="101"/>
      <c r="B646" s="101"/>
      <c r="C646" s="102"/>
      <c r="D646" s="102"/>
      <c r="E646" s="102"/>
      <c r="F646" s="102"/>
      <c r="G646" s="102"/>
      <c r="H646" s="102"/>
      <c r="I646" s="154"/>
      <c r="J646" s="154"/>
      <c r="K646" s="154"/>
      <c r="L646" s="154"/>
      <c r="M646" s="154"/>
      <c r="N646" s="154"/>
      <c r="O646" s="154"/>
      <c r="P646" s="154"/>
      <c r="Q646" s="154"/>
      <c r="R646" s="102"/>
      <c r="S646" s="102"/>
      <c r="T646" s="102"/>
      <c r="U646" s="102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01"/>
    </row>
    <row r="647" spans="1:31" s="162" customFormat="1" x14ac:dyDescent="0.25">
      <c r="A647" s="101"/>
      <c r="B647" s="101"/>
      <c r="C647" s="102"/>
      <c r="D647" s="102"/>
      <c r="E647" s="102"/>
      <c r="F647" s="102"/>
      <c r="G647" s="102"/>
      <c r="H647" s="102"/>
      <c r="I647" s="154"/>
      <c r="J647" s="154"/>
      <c r="K647" s="154"/>
      <c r="L647" s="154"/>
      <c r="M647" s="154"/>
      <c r="N647" s="154"/>
      <c r="O647" s="154"/>
      <c r="P647" s="154"/>
      <c r="Q647" s="154"/>
      <c r="R647" s="102"/>
      <c r="S647" s="102"/>
      <c r="T647" s="102"/>
      <c r="U647" s="102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01"/>
    </row>
    <row r="648" spans="1:31" s="162" customFormat="1" x14ac:dyDescent="0.25">
      <c r="A648" s="101"/>
      <c r="B648" s="101"/>
      <c r="C648" s="102"/>
      <c r="D648" s="102"/>
      <c r="E648" s="102"/>
      <c r="F648" s="102"/>
      <c r="G648" s="102"/>
      <c r="H648" s="102"/>
      <c r="I648" s="154"/>
      <c r="J648" s="154"/>
      <c r="K648" s="154"/>
      <c r="L648" s="154"/>
      <c r="M648" s="154"/>
      <c r="N648" s="154"/>
      <c r="O648" s="154"/>
      <c r="P648" s="154"/>
      <c r="Q648" s="154"/>
      <c r="R648" s="102"/>
      <c r="S648" s="102"/>
      <c r="T648" s="102"/>
      <c r="U648" s="102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01"/>
    </row>
    <row r="649" spans="1:31" s="162" customFormat="1" x14ac:dyDescent="0.25">
      <c r="A649" s="101"/>
      <c r="B649" s="101"/>
      <c r="C649" s="102"/>
      <c r="D649" s="102"/>
      <c r="E649" s="102"/>
      <c r="F649" s="102"/>
      <c r="G649" s="102"/>
      <c r="H649" s="102"/>
      <c r="I649" s="154"/>
      <c r="J649" s="154"/>
      <c r="K649" s="154"/>
      <c r="L649" s="154"/>
      <c r="M649" s="154"/>
      <c r="N649" s="154"/>
      <c r="O649" s="154"/>
      <c r="P649" s="154"/>
      <c r="Q649" s="154"/>
      <c r="R649" s="102"/>
      <c r="S649" s="102"/>
      <c r="T649" s="102"/>
      <c r="U649" s="102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01"/>
    </row>
    <row r="650" spans="1:31" s="162" customFormat="1" x14ac:dyDescent="0.25">
      <c r="A650" s="101"/>
      <c r="B650" s="101"/>
      <c r="C650" s="102"/>
      <c r="D650" s="102"/>
      <c r="E650" s="102"/>
      <c r="F650" s="102"/>
      <c r="G650" s="102"/>
      <c r="H650" s="102"/>
      <c r="I650" s="154"/>
      <c r="J650" s="154"/>
      <c r="K650" s="154"/>
      <c r="L650" s="154"/>
      <c r="M650" s="154"/>
      <c r="N650" s="154"/>
      <c r="O650" s="154"/>
      <c r="P650" s="154"/>
      <c r="Q650" s="154"/>
      <c r="R650" s="102"/>
      <c r="S650" s="102"/>
      <c r="T650" s="102"/>
      <c r="U650" s="102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01"/>
    </row>
    <row r="651" spans="1:31" s="162" customFormat="1" x14ac:dyDescent="0.25">
      <c r="A651" s="101"/>
      <c r="B651" s="101"/>
      <c r="C651" s="102"/>
      <c r="D651" s="102"/>
      <c r="E651" s="102"/>
      <c r="F651" s="102"/>
      <c r="G651" s="102"/>
      <c r="H651" s="102"/>
      <c r="I651" s="154"/>
      <c r="J651" s="154"/>
      <c r="K651" s="154"/>
      <c r="L651" s="154"/>
      <c r="M651" s="154"/>
      <c r="N651" s="154"/>
      <c r="O651" s="154"/>
      <c r="P651" s="154"/>
      <c r="Q651" s="154"/>
      <c r="R651" s="102"/>
      <c r="S651" s="102"/>
      <c r="T651" s="102"/>
      <c r="U651" s="102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01"/>
    </row>
    <row r="652" spans="1:31" s="162" customFormat="1" x14ac:dyDescent="0.25">
      <c r="A652" s="101"/>
      <c r="B652" s="101"/>
      <c r="C652" s="102"/>
      <c r="D652" s="102"/>
      <c r="E652" s="102"/>
      <c r="F652" s="102"/>
      <c r="G652" s="102"/>
      <c r="H652" s="102"/>
      <c r="I652" s="154"/>
      <c r="J652" s="154"/>
      <c r="K652" s="154"/>
      <c r="L652" s="154"/>
      <c r="M652" s="154"/>
      <c r="N652" s="154"/>
      <c r="O652" s="154"/>
      <c r="P652" s="154"/>
      <c r="Q652" s="154"/>
      <c r="R652" s="102"/>
      <c r="S652" s="102"/>
      <c r="T652" s="102"/>
      <c r="U652" s="102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01"/>
    </row>
    <row r="653" spans="1:31" s="162" customFormat="1" x14ac:dyDescent="0.25">
      <c r="A653" s="101"/>
      <c r="B653" s="101"/>
      <c r="C653" s="102"/>
      <c r="D653" s="102"/>
      <c r="E653" s="102"/>
      <c r="F653" s="102"/>
      <c r="G653" s="102"/>
      <c r="H653" s="102"/>
      <c r="I653" s="154"/>
      <c r="J653" s="154"/>
      <c r="K653" s="154"/>
      <c r="L653" s="154"/>
      <c r="M653" s="154"/>
      <c r="N653" s="154"/>
      <c r="O653" s="154"/>
      <c r="P653" s="154"/>
      <c r="Q653" s="154"/>
      <c r="R653" s="102"/>
      <c r="S653" s="102"/>
      <c r="T653" s="102"/>
      <c r="U653" s="102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01"/>
    </row>
    <row r="654" spans="1:31" s="162" customFormat="1" x14ac:dyDescent="0.25">
      <c r="A654" s="101"/>
      <c r="B654" s="101"/>
      <c r="C654" s="102"/>
      <c r="D654" s="102"/>
      <c r="E654" s="102"/>
      <c r="F654" s="102"/>
      <c r="G654" s="102"/>
      <c r="H654" s="102"/>
      <c r="I654" s="154"/>
      <c r="J654" s="154"/>
      <c r="K654" s="154"/>
      <c r="L654" s="154"/>
      <c r="M654" s="154"/>
      <c r="N654" s="154"/>
      <c r="O654" s="154"/>
      <c r="P654" s="154"/>
      <c r="Q654" s="154"/>
      <c r="R654" s="102"/>
      <c r="S654" s="102"/>
      <c r="T654" s="102"/>
      <c r="U654" s="102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01"/>
    </row>
    <row r="655" spans="1:31" s="162" customFormat="1" x14ac:dyDescent="0.25">
      <c r="A655" s="101"/>
      <c r="B655" s="101"/>
      <c r="C655" s="102"/>
      <c r="D655" s="102"/>
      <c r="E655" s="102"/>
      <c r="F655" s="102"/>
      <c r="G655" s="102"/>
      <c r="H655" s="102"/>
      <c r="I655" s="154"/>
      <c r="J655" s="154"/>
      <c r="K655" s="154"/>
      <c r="L655" s="154"/>
      <c r="M655" s="154"/>
      <c r="N655" s="154"/>
      <c r="O655" s="154"/>
      <c r="P655" s="154"/>
      <c r="Q655" s="154"/>
      <c r="R655" s="102"/>
      <c r="S655" s="102"/>
      <c r="T655" s="102"/>
      <c r="U655" s="102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01"/>
    </row>
    <row r="656" spans="1:31" s="162" customFormat="1" x14ac:dyDescent="0.25">
      <c r="A656" s="101"/>
      <c r="B656" s="101"/>
      <c r="C656" s="102"/>
      <c r="D656" s="102"/>
      <c r="E656" s="102"/>
      <c r="F656" s="102"/>
      <c r="G656" s="102"/>
      <c r="H656" s="102"/>
      <c r="I656" s="154"/>
      <c r="J656" s="154"/>
      <c r="K656" s="154"/>
      <c r="L656" s="154"/>
      <c r="M656" s="154"/>
      <c r="N656" s="154"/>
      <c r="O656" s="154"/>
      <c r="P656" s="154"/>
      <c r="Q656" s="154"/>
      <c r="R656" s="102"/>
      <c r="S656" s="102"/>
      <c r="T656" s="102"/>
      <c r="U656" s="102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01"/>
    </row>
    <row r="657" spans="1:31" s="162" customFormat="1" x14ac:dyDescent="0.25">
      <c r="A657" s="101"/>
      <c r="B657" s="101"/>
      <c r="C657" s="102"/>
      <c r="D657" s="102"/>
      <c r="E657" s="102"/>
      <c r="F657" s="102"/>
      <c r="G657" s="102"/>
      <c r="H657" s="102"/>
      <c r="I657" s="154"/>
      <c r="J657" s="154"/>
      <c r="K657" s="154"/>
      <c r="L657" s="154"/>
      <c r="M657" s="154"/>
      <c r="N657" s="154"/>
      <c r="O657" s="154"/>
      <c r="P657" s="154"/>
      <c r="Q657" s="154"/>
      <c r="R657" s="102"/>
      <c r="S657" s="102"/>
      <c r="T657" s="102"/>
      <c r="U657" s="102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01"/>
    </row>
    <row r="658" spans="1:31" s="162" customFormat="1" x14ac:dyDescent="0.25">
      <c r="A658" s="101"/>
      <c r="B658" s="101"/>
      <c r="C658" s="102"/>
      <c r="D658" s="102"/>
      <c r="E658" s="102"/>
      <c r="F658" s="102"/>
      <c r="G658" s="102"/>
      <c r="H658" s="102"/>
      <c r="I658" s="154"/>
      <c r="J658" s="154"/>
      <c r="K658" s="154"/>
      <c r="L658" s="154"/>
      <c r="M658" s="154"/>
      <c r="N658" s="154"/>
      <c r="O658" s="154"/>
      <c r="P658" s="154"/>
      <c r="Q658" s="154"/>
      <c r="R658" s="102"/>
      <c r="S658" s="102"/>
      <c r="T658" s="102"/>
      <c r="U658" s="102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01"/>
    </row>
    <row r="659" spans="1:31" s="162" customFormat="1" x14ac:dyDescent="0.25">
      <c r="A659" s="101"/>
      <c r="B659" s="101"/>
      <c r="C659" s="102"/>
      <c r="D659" s="102"/>
      <c r="E659" s="102"/>
      <c r="F659" s="102"/>
      <c r="G659" s="102"/>
      <c r="H659" s="102"/>
      <c r="I659" s="154"/>
      <c r="J659" s="154"/>
      <c r="K659" s="154"/>
      <c r="L659" s="154"/>
      <c r="M659" s="154"/>
      <c r="N659" s="154"/>
      <c r="O659" s="154"/>
      <c r="P659" s="154"/>
      <c r="Q659" s="154"/>
      <c r="R659" s="102"/>
      <c r="S659" s="102"/>
      <c r="T659" s="102"/>
      <c r="U659" s="102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01"/>
    </row>
    <row r="660" spans="1:31" s="162" customFormat="1" x14ac:dyDescent="0.25">
      <c r="A660" s="101"/>
      <c r="B660" s="101"/>
      <c r="C660" s="102"/>
      <c r="D660" s="102"/>
      <c r="E660" s="102"/>
      <c r="F660" s="102"/>
      <c r="G660" s="102"/>
      <c r="H660" s="102"/>
      <c r="I660" s="154"/>
      <c r="J660" s="154"/>
      <c r="K660" s="154"/>
      <c r="L660" s="154"/>
      <c r="M660" s="154"/>
      <c r="N660" s="154"/>
      <c r="O660" s="154"/>
      <c r="P660" s="154"/>
      <c r="Q660" s="154"/>
      <c r="R660" s="102"/>
      <c r="S660" s="102"/>
      <c r="T660" s="102"/>
      <c r="U660" s="102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01"/>
    </row>
    <row r="661" spans="1:31" s="162" customFormat="1" x14ac:dyDescent="0.25">
      <c r="A661" s="101"/>
      <c r="B661" s="101"/>
      <c r="C661" s="102"/>
      <c r="D661" s="102"/>
      <c r="E661" s="102"/>
      <c r="F661" s="102"/>
      <c r="G661" s="102"/>
      <c r="H661" s="102"/>
      <c r="I661" s="154"/>
      <c r="J661" s="154"/>
      <c r="K661" s="154"/>
      <c r="L661" s="154"/>
      <c r="M661" s="154"/>
      <c r="N661" s="154"/>
      <c r="O661" s="154"/>
      <c r="P661" s="154"/>
      <c r="Q661" s="154"/>
      <c r="R661" s="102"/>
      <c r="S661" s="102"/>
      <c r="T661" s="102"/>
      <c r="U661" s="102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01"/>
    </row>
    <row r="662" spans="1:31" s="162" customFormat="1" x14ac:dyDescent="0.25">
      <c r="A662" s="101"/>
      <c r="B662" s="101"/>
      <c r="C662" s="102"/>
      <c r="D662" s="102"/>
      <c r="E662" s="102"/>
      <c r="F662" s="102"/>
      <c r="G662" s="102"/>
      <c r="H662" s="102"/>
      <c r="I662" s="154"/>
      <c r="J662" s="154"/>
      <c r="K662" s="154"/>
      <c r="L662" s="154"/>
      <c r="M662" s="154"/>
      <c r="N662" s="154"/>
      <c r="O662" s="154"/>
      <c r="P662" s="154"/>
      <c r="Q662" s="154"/>
      <c r="R662" s="102"/>
      <c r="S662" s="102"/>
      <c r="T662" s="102"/>
      <c r="U662" s="102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01"/>
    </row>
    <row r="663" spans="1:31" s="162" customFormat="1" x14ac:dyDescent="0.25">
      <c r="A663" s="101"/>
      <c r="B663" s="101"/>
      <c r="C663" s="102"/>
      <c r="D663" s="102"/>
      <c r="E663" s="102"/>
      <c r="F663" s="102"/>
      <c r="G663" s="102"/>
      <c r="H663" s="102"/>
      <c r="I663" s="154"/>
      <c r="J663" s="154"/>
      <c r="K663" s="154"/>
      <c r="L663" s="154"/>
      <c r="M663" s="154"/>
      <c r="N663" s="154"/>
      <c r="O663" s="154"/>
      <c r="P663" s="154"/>
      <c r="Q663" s="154"/>
      <c r="R663" s="102"/>
      <c r="S663" s="102"/>
      <c r="T663" s="102"/>
      <c r="U663" s="102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01"/>
    </row>
    <row r="664" spans="1:31" s="162" customFormat="1" x14ac:dyDescent="0.25">
      <c r="A664" s="101"/>
      <c r="B664" s="101"/>
      <c r="C664" s="102"/>
      <c r="D664" s="102"/>
      <c r="E664" s="102"/>
      <c r="F664" s="102"/>
      <c r="G664" s="102"/>
      <c r="H664" s="102"/>
      <c r="I664" s="154"/>
      <c r="J664" s="154"/>
      <c r="K664" s="154"/>
      <c r="L664" s="154"/>
      <c r="M664" s="154"/>
      <c r="N664" s="154"/>
      <c r="O664" s="154"/>
      <c r="P664" s="154"/>
      <c r="Q664" s="154"/>
      <c r="R664" s="102"/>
      <c r="S664" s="102"/>
      <c r="T664" s="102"/>
      <c r="U664" s="102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01"/>
    </row>
    <row r="665" spans="1:31" s="162" customFormat="1" x14ac:dyDescent="0.25">
      <c r="A665" s="101"/>
      <c r="B665" s="101"/>
      <c r="C665" s="102"/>
      <c r="D665" s="102"/>
      <c r="E665" s="102"/>
      <c r="F665" s="102"/>
      <c r="G665" s="102"/>
      <c r="H665" s="102"/>
      <c r="I665" s="154"/>
      <c r="J665" s="154"/>
      <c r="K665" s="154"/>
      <c r="L665" s="154"/>
      <c r="M665" s="154"/>
      <c r="N665" s="154"/>
      <c r="O665" s="154"/>
      <c r="P665" s="154"/>
      <c r="Q665" s="154"/>
      <c r="R665" s="102"/>
      <c r="S665" s="102"/>
      <c r="T665" s="102"/>
      <c r="U665" s="102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01"/>
    </row>
    <row r="666" spans="1:31" s="162" customFormat="1" x14ac:dyDescent="0.25">
      <c r="A666" s="101"/>
      <c r="B666" s="101"/>
      <c r="C666" s="102"/>
      <c r="D666" s="102"/>
      <c r="E666" s="102"/>
      <c r="F666" s="102"/>
      <c r="G666" s="102"/>
      <c r="H666" s="102"/>
      <c r="I666" s="154"/>
      <c r="J666" s="154"/>
      <c r="K666" s="154"/>
      <c r="L666" s="154"/>
      <c r="M666" s="154"/>
      <c r="N666" s="154"/>
      <c r="O666" s="154"/>
      <c r="P666" s="154"/>
      <c r="Q666" s="154"/>
      <c r="R666" s="102"/>
      <c r="S666" s="102"/>
      <c r="T666" s="102"/>
      <c r="U666" s="102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01"/>
    </row>
    <row r="667" spans="1:31" s="162" customFormat="1" x14ac:dyDescent="0.25">
      <c r="A667" s="101"/>
      <c r="B667" s="101"/>
      <c r="C667" s="102"/>
      <c r="D667" s="102"/>
      <c r="E667" s="102"/>
      <c r="F667" s="102"/>
      <c r="G667" s="102"/>
      <c r="H667" s="102"/>
      <c r="I667" s="154"/>
      <c r="J667" s="154"/>
      <c r="K667" s="154"/>
      <c r="L667" s="154"/>
      <c r="M667" s="154"/>
      <c r="N667" s="154"/>
      <c r="O667" s="154"/>
      <c r="P667" s="154"/>
      <c r="Q667" s="154"/>
      <c r="R667" s="102"/>
      <c r="S667" s="102"/>
      <c r="T667" s="102"/>
      <c r="U667" s="102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01"/>
    </row>
    <row r="668" spans="1:31" s="162" customFormat="1" x14ac:dyDescent="0.25">
      <c r="A668" s="101"/>
      <c r="B668" s="101"/>
      <c r="C668" s="102"/>
      <c r="D668" s="102"/>
      <c r="E668" s="102"/>
      <c r="F668" s="102"/>
      <c r="G668" s="102"/>
      <c r="H668" s="102"/>
      <c r="I668" s="154"/>
      <c r="J668" s="154"/>
      <c r="K668" s="154"/>
      <c r="L668" s="154"/>
      <c r="M668" s="154"/>
      <c r="N668" s="154"/>
      <c r="O668" s="154"/>
      <c r="P668" s="154"/>
      <c r="Q668" s="154"/>
      <c r="R668" s="102"/>
      <c r="S668" s="102"/>
      <c r="T668" s="102"/>
      <c r="U668" s="102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01"/>
    </row>
    <row r="669" spans="1:31" s="162" customFormat="1" x14ac:dyDescent="0.25">
      <c r="A669" s="101"/>
      <c r="B669" s="101"/>
      <c r="C669" s="102"/>
      <c r="D669" s="102"/>
      <c r="E669" s="102"/>
      <c r="F669" s="102"/>
      <c r="G669" s="102"/>
      <c r="H669" s="102"/>
      <c r="I669" s="154"/>
      <c r="J669" s="154"/>
      <c r="K669" s="154"/>
      <c r="L669" s="154"/>
      <c r="M669" s="154"/>
      <c r="N669" s="154"/>
      <c r="O669" s="154"/>
      <c r="P669" s="154"/>
      <c r="Q669" s="154"/>
      <c r="R669" s="102"/>
      <c r="S669" s="102"/>
      <c r="T669" s="102"/>
      <c r="U669" s="102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01"/>
    </row>
    <row r="670" spans="1:31" s="162" customFormat="1" x14ac:dyDescent="0.25">
      <c r="A670" s="101"/>
      <c r="B670" s="101"/>
      <c r="C670" s="102"/>
      <c r="D670" s="102"/>
      <c r="E670" s="102"/>
      <c r="F670" s="102"/>
      <c r="G670" s="102"/>
      <c r="H670" s="102"/>
      <c r="I670" s="154"/>
      <c r="J670" s="154"/>
      <c r="K670" s="154"/>
      <c r="L670" s="154"/>
      <c r="M670" s="154"/>
      <c r="N670" s="154"/>
      <c r="O670" s="154"/>
      <c r="P670" s="154"/>
      <c r="Q670" s="154"/>
      <c r="R670" s="102"/>
      <c r="S670" s="102"/>
      <c r="T670" s="102"/>
      <c r="U670" s="102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01"/>
    </row>
    <row r="671" spans="1:31" s="162" customFormat="1" x14ac:dyDescent="0.25">
      <c r="A671" s="101"/>
      <c r="B671" s="101"/>
      <c r="C671" s="102"/>
      <c r="D671" s="102"/>
      <c r="E671" s="102"/>
      <c r="F671" s="102"/>
      <c r="G671" s="102"/>
      <c r="H671" s="102"/>
      <c r="I671" s="154"/>
      <c r="J671" s="154"/>
      <c r="K671" s="154"/>
      <c r="L671" s="154"/>
      <c r="M671" s="154"/>
      <c r="N671" s="154"/>
      <c r="O671" s="154"/>
      <c r="P671" s="154"/>
      <c r="Q671" s="154"/>
      <c r="R671" s="102"/>
      <c r="S671" s="102"/>
      <c r="T671" s="102"/>
      <c r="U671" s="102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01"/>
    </row>
    <row r="672" spans="1:31" s="162" customFormat="1" x14ac:dyDescent="0.25">
      <c r="A672" s="101"/>
      <c r="B672" s="101"/>
      <c r="C672" s="102"/>
      <c r="D672" s="102"/>
      <c r="E672" s="102"/>
      <c r="F672" s="102"/>
      <c r="G672" s="102"/>
      <c r="H672" s="102"/>
      <c r="I672" s="154"/>
      <c r="J672" s="154"/>
      <c r="K672" s="154"/>
      <c r="L672" s="154"/>
      <c r="M672" s="154"/>
      <c r="N672" s="154"/>
      <c r="O672" s="154"/>
      <c r="P672" s="154"/>
      <c r="Q672" s="154"/>
      <c r="R672" s="102"/>
      <c r="S672" s="102"/>
      <c r="T672" s="102"/>
      <c r="U672" s="102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01"/>
    </row>
    <row r="673" spans="1:31" s="162" customFormat="1" x14ac:dyDescent="0.25">
      <c r="A673" s="101"/>
      <c r="B673" s="101"/>
      <c r="C673" s="102"/>
      <c r="D673" s="102"/>
      <c r="E673" s="102"/>
      <c r="F673" s="102"/>
      <c r="G673" s="102"/>
      <c r="H673" s="102"/>
      <c r="I673" s="154"/>
      <c r="J673" s="154"/>
      <c r="K673" s="154"/>
      <c r="L673" s="154"/>
      <c r="M673" s="154"/>
      <c r="N673" s="154"/>
      <c r="O673" s="154"/>
      <c r="P673" s="154"/>
      <c r="Q673" s="154"/>
      <c r="R673" s="102"/>
      <c r="S673" s="102"/>
      <c r="T673" s="102"/>
      <c r="U673" s="102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01"/>
    </row>
    <row r="674" spans="1:31" s="162" customFormat="1" x14ac:dyDescent="0.25">
      <c r="A674" s="101"/>
      <c r="B674" s="101"/>
      <c r="C674" s="102"/>
      <c r="D674" s="102"/>
      <c r="E674" s="102"/>
      <c r="F674" s="102"/>
      <c r="G674" s="102"/>
      <c r="H674" s="102"/>
      <c r="I674" s="154"/>
      <c r="J674" s="154"/>
      <c r="K674" s="154"/>
      <c r="L674" s="154"/>
      <c r="M674" s="154"/>
      <c r="N674" s="154"/>
      <c r="O674" s="154"/>
      <c r="P674" s="154"/>
      <c r="Q674" s="154"/>
      <c r="R674" s="102"/>
      <c r="S674" s="102"/>
      <c r="T674" s="102"/>
      <c r="U674" s="102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01"/>
    </row>
    <row r="675" spans="1:31" s="162" customFormat="1" x14ac:dyDescent="0.25">
      <c r="A675" s="101"/>
      <c r="B675" s="101"/>
      <c r="C675" s="102"/>
      <c r="D675" s="102"/>
      <c r="E675" s="102"/>
      <c r="F675" s="102"/>
      <c r="G675" s="102"/>
      <c r="H675" s="102"/>
      <c r="I675" s="154"/>
      <c r="J675" s="154"/>
      <c r="K675" s="154"/>
      <c r="L675" s="154"/>
      <c r="M675" s="154"/>
      <c r="N675" s="154"/>
      <c r="O675" s="154"/>
      <c r="P675" s="154"/>
      <c r="Q675" s="154"/>
      <c r="R675" s="102"/>
      <c r="S675" s="102"/>
      <c r="T675" s="102"/>
      <c r="U675" s="102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01"/>
    </row>
    <row r="676" spans="1:31" s="162" customFormat="1" x14ac:dyDescent="0.25">
      <c r="A676" s="101"/>
      <c r="B676" s="101"/>
      <c r="C676" s="102"/>
      <c r="D676" s="102"/>
      <c r="E676" s="102"/>
      <c r="F676" s="102"/>
      <c r="G676" s="102"/>
      <c r="H676" s="102"/>
      <c r="I676" s="154"/>
      <c r="J676" s="154"/>
      <c r="K676" s="154"/>
      <c r="L676" s="154"/>
      <c r="M676" s="154"/>
      <c r="N676" s="154"/>
      <c r="O676" s="154"/>
      <c r="P676" s="154"/>
      <c r="Q676" s="154"/>
      <c r="R676" s="102"/>
      <c r="S676" s="102"/>
      <c r="T676" s="102"/>
      <c r="U676" s="102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01"/>
    </row>
    <row r="677" spans="1:31" s="162" customFormat="1" x14ac:dyDescent="0.25">
      <c r="A677" s="101"/>
      <c r="B677" s="101"/>
      <c r="C677" s="102"/>
      <c r="D677" s="102"/>
      <c r="E677" s="102"/>
      <c r="F677" s="102"/>
      <c r="G677" s="102"/>
      <c r="H677" s="102"/>
      <c r="I677" s="154"/>
      <c r="J677" s="154"/>
      <c r="K677" s="154"/>
      <c r="L677" s="154"/>
      <c r="M677" s="154"/>
      <c r="N677" s="154"/>
      <c r="O677" s="154"/>
      <c r="P677" s="154"/>
      <c r="Q677" s="154"/>
      <c r="R677" s="102"/>
      <c r="S677" s="102"/>
      <c r="T677" s="102"/>
      <c r="U677" s="102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01"/>
    </row>
    <row r="678" spans="1:31" s="162" customFormat="1" x14ac:dyDescent="0.25">
      <c r="A678" s="101"/>
      <c r="B678" s="101"/>
      <c r="C678" s="102"/>
      <c r="D678" s="102"/>
      <c r="E678" s="102"/>
      <c r="F678" s="102"/>
      <c r="G678" s="102"/>
      <c r="H678" s="102"/>
      <c r="I678" s="154"/>
      <c r="J678" s="154"/>
      <c r="K678" s="154"/>
      <c r="L678" s="154"/>
      <c r="M678" s="154"/>
      <c r="N678" s="154"/>
      <c r="O678" s="154"/>
      <c r="P678" s="154"/>
      <c r="Q678" s="154"/>
      <c r="R678" s="102"/>
      <c r="S678" s="102"/>
      <c r="T678" s="102"/>
      <c r="U678" s="102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01"/>
    </row>
    <row r="679" spans="1:31" s="162" customFormat="1" x14ac:dyDescent="0.25">
      <c r="A679" s="101"/>
      <c r="B679" s="101"/>
      <c r="C679" s="102"/>
      <c r="D679" s="102"/>
      <c r="E679" s="102"/>
      <c r="F679" s="102"/>
      <c r="G679" s="102"/>
      <c r="H679" s="102"/>
      <c r="I679" s="154"/>
      <c r="J679" s="154"/>
      <c r="K679" s="154"/>
      <c r="L679" s="154"/>
      <c r="M679" s="154"/>
      <c r="N679" s="154"/>
      <c r="O679" s="154"/>
      <c r="P679" s="154"/>
      <c r="Q679" s="154"/>
      <c r="R679" s="102"/>
      <c r="S679" s="102"/>
      <c r="T679" s="102"/>
      <c r="U679" s="102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01"/>
    </row>
    <row r="680" spans="1:31" s="162" customFormat="1" x14ac:dyDescent="0.25">
      <c r="A680" s="101"/>
      <c r="B680" s="101"/>
      <c r="C680" s="102"/>
      <c r="D680" s="102"/>
      <c r="E680" s="102"/>
      <c r="F680" s="102"/>
      <c r="G680" s="102"/>
      <c r="H680" s="102"/>
      <c r="I680" s="154"/>
      <c r="J680" s="154"/>
      <c r="K680" s="154"/>
      <c r="L680" s="154"/>
      <c r="M680" s="154"/>
      <c r="N680" s="154"/>
      <c r="O680" s="154"/>
      <c r="P680" s="154"/>
      <c r="Q680" s="154"/>
      <c r="R680" s="102"/>
      <c r="S680" s="102"/>
      <c r="T680" s="102"/>
      <c r="U680" s="102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01"/>
    </row>
    <row r="681" spans="1:31" s="162" customFormat="1" x14ac:dyDescent="0.25">
      <c r="A681" s="101"/>
      <c r="B681" s="101"/>
      <c r="C681" s="102"/>
      <c r="D681" s="102"/>
      <c r="E681" s="102"/>
      <c r="F681" s="102"/>
      <c r="G681" s="102"/>
      <c r="H681" s="102"/>
      <c r="I681" s="154"/>
      <c r="J681" s="154"/>
      <c r="K681" s="154"/>
      <c r="L681" s="154"/>
      <c r="M681" s="154"/>
      <c r="N681" s="154"/>
      <c r="O681" s="154"/>
      <c r="P681" s="154"/>
      <c r="Q681" s="154"/>
      <c r="R681" s="102"/>
      <c r="S681" s="102"/>
      <c r="T681" s="102"/>
      <c r="U681" s="102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01"/>
    </row>
    <row r="682" spans="1:31" s="162" customFormat="1" x14ac:dyDescent="0.25">
      <c r="A682" s="101"/>
      <c r="B682" s="101"/>
      <c r="C682" s="102"/>
      <c r="D682" s="102"/>
      <c r="E682" s="102"/>
      <c r="F682" s="102"/>
      <c r="G682" s="102"/>
      <c r="H682" s="102"/>
      <c r="I682" s="154"/>
      <c r="J682" s="154"/>
      <c r="K682" s="154"/>
      <c r="L682" s="154"/>
      <c r="M682" s="154"/>
      <c r="N682" s="154"/>
      <c r="O682" s="154"/>
      <c r="P682" s="154"/>
      <c r="Q682" s="154"/>
      <c r="R682" s="102"/>
      <c r="S682" s="102"/>
      <c r="T682" s="102"/>
      <c r="U682" s="102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01"/>
    </row>
    <row r="683" spans="1:31" s="162" customFormat="1" x14ac:dyDescent="0.25">
      <c r="A683" s="101"/>
      <c r="B683" s="101"/>
      <c r="C683" s="102"/>
      <c r="D683" s="102"/>
      <c r="E683" s="102"/>
      <c r="F683" s="102"/>
      <c r="G683" s="102"/>
      <c r="H683" s="102"/>
      <c r="I683" s="154"/>
      <c r="J683" s="154"/>
      <c r="K683" s="154"/>
      <c r="L683" s="154"/>
      <c r="M683" s="154"/>
      <c r="N683" s="154"/>
      <c r="O683" s="154"/>
      <c r="P683" s="154"/>
      <c r="Q683" s="154"/>
      <c r="R683" s="102"/>
      <c r="S683" s="102"/>
      <c r="T683" s="102"/>
      <c r="U683" s="102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01"/>
    </row>
    <row r="684" spans="1:31" s="162" customFormat="1" x14ac:dyDescent="0.25">
      <c r="A684" s="101"/>
      <c r="B684" s="101"/>
      <c r="C684" s="102"/>
      <c r="D684" s="102"/>
      <c r="E684" s="102"/>
      <c r="F684" s="102"/>
      <c r="G684" s="102"/>
      <c r="H684" s="102"/>
      <c r="I684" s="154"/>
      <c r="J684" s="154"/>
      <c r="K684" s="154"/>
      <c r="L684" s="154"/>
      <c r="M684" s="154"/>
      <c r="N684" s="154"/>
      <c r="O684" s="154"/>
      <c r="P684" s="154"/>
      <c r="Q684" s="154"/>
      <c r="R684" s="102"/>
      <c r="S684" s="102"/>
      <c r="T684" s="102"/>
      <c r="U684" s="102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01"/>
    </row>
    <row r="685" spans="1:31" s="162" customFormat="1" x14ac:dyDescent="0.25">
      <c r="A685" s="101"/>
      <c r="B685" s="101"/>
      <c r="C685" s="102"/>
      <c r="D685" s="102"/>
      <c r="E685" s="102"/>
      <c r="F685" s="102"/>
      <c r="G685" s="102"/>
      <c r="H685" s="102"/>
      <c r="I685" s="154"/>
      <c r="J685" s="154"/>
      <c r="K685" s="154"/>
      <c r="L685" s="154"/>
      <c r="M685" s="154"/>
      <c r="N685" s="154"/>
      <c r="O685" s="154"/>
      <c r="P685" s="154"/>
      <c r="Q685" s="154"/>
      <c r="R685" s="102"/>
      <c r="S685" s="102"/>
      <c r="T685" s="102"/>
      <c r="U685" s="102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01"/>
    </row>
    <row r="686" spans="1:31" s="162" customFormat="1" x14ac:dyDescent="0.25">
      <c r="A686" s="101"/>
      <c r="B686" s="101"/>
      <c r="C686" s="102"/>
      <c r="D686" s="102"/>
      <c r="E686" s="102"/>
      <c r="F686" s="102"/>
      <c r="G686" s="102"/>
      <c r="H686" s="102"/>
      <c r="I686" s="154"/>
      <c r="J686" s="154"/>
      <c r="K686" s="154"/>
      <c r="L686" s="154"/>
      <c r="M686" s="154"/>
      <c r="N686" s="154"/>
      <c r="O686" s="154"/>
      <c r="P686" s="154"/>
      <c r="Q686" s="154"/>
      <c r="R686" s="102"/>
      <c r="S686" s="102"/>
      <c r="T686" s="102"/>
      <c r="U686" s="102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01"/>
    </row>
    <row r="687" spans="1:31" s="162" customFormat="1" x14ac:dyDescent="0.25">
      <c r="A687" s="101"/>
      <c r="B687" s="101"/>
      <c r="C687" s="102"/>
      <c r="D687" s="102"/>
      <c r="E687" s="102"/>
      <c r="F687" s="102"/>
      <c r="G687" s="102"/>
      <c r="H687" s="102"/>
      <c r="I687" s="154"/>
      <c r="J687" s="154"/>
      <c r="K687" s="154"/>
      <c r="L687" s="154"/>
      <c r="M687" s="154"/>
      <c r="N687" s="154"/>
      <c r="O687" s="154"/>
      <c r="P687" s="154"/>
      <c r="Q687" s="154"/>
      <c r="R687" s="102"/>
      <c r="S687" s="102"/>
      <c r="T687" s="102"/>
      <c r="U687" s="102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01"/>
    </row>
    <row r="688" spans="1:31" s="162" customFormat="1" x14ac:dyDescent="0.25">
      <c r="A688" s="101"/>
      <c r="B688" s="101"/>
      <c r="C688" s="102"/>
      <c r="D688" s="102"/>
      <c r="E688" s="102"/>
      <c r="F688" s="102"/>
      <c r="G688" s="102"/>
      <c r="H688" s="102"/>
      <c r="I688" s="154"/>
      <c r="J688" s="154"/>
      <c r="K688" s="154"/>
      <c r="L688" s="154"/>
      <c r="M688" s="154"/>
      <c r="N688" s="154"/>
      <c r="O688" s="154"/>
      <c r="P688" s="154"/>
      <c r="Q688" s="154"/>
      <c r="R688" s="102"/>
      <c r="S688" s="102"/>
      <c r="T688" s="102"/>
      <c r="U688" s="102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01"/>
    </row>
    <row r="689" spans="1:31" s="162" customFormat="1" x14ac:dyDescent="0.25">
      <c r="A689" s="101"/>
      <c r="B689" s="101"/>
      <c r="C689" s="102"/>
      <c r="D689" s="102"/>
      <c r="E689" s="102"/>
      <c r="F689" s="102"/>
      <c r="G689" s="102"/>
      <c r="H689" s="102"/>
      <c r="I689" s="154"/>
      <c r="J689" s="154"/>
      <c r="K689" s="154"/>
      <c r="L689" s="154"/>
      <c r="M689" s="154"/>
      <c r="N689" s="154"/>
      <c r="O689" s="154"/>
      <c r="P689" s="154"/>
      <c r="Q689" s="154"/>
      <c r="R689" s="102"/>
      <c r="S689" s="102"/>
      <c r="T689" s="102"/>
      <c r="U689" s="102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01"/>
    </row>
    <row r="690" spans="1:31" s="162" customFormat="1" x14ac:dyDescent="0.25">
      <c r="A690" s="101"/>
      <c r="B690" s="101"/>
      <c r="C690" s="102"/>
      <c r="D690" s="102"/>
      <c r="E690" s="102"/>
      <c r="F690" s="102"/>
      <c r="G690" s="102"/>
      <c r="H690" s="102"/>
      <c r="I690" s="154"/>
      <c r="J690" s="154"/>
      <c r="K690" s="154"/>
      <c r="L690" s="154"/>
      <c r="M690" s="154"/>
      <c r="N690" s="154"/>
      <c r="O690" s="154"/>
      <c r="P690" s="154"/>
      <c r="Q690" s="154"/>
      <c r="R690" s="102"/>
      <c r="S690" s="102"/>
      <c r="T690" s="102"/>
      <c r="U690" s="102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01"/>
    </row>
    <row r="691" spans="1:31" s="162" customFormat="1" x14ac:dyDescent="0.25">
      <c r="A691" s="101"/>
      <c r="B691" s="101"/>
      <c r="C691" s="102"/>
      <c r="D691" s="102"/>
      <c r="E691" s="102"/>
      <c r="F691" s="102"/>
      <c r="G691" s="102"/>
      <c r="H691" s="102"/>
      <c r="I691" s="154"/>
      <c r="J691" s="154"/>
      <c r="K691" s="154"/>
      <c r="L691" s="154"/>
      <c r="M691" s="154"/>
      <c r="N691" s="154"/>
      <c r="O691" s="154"/>
      <c r="P691" s="154"/>
      <c r="Q691" s="154"/>
      <c r="R691" s="102"/>
      <c r="S691" s="102"/>
      <c r="T691" s="102"/>
      <c r="U691" s="102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01"/>
    </row>
    <row r="692" spans="1:31" s="162" customFormat="1" x14ac:dyDescent="0.25">
      <c r="A692" s="101"/>
      <c r="B692" s="101"/>
      <c r="C692" s="102"/>
      <c r="D692" s="102"/>
      <c r="E692" s="102"/>
      <c r="F692" s="102"/>
      <c r="G692" s="102"/>
      <c r="H692" s="102"/>
      <c r="I692" s="154"/>
      <c r="J692" s="154"/>
      <c r="K692" s="154"/>
      <c r="L692" s="154"/>
      <c r="M692" s="154"/>
      <c r="N692" s="154"/>
      <c r="O692" s="154"/>
      <c r="P692" s="154"/>
      <c r="Q692" s="154"/>
      <c r="R692" s="102"/>
      <c r="S692" s="102"/>
      <c r="T692" s="102"/>
      <c r="U692" s="102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01"/>
    </row>
    <row r="693" spans="1:31" s="162" customFormat="1" x14ac:dyDescent="0.25">
      <c r="A693" s="101"/>
      <c r="B693" s="101"/>
      <c r="C693" s="102"/>
      <c r="D693" s="102"/>
      <c r="E693" s="102"/>
      <c r="F693" s="102"/>
      <c r="G693" s="102"/>
      <c r="H693" s="102"/>
      <c r="I693" s="154"/>
      <c r="J693" s="154"/>
      <c r="K693" s="154"/>
      <c r="L693" s="154"/>
      <c r="M693" s="154"/>
      <c r="N693" s="154"/>
      <c r="O693" s="154"/>
      <c r="P693" s="154"/>
      <c r="Q693" s="154"/>
      <c r="R693" s="102"/>
      <c r="S693" s="102"/>
      <c r="T693" s="102"/>
      <c r="U693" s="102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01"/>
    </row>
    <row r="694" spans="1:31" s="162" customFormat="1" x14ac:dyDescent="0.25">
      <c r="A694" s="101"/>
      <c r="B694" s="101"/>
      <c r="C694" s="102"/>
      <c r="D694" s="102"/>
      <c r="E694" s="102"/>
      <c r="F694" s="102"/>
      <c r="G694" s="102"/>
      <c r="H694" s="102"/>
      <c r="I694" s="154"/>
      <c r="J694" s="154"/>
      <c r="K694" s="154"/>
      <c r="L694" s="154"/>
      <c r="M694" s="154"/>
      <c r="N694" s="154"/>
      <c r="O694" s="154"/>
      <c r="P694" s="154"/>
      <c r="Q694" s="154"/>
      <c r="R694" s="102"/>
      <c r="S694" s="102"/>
      <c r="T694" s="102"/>
      <c r="U694" s="102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01"/>
    </row>
    <row r="695" spans="1:31" s="162" customFormat="1" x14ac:dyDescent="0.25">
      <c r="A695" s="101"/>
      <c r="B695" s="101"/>
      <c r="C695" s="102"/>
      <c r="D695" s="102"/>
      <c r="E695" s="102"/>
      <c r="F695" s="102"/>
      <c r="G695" s="102"/>
      <c r="H695" s="102"/>
      <c r="I695" s="154"/>
      <c r="J695" s="154"/>
      <c r="K695" s="154"/>
      <c r="L695" s="154"/>
      <c r="M695" s="154"/>
      <c r="N695" s="154"/>
      <c r="O695" s="154"/>
      <c r="P695" s="154"/>
      <c r="Q695" s="154"/>
      <c r="R695" s="102"/>
      <c r="S695" s="102"/>
      <c r="T695" s="102"/>
      <c r="U695" s="102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01"/>
    </row>
    <row r="696" spans="1:31" s="162" customFormat="1" x14ac:dyDescent="0.25">
      <c r="A696" s="101"/>
      <c r="B696" s="101"/>
      <c r="C696" s="102"/>
      <c r="D696" s="102"/>
      <c r="E696" s="102"/>
      <c r="F696" s="102"/>
      <c r="G696" s="102"/>
      <c r="H696" s="102"/>
      <c r="I696" s="154"/>
      <c r="J696" s="154"/>
      <c r="K696" s="154"/>
      <c r="L696" s="154"/>
      <c r="M696" s="154"/>
      <c r="N696" s="154"/>
      <c r="O696" s="154"/>
      <c r="P696" s="154"/>
      <c r="Q696" s="154"/>
      <c r="R696" s="102"/>
      <c r="S696" s="102"/>
      <c r="T696" s="102"/>
      <c r="U696" s="102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01"/>
    </row>
    <row r="697" spans="1:31" s="162" customFormat="1" x14ac:dyDescent="0.25">
      <c r="A697" s="101"/>
      <c r="B697" s="101"/>
      <c r="C697" s="102"/>
      <c r="D697" s="102"/>
      <c r="E697" s="102"/>
      <c r="F697" s="102"/>
      <c r="G697" s="102"/>
      <c r="H697" s="102"/>
      <c r="I697" s="154"/>
      <c r="J697" s="154"/>
      <c r="K697" s="154"/>
      <c r="L697" s="154"/>
      <c r="M697" s="154"/>
      <c r="N697" s="154"/>
      <c r="O697" s="154"/>
      <c r="P697" s="154"/>
      <c r="Q697" s="154"/>
      <c r="R697" s="102"/>
      <c r="S697" s="102"/>
      <c r="T697" s="102"/>
      <c r="U697" s="102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01"/>
    </row>
    <row r="698" spans="1:31" s="162" customFormat="1" x14ac:dyDescent="0.25">
      <c r="A698" s="101"/>
      <c r="B698" s="101"/>
      <c r="C698" s="102"/>
      <c r="D698" s="102"/>
      <c r="E698" s="102"/>
      <c r="F698" s="102"/>
      <c r="G698" s="102"/>
      <c r="H698" s="102"/>
      <c r="I698" s="154"/>
      <c r="J698" s="154"/>
      <c r="K698" s="154"/>
      <c r="L698" s="154"/>
      <c r="M698" s="154"/>
      <c r="N698" s="154"/>
      <c r="O698" s="154"/>
      <c r="P698" s="154"/>
      <c r="Q698" s="154"/>
      <c r="R698" s="102"/>
      <c r="S698" s="102"/>
      <c r="T698" s="102"/>
      <c r="U698" s="102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01"/>
    </row>
    <row r="699" spans="1:31" s="162" customFormat="1" x14ac:dyDescent="0.25">
      <c r="A699" s="101"/>
      <c r="B699" s="101"/>
      <c r="C699" s="102"/>
      <c r="D699" s="102"/>
      <c r="E699" s="102"/>
      <c r="F699" s="102"/>
      <c r="G699" s="102"/>
      <c r="H699" s="102"/>
      <c r="I699" s="154"/>
      <c r="J699" s="154"/>
      <c r="K699" s="154"/>
      <c r="L699" s="154"/>
      <c r="M699" s="154"/>
      <c r="N699" s="154"/>
      <c r="O699" s="154"/>
      <c r="P699" s="154"/>
      <c r="Q699" s="154"/>
      <c r="R699" s="102"/>
      <c r="S699" s="102"/>
      <c r="T699" s="102"/>
      <c r="U699" s="102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01"/>
    </row>
    <row r="700" spans="1:31" s="162" customFormat="1" x14ac:dyDescent="0.25">
      <c r="A700" s="101"/>
      <c r="B700" s="101"/>
      <c r="C700" s="102"/>
      <c r="D700" s="102"/>
      <c r="E700" s="102"/>
      <c r="F700" s="102"/>
      <c r="G700" s="102"/>
      <c r="H700" s="102"/>
      <c r="I700" s="154"/>
      <c r="J700" s="154"/>
      <c r="K700" s="154"/>
      <c r="L700" s="154"/>
      <c r="M700" s="154"/>
      <c r="N700" s="154"/>
      <c r="O700" s="154"/>
      <c r="P700" s="154"/>
      <c r="Q700" s="154"/>
      <c r="R700" s="102"/>
      <c r="S700" s="102"/>
      <c r="T700" s="102"/>
      <c r="U700" s="102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01"/>
    </row>
    <row r="701" spans="1:31" s="162" customFormat="1" x14ac:dyDescent="0.25">
      <c r="A701" s="101"/>
      <c r="B701" s="101"/>
      <c r="C701" s="102"/>
      <c r="D701" s="102"/>
      <c r="E701" s="102"/>
      <c r="F701" s="102"/>
      <c r="G701" s="102"/>
      <c r="H701" s="102"/>
      <c r="I701" s="154"/>
      <c r="J701" s="154"/>
      <c r="K701" s="154"/>
      <c r="L701" s="154"/>
      <c r="M701" s="154"/>
      <c r="N701" s="154"/>
      <c r="O701" s="154"/>
      <c r="P701" s="154"/>
      <c r="Q701" s="154"/>
      <c r="R701" s="102"/>
      <c r="S701" s="102"/>
      <c r="T701" s="102"/>
      <c r="U701" s="102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01"/>
    </row>
    <row r="702" spans="1:31" s="162" customFormat="1" x14ac:dyDescent="0.25">
      <c r="A702" s="101"/>
      <c r="B702" s="101"/>
      <c r="C702" s="102"/>
      <c r="D702" s="102"/>
      <c r="E702" s="102"/>
      <c r="F702" s="102"/>
      <c r="G702" s="102"/>
      <c r="H702" s="102"/>
      <c r="I702" s="154"/>
      <c r="J702" s="154"/>
      <c r="K702" s="154"/>
      <c r="L702" s="154"/>
      <c r="M702" s="154"/>
      <c r="N702" s="154"/>
      <c r="O702" s="154"/>
      <c r="P702" s="154"/>
      <c r="Q702" s="154"/>
      <c r="R702" s="102"/>
      <c r="S702" s="102"/>
      <c r="T702" s="102"/>
      <c r="U702" s="102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01"/>
    </row>
    <row r="703" spans="1:31" s="162" customFormat="1" x14ac:dyDescent="0.25">
      <c r="A703" s="101"/>
      <c r="B703" s="101"/>
      <c r="C703" s="102"/>
      <c r="D703" s="102"/>
      <c r="E703" s="102"/>
      <c r="F703" s="102"/>
      <c r="G703" s="102"/>
      <c r="H703" s="102"/>
      <c r="I703" s="154"/>
      <c r="J703" s="154"/>
      <c r="K703" s="154"/>
      <c r="L703" s="154"/>
      <c r="M703" s="154"/>
      <c r="N703" s="154"/>
      <c r="O703" s="154"/>
      <c r="P703" s="154"/>
      <c r="Q703" s="154"/>
      <c r="R703" s="102"/>
      <c r="S703" s="102"/>
      <c r="T703" s="102"/>
      <c r="U703" s="102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01"/>
    </row>
    <row r="704" spans="1:31" s="162" customFormat="1" x14ac:dyDescent="0.25">
      <c r="A704" s="101"/>
      <c r="B704" s="101"/>
      <c r="C704" s="102"/>
      <c r="D704" s="102"/>
      <c r="E704" s="102"/>
      <c r="F704" s="102"/>
      <c r="G704" s="102"/>
      <c r="H704" s="102"/>
      <c r="I704" s="154"/>
      <c r="J704" s="154"/>
      <c r="K704" s="154"/>
      <c r="L704" s="154"/>
      <c r="M704" s="154"/>
      <c r="N704" s="154"/>
      <c r="O704" s="154"/>
      <c r="P704" s="154"/>
      <c r="Q704" s="154"/>
      <c r="R704" s="102"/>
      <c r="S704" s="102"/>
      <c r="T704" s="102"/>
      <c r="U704" s="102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01"/>
    </row>
    <row r="705" spans="1:31" s="162" customFormat="1" x14ac:dyDescent="0.25">
      <c r="A705" s="101"/>
      <c r="B705" s="101"/>
      <c r="C705" s="102"/>
      <c r="D705" s="102"/>
      <c r="E705" s="102"/>
      <c r="F705" s="102"/>
      <c r="G705" s="102"/>
      <c r="H705" s="102"/>
      <c r="I705" s="154"/>
      <c r="J705" s="154"/>
      <c r="K705" s="154"/>
      <c r="L705" s="154"/>
      <c r="M705" s="154"/>
      <c r="N705" s="154"/>
      <c r="O705" s="154"/>
      <c r="P705" s="154"/>
      <c r="Q705" s="154"/>
      <c r="R705" s="102"/>
      <c r="S705" s="102"/>
      <c r="T705" s="102"/>
      <c r="U705" s="102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01"/>
    </row>
    <row r="706" spans="1:31" s="162" customFormat="1" x14ac:dyDescent="0.25">
      <c r="A706" s="101"/>
      <c r="B706" s="101"/>
      <c r="C706" s="102"/>
      <c r="D706" s="102"/>
      <c r="E706" s="102"/>
      <c r="F706" s="102"/>
      <c r="G706" s="102"/>
      <c r="H706" s="102"/>
      <c r="I706" s="154"/>
      <c r="J706" s="154"/>
      <c r="K706" s="154"/>
      <c r="L706" s="154"/>
      <c r="M706" s="154"/>
      <c r="N706" s="154"/>
      <c r="O706" s="154"/>
      <c r="P706" s="154"/>
      <c r="Q706" s="154"/>
      <c r="R706" s="102"/>
      <c r="S706" s="102"/>
      <c r="T706" s="102"/>
      <c r="U706" s="102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01"/>
    </row>
    <row r="707" spans="1:31" s="162" customFormat="1" x14ac:dyDescent="0.25">
      <c r="A707" s="101"/>
      <c r="B707" s="101"/>
      <c r="C707" s="102"/>
      <c r="D707" s="102"/>
      <c r="E707" s="102"/>
      <c r="F707" s="102"/>
      <c r="G707" s="102"/>
      <c r="H707" s="102"/>
      <c r="I707" s="154"/>
      <c r="J707" s="154"/>
      <c r="K707" s="154"/>
      <c r="L707" s="154"/>
      <c r="M707" s="154"/>
      <c r="N707" s="154"/>
      <c r="O707" s="154"/>
      <c r="P707" s="154"/>
      <c r="Q707" s="154"/>
      <c r="R707" s="102"/>
      <c r="S707" s="102"/>
      <c r="T707" s="102"/>
      <c r="U707" s="102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01"/>
    </row>
    <row r="708" spans="1:31" s="162" customFormat="1" x14ac:dyDescent="0.25">
      <c r="A708" s="101"/>
      <c r="B708" s="101"/>
      <c r="C708" s="102"/>
      <c r="D708" s="102"/>
      <c r="E708" s="102"/>
      <c r="F708" s="102"/>
      <c r="G708" s="102"/>
      <c r="H708" s="102"/>
      <c r="I708" s="154"/>
      <c r="J708" s="154"/>
      <c r="K708" s="154"/>
      <c r="L708" s="154"/>
      <c r="M708" s="154"/>
      <c r="N708" s="154"/>
      <c r="O708" s="154"/>
      <c r="P708" s="154"/>
      <c r="Q708" s="154"/>
      <c r="R708" s="102"/>
      <c r="S708" s="102"/>
      <c r="T708" s="102"/>
      <c r="U708" s="102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01"/>
    </row>
    <row r="709" spans="1:31" s="162" customFormat="1" x14ac:dyDescent="0.25">
      <c r="A709" s="101"/>
      <c r="B709" s="101"/>
      <c r="C709" s="102"/>
      <c r="D709" s="102"/>
      <c r="E709" s="102"/>
      <c r="F709" s="102"/>
      <c r="G709" s="102"/>
      <c r="H709" s="102"/>
      <c r="I709" s="154"/>
      <c r="J709" s="154"/>
      <c r="K709" s="154"/>
      <c r="L709" s="154"/>
      <c r="M709" s="154"/>
      <c r="N709" s="154"/>
      <c r="O709" s="154"/>
      <c r="P709" s="154"/>
      <c r="Q709" s="154"/>
      <c r="R709" s="102"/>
      <c r="S709" s="102"/>
      <c r="T709" s="102"/>
      <c r="U709" s="102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01"/>
    </row>
    <row r="710" spans="1:31" s="162" customFormat="1" x14ac:dyDescent="0.25">
      <c r="A710" s="101"/>
      <c r="B710" s="101"/>
      <c r="C710" s="102"/>
      <c r="D710" s="102"/>
      <c r="E710" s="102"/>
      <c r="F710" s="102"/>
      <c r="G710" s="102"/>
      <c r="H710" s="102"/>
      <c r="I710" s="154"/>
      <c r="J710" s="154"/>
      <c r="K710" s="154"/>
      <c r="L710" s="154"/>
      <c r="M710" s="154"/>
      <c r="N710" s="154"/>
      <c r="O710" s="154"/>
      <c r="P710" s="154"/>
      <c r="Q710" s="154"/>
      <c r="R710" s="102"/>
      <c r="S710" s="102"/>
      <c r="T710" s="102"/>
      <c r="U710" s="102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01"/>
    </row>
    <row r="711" spans="1:31" s="162" customFormat="1" x14ac:dyDescent="0.25">
      <c r="A711" s="101"/>
      <c r="B711" s="101"/>
      <c r="C711" s="102"/>
      <c r="D711" s="102"/>
      <c r="E711" s="102"/>
      <c r="F711" s="102"/>
      <c r="G711" s="102"/>
      <c r="H711" s="102"/>
      <c r="I711" s="154"/>
      <c r="J711" s="154"/>
      <c r="K711" s="154"/>
      <c r="L711" s="154"/>
      <c r="M711" s="154"/>
      <c r="N711" s="154"/>
      <c r="O711" s="154"/>
      <c r="P711" s="154"/>
      <c r="Q711" s="154"/>
      <c r="R711" s="102"/>
      <c r="S711" s="102"/>
      <c r="T711" s="102"/>
      <c r="U711" s="102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01"/>
    </row>
    <row r="712" spans="1:31" s="162" customFormat="1" x14ac:dyDescent="0.25">
      <c r="A712" s="101"/>
      <c r="B712" s="101"/>
      <c r="C712" s="102"/>
      <c r="D712" s="102"/>
      <c r="E712" s="102"/>
      <c r="F712" s="102"/>
      <c r="G712" s="102"/>
      <c r="H712" s="102"/>
      <c r="I712" s="154"/>
      <c r="J712" s="154"/>
      <c r="K712" s="154"/>
      <c r="L712" s="154"/>
      <c r="M712" s="154"/>
      <c r="N712" s="154"/>
      <c r="O712" s="154"/>
      <c r="P712" s="154"/>
      <c r="Q712" s="154"/>
      <c r="R712" s="102"/>
      <c r="S712" s="102"/>
      <c r="T712" s="102"/>
      <c r="U712" s="102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01"/>
    </row>
    <row r="713" spans="1:31" s="162" customFormat="1" x14ac:dyDescent="0.25">
      <c r="A713" s="101"/>
      <c r="B713" s="101"/>
      <c r="C713" s="102"/>
      <c r="D713" s="102"/>
      <c r="E713" s="102"/>
      <c r="F713" s="102"/>
      <c r="G713" s="102"/>
      <c r="H713" s="102"/>
      <c r="I713" s="154"/>
      <c r="J713" s="154"/>
      <c r="K713" s="154"/>
      <c r="L713" s="154"/>
      <c r="M713" s="154"/>
      <c r="N713" s="154"/>
      <c r="O713" s="154"/>
      <c r="P713" s="154"/>
      <c r="Q713" s="154"/>
      <c r="R713" s="102"/>
      <c r="S713" s="102"/>
      <c r="T713" s="102"/>
      <c r="U713" s="102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01"/>
    </row>
    <row r="714" spans="1:31" s="162" customFormat="1" x14ac:dyDescent="0.25">
      <c r="A714" s="101"/>
      <c r="B714" s="101"/>
      <c r="C714" s="102"/>
      <c r="D714" s="102"/>
      <c r="E714" s="102"/>
      <c r="F714" s="102"/>
      <c r="G714" s="102"/>
      <c r="H714" s="102"/>
      <c r="I714" s="154"/>
      <c r="J714" s="154"/>
      <c r="K714" s="154"/>
      <c r="L714" s="154"/>
      <c r="M714" s="154"/>
      <c r="N714" s="154"/>
      <c r="O714" s="154"/>
      <c r="P714" s="154"/>
      <c r="Q714" s="154"/>
      <c r="R714" s="102"/>
      <c r="S714" s="102"/>
      <c r="T714" s="102"/>
      <c r="U714" s="102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01"/>
    </row>
    <row r="715" spans="1:31" s="162" customFormat="1" x14ac:dyDescent="0.25">
      <c r="A715" s="101"/>
      <c r="B715" s="101"/>
      <c r="C715" s="102"/>
      <c r="D715" s="102"/>
      <c r="E715" s="102"/>
      <c r="F715" s="102"/>
      <c r="G715" s="102"/>
      <c r="H715" s="102"/>
      <c r="I715" s="154"/>
      <c r="J715" s="154"/>
      <c r="K715" s="154"/>
      <c r="L715" s="154"/>
      <c r="M715" s="154"/>
      <c r="N715" s="154"/>
      <c r="O715" s="154"/>
      <c r="P715" s="154"/>
      <c r="Q715" s="154"/>
      <c r="R715" s="102"/>
      <c r="S715" s="102"/>
      <c r="T715" s="102"/>
      <c r="U715" s="102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01"/>
    </row>
    <row r="716" spans="1:31" s="162" customFormat="1" x14ac:dyDescent="0.25">
      <c r="A716" s="101"/>
      <c r="B716" s="101"/>
      <c r="C716" s="102"/>
      <c r="D716" s="102"/>
      <c r="E716" s="102"/>
      <c r="F716" s="102"/>
      <c r="G716" s="102"/>
      <c r="H716" s="102"/>
      <c r="I716" s="154"/>
      <c r="J716" s="154"/>
      <c r="K716" s="154"/>
      <c r="L716" s="154"/>
      <c r="M716" s="154"/>
      <c r="N716" s="154"/>
      <c r="O716" s="154"/>
      <c r="P716" s="154"/>
      <c r="Q716" s="154"/>
      <c r="R716" s="102"/>
      <c r="S716" s="102"/>
      <c r="T716" s="102"/>
      <c r="U716" s="102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01"/>
    </row>
    <row r="717" spans="1:31" s="162" customFormat="1" x14ac:dyDescent="0.25">
      <c r="A717" s="101"/>
      <c r="B717" s="101"/>
      <c r="C717" s="102"/>
      <c r="D717" s="102"/>
      <c r="E717" s="102"/>
      <c r="F717" s="102"/>
      <c r="G717" s="102"/>
      <c r="H717" s="102"/>
      <c r="I717" s="154"/>
      <c r="J717" s="154"/>
      <c r="K717" s="154"/>
      <c r="L717" s="154"/>
      <c r="M717" s="154"/>
      <c r="N717" s="154"/>
      <c r="O717" s="154"/>
      <c r="P717" s="154"/>
      <c r="Q717" s="154"/>
      <c r="R717" s="102"/>
      <c r="S717" s="102"/>
      <c r="T717" s="102"/>
      <c r="U717" s="102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01"/>
    </row>
    <row r="718" spans="1:31" s="162" customFormat="1" x14ac:dyDescent="0.25">
      <c r="A718" s="101"/>
      <c r="B718" s="101"/>
      <c r="C718" s="102"/>
      <c r="D718" s="102"/>
      <c r="E718" s="102"/>
      <c r="F718" s="102"/>
      <c r="G718" s="102"/>
      <c r="H718" s="102"/>
      <c r="I718" s="154"/>
      <c r="J718" s="154"/>
      <c r="K718" s="154"/>
      <c r="L718" s="154"/>
      <c r="M718" s="154"/>
      <c r="N718" s="154"/>
      <c r="O718" s="154"/>
      <c r="P718" s="154"/>
      <c r="Q718" s="154"/>
      <c r="R718" s="102"/>
      <c r="S718" s="102"/>
      <c r="T718" s="102"/>
      <c r="U718" s="102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01"/>
    </row>
    <row r="719" spans="1:31" s="162" customFormat="1" x14ac:dyDescent="0.25">
      <c r="A719" s="101"/>
      <c r="B719" s="101"/>
      <c r="C719" s="102"/>
      <c r="D719" s="102"/>
      <c r="E719" s="102"/>
      <c r="F719" s="102"/>
      <c r="G719" s="102"/>
      <c r="H719" s="102"/>
      <c r="I719" s="154"/>
      <c r="J719" s="154"/>
      <c r="K719" s="154"/>
      <c r="L719" s="154"/>
      <c r="M719" s="154"/>
      <c r="N719" s="154"/>
      <c r="O719" s="154"/>
      <c r="P719" s="154"/>
      <c r="Q719" s="154"/>
      <c r="R719" s="102"/>
      <c r="S719" s="102"/>
      <c r="T719" s="102"/>
      <c r="U719" s="102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01"/>
    </row>
    <row r="720" spans="1:31" s="162" customFormat="1" x14ac:dyDescent="0.25">
      <c r="A720" s="101"/>
      <c r="B720" s="101"/>
      <c r="C720" s="102"/>
      <c r="D720" s="102"/>
      <c r="E720" s="102"/>
      <c r="F720" s="102"/>
      <c r="G720" s="102"/>
      <c r="H720" s="102"/>
      <c r="I720" s="154"/>
      <c r="J720" s="154"/>
      <c r="K720" s="154"/>
      <c r="L720" s="154"/>
      <c r="M720" s="154"/>
      <c r="N720" s="154"/>
      <c r="O720" s="154"/>
      <c r="P720" s="154"/>
      <c r="Q720" s="154"/>
      <c r="R720" s="102"/>
      <c r="S720" s="102"/>
      <c r="T720" s="102"/>
      <c r="U720" s="102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01"/>
    </row>
    <row r="721" spans="1:31" s="162" customFormat="1" x14ac:dyDescent="0.25">
      <c r="A721" s="101"/>
      <c r="B721" s="101"/>
      <c r="C721" s="102"/>
      <c r="D721" s="102"/>
      <c r="E721" s="102"/>
      <c r="F721" s="102"/>
      <c r="G721" s="102"/>
      <c r="H721" s="102"/>
      <c r="I721" s="154"/>
      <c r="J721" s="154"/>
      <c r="K721" s="154"/>
      <c r="L721" s="154"/>
      <c r="M721" s="154"/>
      <c r="N721" s="154"/>
      <c r="O721" s="154"/>
      <c r="P721" s="154"/>
      <c r="Q721" s="154"/>
      <c r="R721" s="102"/>
      <c r="S721" s="102"/>
      <c r="T721" s="102"/>
      <c r="U721" s="102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01"/>
    </row>
    <row r="722" spans="1:31" s="162" customFormat="1" x14ac:dyDescent="0.25">
      <c r="A722" s="101"/>
      <c r="B722" s="101"/>
      <c r="C722" s="102"/>
      <c r="D722" s="102"/>
      <c r="E722" s="102"/>
      <c r="F722" s="102"/>
      <c r="G722" s="102"/>
      <c r="H722" s="102"/>
      <c r="I722" s="154"/>
      <c r="J722" s="154"/>
      <c r="K722" s="154"/>
      <c r="L722" s="154"/>
      <c r="M722" s="154"/>
      <c r="N722" s="154"/>
      <c r="O722" s="154"/>
      <c r="P722" s="154"/>
      <c r="Q722" s="154"/>
      <c r="R722" s="102"/>
      <c r="S722" s="102"/>
      <c r="T722" s="102"/>
      <c r="U722" s="102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01"/>
    </row>
    <row r="723" spans="1:31" s="162" customFormat="1" x14ac:dyDescent="0.25">
      <c r="A723" s="101"/>
      <c r="B723" s="101"/>
      <c r="C723" s="102"/>
      <c r="D723" s="102"/>
      <c r="E723" s="102"/>
      <c r="F723" s="102"/>
      <c r="G723" s="102"/>
      <c r="H723" s="102"/>
      <c r="I723" s="154"/>
      <c r="J723" s="154"/>
      <c r="K723" s="154"/>
      <c r="L723" s="154"/>
      <c r="M723" s="154"/>
      <c r="N723" s="154"/>
      <c r="O723" s="154"/>
      <c r="P723" s="154"/>
      <c r="Q723" s="154"/>
      <c r="R723" s="102"/>
      <c r="S723" s="102"/>
      <c r="T723" s="102"/>
      <c r="U723" s="102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01"/>
    </row>
    <row r="724" spans="1:31" s="162" customFormat="1" x14ac:dyDescent="0.25">
      <c r="A724" s="101"/>
      <c r="B724" s="101"/>
      <c r="C724" s="102"/>
      <c r="D724" s="102"/>
      <c r="E724" s="102"/>
      <c r="F724" s="102"/>
      <c r="G724" s="102"/>
      <c r="H724" s="102"/>
      <c r="I724" s="154"/>
      <c r="J724" s="154"/>
      <c r="K724" s="154"/>
      <c r="L724" s="154"/>
      <c r="M724" s="154"/>
      <c r="N724" s="154"/>
      <c r="O724" s="154"/>
      <c r="P724" s="154"/>
      <c r="Q724" s="154"/>
      <c r="R724" s="102"/>
      <c r="S724" s="102"/>
      <c r="T724" s="102"/>
      <c r="U724" s="102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01"/>
    </row>
    <row r="725" spans="1:31" s="162" customFormat="1" x14ac:dyDescent="0.25">
      <c r="A725" s="101"/>
      <c r="B725" s="101"/>
      <c r="C725" s="102"/>
      <c r="D725" s="102"/>
      <c r="E725" s="102"/>
      <c r="F725" s="102"/>
      <c r="G725" s="102"/>
      <c r="H725" s="102"/>
      <c r="I725" s="154"/>
      <c r="J725" s="154"/>
      <c r="K725" s="154"/>
      <c r="L725" s="154"/>
      <c r="M725" s="154"/>
      <c r="N725" s="154"/>
      <c r="O725" s="154"/>
      <c r="P725" s="154"/>
      <c r="Q725" s="154"/>
      <c r="R725" s="102"/>
      <c r="S725" s="102"/>
      <c r="T725" s="102"/>
      <c r="U725" s="102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01"/>
    </row>
    <row r="726" spans="1:31" s="162" customFormat="1" x14ac:dyDescent="0.25">
      <c r="A726" s="101"/>
      <c r="B726" s="101"/>
      <c r="C726" s="102"/>
      <c r="D726" s="102"/>
      <c r="E726" s="102"/>
      <c r="F726" s="102"/>
      <c r="G726" s="102"/>
      <c r="H726" s="102"/>
      <c r="I726" s="154"/>
      <c r="J726" s="154"/>
      <c r="K726" s="154"/>
      <c r="L726" s="154"/>
      <c r="M726" s="154"/>
      <c r="N726" s="154"/>
      <c r="O726" s="154"/>
      <c r="P726" s="154"/>
      <c r="Q726" s="154"/>
      <c r="R726" s="102"/>
      <c r="S726" s="102"/>
      <c r="T726" s="102"/>
      <c r="U726" s="102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01"/>
    </row>
    <row r="727" spans="1:31" s="162" customFormat="1" x14ac:dyDescent="0.25">
      <c r="A727" s="101"/>
      <c r="B727" s="101"/>
      <c r="C727" s="102"/>
      <c r="D727" s="102"/>
      <c r="E727" s="102"/>
      <c r="F727" s="102"/>
      <c r="G727" s="102"/>
      <c r="H727" s="102"/>
      <c r="I727" s="154"/>
      <c r="J727" s="154"/>
      <c r="K727" s="154"/>
      <c r="L727" s="154"/>
      <c r="M727" s="154"/>
      <c r="N727" s="154"/>
      <c r="O727" s="154"/>
      <c r="P727" s="154"/>
      <c r="Q727" s="154"/>
      <c r="R727" s="102"/>
      <c r="S727" s="102"/>
      <c r="T727" s="102"/>
      <c r="U727" s="102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01"/>
    </row>
    <row r="728" spans="1:31" s="162" customFormat="1" x14ac:dyDescent="0.25">
      <c r="A728" s="101"/>
      <c r="B728" s="101"/>
      <c r="C728" s="102"/>
      <c r="D728" s="102"/>
      <c r="E728" s="102"/>
      <c r="F728" s="102"/>
      <c r="G728" s="102"/>
      <c r="H728" s="102"/>
      <c r="I728" s="154"/>
      <c r="J728" s="154"/>
      <c r="K728" s="154"/>
      <c r="L728" s="154"/>
      <c r="M728" s="154"/>
      <c r="N728" s="154"/>
      <c r="O728" s="154"/>
      <c r="P728" s="154"/>
      <c r="Q728" s="154"/>
      <c r="R728" s="102"/>
      <c r="S728" s="102"/>
      <c r="T728" s="102"/>
      <c r="U728" s="102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01"/>
    </row>
    <row r="729" spans="1:31" s="162" customFormat="1" x14ac:dyDescent="0.25">
      <c r="A729" s="101"/>
      <c r="B729" s="101"/>
      <c r="C729" s="102"/>
      <c r="D729" s="102"/>
      <c r="E729" s="102"/>
      <c r="F729" s="102"/>
      <c r="G729" s="102"/>
      <c r="H729" s="102"/>
      <c r="I729" s="154"/>
      <c r="J729" s="154"/>
      <c r="K729" s="154"/>
      <c r="L729" s="154"/>
      <c r="M729" s="154"/>
      <c r="N729" s="154"/>
      <c r="O729" s="154"/>
      <c r="P729" s="154"/>
      <c r="Q729" s="154"/>
      <c r="R729" s="102"/>
      <c r="S729" s="102"/>
      <c r="T729" s="102"/>
      <c r="U729" s="102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01"/>
    </row>
    <row r="730" spans="1:31" s="162" customFormat="1" x14ac:dyDescent="0.25">
      <c r="A730" s="101"/>
      <c r="B730" s="101"/>
      <c r="C730" s="102"/>
      <c r="D730" s="102"/>
      <c r="E730" s="102"/>
      <c r="F730" s="102"/>
      <c r="G730" s="102"/>
      <c r="H730" s="102"/>
      <c r="I730" s="154"/>
      <c r="J730" s="154"/>
      <c r="K730" s="154"/>
      <c r="L730" s="154"/>
      <c r="M730" s="154"/>
      <c r="N730" s="154"/>
      <c r="O730" s="154"/>
      <c r="P730" s="154"/>
      <c r="Q730" s="154"/>
      <c r="R730" s="102"/>
      <c r="S730" s="102"/>
      <c r="T730" s="102"/>
      <c r="U730" s="102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01"/>
    </row>
    <row r="731" spans="1:31" s="162" customFormat="1" x14ac:dyDescent="0.25">
      <c r="A731" s="101"/>
      <c r="B731" s="101"/>
      <c r="C731" s="102"/>
      <c r="D731" s="102"/>
      <c r="E731" s="102"/>
      <c r="F731" s="102"/>
      <c r="G731" s="102"/>
      <c r="H731" s="102"/>
      <c r="I731" s="154"/>
      <c r="J731" s="154"/>
      <c r="K731" s="154"/>
      <c r="L731" s="154"/>
      <c r="M731" s="154"/>
      <c r="N731" s="154"/>
      <c r="O731" s="154"/>
      <c r="P731" s="154"/>
      <c r="Q731" s="154"/>
      <c r="R731" s="102"/>
      <c r="S731" s="102"/>
      <c r="T731" s="102"/>
      <c r="U731" s="102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01"/>
    </row>
    <row r="732" spans="1:31" s="162" customFormat="1" x14ac:dyDescent="0.25">
      <c r="A732" s="101"/>
      <c r="B732" s="101"/>
      <c r="C732" s="102"/>
      <c r="D732" s="102"/>
      <c r="E732" s="102"/>
      <c r="F732" s="102"/>
      <c r="G732" s="102"/>
      <c r="H732" s="102"/>
      <c r="I732" s="154"/>
      <c r="J732" s="154"/>
      <c r="K732" s="154"/>
      <c r="L732" s="154"/>
      <c r="M732" s="154"/>
      <c r="N732" s="154"/>
      <c r="O732" s="154"/>
      <c r="P732" s="154"/>
      <c r="Q732" s="154"/>
      <c r="R732" s="102"/>
      <c r="S732" s="102"/>
      <c r="T732" s="102"/>
      <c r="U732" s="102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01"/>
    </row>
    <row r="733" spans="1:31" s="162" customFormat="1" x14ac:dyDescent="0.25">
      <c r="A733" s="101"/>
      <c r="B733" s="101"/>
      <c r="C733" s="102"/>
      <c r="D733" s="102"/>
      <c r="E733" s="102"/>
      <c r="F733" s="102"/>
      <c r="G733" s="102"/>
      <c r="H733" s="102"/>
      <c r="I733" s="154"/>
      <c r="J733" s="154"/>
      <c r="K733" s="154"/>
      <c r="L733" s="154"/>
      <c r="M733" s="154"/>
      <c r="N733" s="154"/>
      <c r="O733" s="154"/>
      <c r="P733" s="154"/>
      <c r="Q733" s="154"/>
      <c r="R733" s="102"/>
      <c r="S733" s="102"/>
      <c r="T733" s="102"/>
      <c r="U733" s="102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01"/>
    </row>
    <row r="734" spans="1:31" s="162" customFormat="1" x14ac:dyDescent="0.25">
      <c r="A734" s="101"/>
      <c r="B734" s="101"/>
      <c r="C734" s="102"/>
      <c r="D734" s="102"/>
      <c r="E734" s="102"/>
      <c r="F734" s="102"/>
      <c r="G734" s="102"/>
      <c r="H734" s="102"/>
      <c r="I734" s="154"/>
      <c r="J734" s="154"/>
      <c r="K734" s="154"/>
      <c r="L734" s="154"/>
      <c r="M734" s="154"/>
      <c r="N734" s="154"/>
      <c r="O734" s="154"/>
      <c r="P734" s="154"/>
      <c r="Q734" s="154"/>
      <c r="R734" s="102"/>
      <c r="S734" s="102"/>
      <c r="T734" s="102"/>
      <c r="U734" s="102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01"/>
    </row>
    <row r="735" spans="1:31" s="162" customFormat="1" x14ac:dyDescent="0.25">
      <c r="A735" s="101"/>
      <c r="B735" s="101"/>
      <c r="C735" s="102"/>
      <c r="D735" s="102"/>
      <c r="E735" s="102"/>
      <c r="F735" s="102"/>
      <c r="G735" s="102"/>
      <c r="H735" s="102"/>
      <c r="I735" s="154"/>
      <c r="J735" s="154"/>
      <c r="K735" s="154"/>
      <c r="L735" s="154"/>
      <c r="M735" s="154"/>
      <c r="N735" s="154"/>
      <c r="O735" s="154"/>
      <c r="P735" s="154"/>
      <c r="Q735" s="154"/>
      <c r="R735" s="102"/>
      <c r="S735" s="102"/>
      <c r="T735" s="102"/>
      <c r="U735" s="102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01"/>
    </row>
    <row r="736" spans="1:31" s="162" customFormat="1" x14ac:dyDescent="0.25">
      <c r="A736" s="101"/>
      <c r="B736" s="101"/>
      <c r="C736" s="102"/>
      <c r="D736" s="102"/>
      <c r="E736" s="102"/>
      <c r="F736" s="102"/>
      <c r="G736" s="102"/>
      <c r="H736" s="102"/>
      <c r="I736" s="154"/>
      <c r="J736" s="154"/>
      <c r="K736" s="154"/>
      <c r="L736" s="154"/>
      <c r="M736" s="154"/>
      <c r="N736" s="154"/>
      <c r="O736" s="154"/>
      <c r="P736" s="154"/>
      <c r="Q736" s="154"/>
      <c r="R736" s="102"/>
      <c r="S736" s="102"/>
      <c r="T736" s="102"/>
      <c r="U736" s="102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01"/>
    </row>
    <row r="737" spans="1:31" s="162" customFormat="1" x14ac:dyDescent="0.25">
      <c r="A737" s="101"/>
      <c r="B737" s="101"/>
      <c r="C737" s="102"/>
      <c r="D737" s="102"/>
      <c r="E737" s="102"/>
      <c r="F737" s="102"/>
      <c r="G737" s="102"/>
      <c r="H737" s="102"/>
      <c r="I737" s="154"/>
      <c r="J737" s="154"/>
      <c r="K737" s="154"/>
      <c r="L737" s="154"/>
      <c r="M737" s="154"/>
      <c r="N737" s="154"/>
      <c r="O737" s="154"/>
      <c r="P737" s="154"/>
      <c r="Q737" s="154"/>
      <c r="R737" s="102"/>
      <c r="S737" s="102"/>
      <c r="T737" s="102"/>
      <c r="U737" s="102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01"/>
    </row>
    <row r="738" spans="1:31" s="162" customFormat="1" x14ac:dyDescent="0.25">
      <c r="A738" s="101"/>
      <c r="B738" s="101"/>
      <c r="C738" s="102"/>
      <c r="D738" s="102"/>
      <c r="E738" s="102"/>
      <c r="F738" s="102"/>
      <c r="G738" s="102"/>
      <c r="H738" s="102"/>
      <c r="I738" s="154"/>
      <c r="J738" s="154"/>
      <c r="K738" s="154"/>
      <c r="L738" s="154"/>
      <c r="M738" s="154"/>
      <c r="N738" s="154"/>
      <c r="O738" s="154"/>
      <c r="P738" s="154"/>
      <c r="Q738" s="154"/>
      <c r="R738" s="102"/>
      <c r="S738" s="102"/>
      <c r="T738" s="102"/>
      <c r="U738" s="102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01"/>
    </row>
    <row r="739" spans="1:31" s="162" customFormat="1" x14ac:dyDescent="0.25">
      <c r="A739" s="101"/>
      <c r="B739" s="101"/>
      <c r="C739" s="102"/>
      <c r="D739" s="102"/>
      <c r="E739" s="102"/>
      <c r="F739" s="102"/>
      <c r="G739" s="102"/>
      <c r="H739" s="102"/>
      <c r="I739" s="154"/>
      <c r="J739" s="154"/>
      <c r="K739" s="154"/>
      <c r="L739" s="154"/>
      <c r="M739" s="154"/>
      <c r="N739" s="154"/>
      <c r="O739" s="154"/>
      <c r="P739" s="154"/>
      <c r="Q739" s="154"/>
      <c r="R739" s="102"/>
      <c r="S739" s="102"/>
      <c r="T739" s="102"/>
      <c r="U739" s="102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01"/>
    </row>
    <row r="740" spans="1:31" s="162" customFormat="1" x14ac:dyDescent="0.25">
      <c r="A740" s="101"/>
      <c r="B740" s="101"/>
      <c r="C740" s="102"/>
      <c r="D740" s="102"/>
      <c r="E740" s="102"/>
      <c r="F740" s="102"/>
      <c r="G740" s="102"/>
      <c r="H740" s="102"/>
      <c r="I740" s="154"/>
      <c r="J740" s="154"/>
      <c r="K740" s="154"/>
      <c r="L740" s="154"/>
      <c r="M740" s="154"/>
      <c r="N740" s="154"/>
      <c r="O740" s="154"/>
      <c r="P740" s="154"/>
      <c r="Q740" s="154"/>
      <c r="R740" s="102"/>
      <c r="S740" s="102"/>
      <c r="T740" s="102"/>
      <c r="U740" s="102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01"/>
    </row>
    <row r="741" spans="1:31" s="162" customFormat="1" x14ac:dyDescent="0.25">
      <c r="A741" s="101"/>
      <c r="B741" s="101"/>
      <c r="C741" s="102"/>
      <c r="D741" s="102"/>
      <c r="E741" s="102"/>
      <c r="F741" s="102"/>
      <c r="G741" s="102"/>
      <c r="H741" s="102"/>
      <c r="I741" s="154"/>
      <c r="J741" s="154"/>
      <c r="K741" s="154"/>
      <c r="L741" s="154"/>
      <c r="M741" s="154"/>
      <c r="N741" s="154"/>
      <c r="O741" s="154"/>
      <c r="P741" s="154"/>
      <c r="Q741" s="154"/>
      <c r="R741" s="102"/>
      <c r="S741" s="102"/>
      <c r="T741" s="102"/>
      <c r="U741" s="102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01"/>
    </row>
    <row r="742" spans="1:31" s="162" customFormat="1" x14ac:dyDescent="0.25">
      <c r="A742" s="101"/>
      <c r="B742" s="101"/>
      <c r="C742" s="102"/>
      <c r="D742" s="102"/>
      <c r="E742" s="102"/>
      <c r="F742" s="102"/>
      <c r="G742" s="102"/>
      <c r="H742" s="102"/>
      <c r="I742" s="154"/>
      <c r="J742" s="154"/>
      <c r="K742" s="154"/>
      <c r="L742" s="154"/>
      <c r="M742" s="154"/>
      <c r="N742" s="154"/>
      <c r="O742" s="154"/>
      <c r="P742" s="154"/>
      <c r="Q742" s="154"/>
      <c r="R742" s="102"/>
      <c r="S742" s="102"/>
      <c r="T742" s="102"/>
      <c r="U742" s="102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01"/>
    </row>
    <row r="743" spans="1:31" s="162" customFormat="1" x14ac:dyDescent="0.25">
      <c r="A743" s="101"/>
      <c r="B743" s="101"/>
      <c r="C743" s="102"/>
      <c r="D743" s="102"/>
      <c r="E743" s="102"/>
      <c r="F743" s="102"/>
      <c r="G743" s="102"/>
      <c r="H743" s="102"/>
      <c r="I743" s="154"/>
      <c r="J743" s="154"/>
      <c r="K743" s="154"/>
      <c r="L743" s="154"/>
      <c r="M743" s="154"/>
      <c r="N743" s="154"/>
      <c r="O743" s="154"/>
      <c r="P743" s="154"/>
      <c r="Q743" s="154"/>
      <c r="R743" s="102"/>
      <c r="S743" s="102"/>
      <c r="T743" s="102"/>
      <c r="U743" s="102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01"/>
    </row>
    <row r="744" spans="1:31" s="162" customFormat="1" x14ac:dyDescent="0.25">
      <c r="A744" s="101"/>
      <c r="B744" s="101"/>
      <c r="C744" s="102"/>
      <c r="D744" s="102"/>
      <c r="E744" s="102"/>
      <c r="F744" s="102"/>
      <c r="G744" s="102"/>
      <c r="H744" s="102"/>
      <c r="I744" s="154"/>
      <c r="J744" s="154"/>
      <c r="K744" s="154"/>
      <c r="L744" s="154"/>
      <c r="M744" s="154"/>
      <c r="N744" s="154"/>
      <c r="O744" s="154"/>
      <c r="P744" s="154"/>
      <c r="Q744" s="154"/>
      <c r="R744" s="102"/>
      <c r="S744" s="102"/>
      <c r="T744" s="102"/>
      <c r="U744" s="102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01"/>
    </row>
    <row r="745" spans="1:31" s="162" customFormat="1" x14ac:dyDescent="0.25">
      <c r="A745" s="101"/>
      <c r="B745" s="101"/>
      <c r="C745" s="102"/>
      <c r="D745" s="102"/>
      <c r="E745" s="102"/>
      <c r="F745" s="102"/>
      <c r="G745" s="102"/>
      <c r="H745" s="102"/>
      <c r="I745" s="154"/>
      <c r="J745" s="154"/>
      <c r="K745" s="154"/>
      <c r="L745" s="154"/>
      <c r="M745" s="154"/>
      <c r="N745" s="154"/>
      <c r="O745" s="154"/>
      <c r="P745" s="154"/>
      <c r="Q745" s="154"/>
      <c r="R745" s="102"/>
      <c r="S745" s="102"/>
      <c r="T745" s="102"/>
      <c r="U745" s="102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01"/>
    </row>
    <row r="746" spans="1:31" s="162" customFormat="1" x14ac:dyDescent="0.25">
      <c r="A746" s="101"/>
      <c r="B746" s="101"/>
      <c r="C746" s="102"/>
      <c r="D746" s="102"/>
      <c r="E746" s="102"/>
      <c r="F746" s="102"/>
      <c r="G746" s="102"/>
      <c r="H746" s="102"/>
      <c r="I746" s="154"/>
      <c r="J746" s="154"/>
      <c r="K746" s="154"/>
      <c r="L746" s="154"/>
      <c r="M746" s="154"/>
      <c r="N746" s="154"/>
      <c r="O746" s="154"/>
      <c r="P746" s="154"/>
      <c r="Q746" s="154"/>
      <c r="R746" s="102"/>
      <c r="S746" s="102"/>
      <c r="T746" s="102"/>
      <c r="U746" s="102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01"/>
    </row>
    <row r="747" spans="1:31" s="162" customFormat="1" x14ac:dyDescent="0.25">
      <c r="A747" s="101"/>
      <c r="B747" s="101"/>
      <c r="C747" s="102"/>
      <c r="D747" s="102"/>
      <c r="E747" s="102"/>
      <c r="F747" s="102"/>
      <c r="G747" s="102"/>
      <c r="H747" s="102"/>
      <c r="I747" s="154"/>
      <c r="J747" s="154"/>
      <c r="K747" s="154"/>
      <c r="L747" s="154"/>
      <c r="M747" s="154"/>
      <c r="N747" s="154"/>
      <c r="O747" s="154"/>
      <c r="P747" s="154"/>
      <c r="Q747" s="154"/>
      <c r="R747" s="102"/>
      <c r="S747" s="102"/>
      <c r="T747" s="102"/>
      <c r="U747" s="102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01"/>
    </row>
    <row r="748" spans="1:31" s="162" customFormat="1" x14ac:dyDescent="0.25">
      <c r="A748" s="101"/>
      <c r="B748" s="101"/>
      <c r="C748" s="102"/>
      <c r="D748" s="102"/>
      <c r="E748" s="102"/>
      <c r="F748" s="102"/>
      <c r="G748" s="102"/>
      <c r="H748" s="102"/>
      <c r="I748" s="154"/>
      <c r="J748" s="154"/>
      <c r="K748" s="154"/>
      <c r="L748" s="154"/>
      <c r="M748" s="154"/>
      <c r="N748" s="154"/>
      <c r="O748" s="154"/>
      <c r="P748" s="154"/>
      <c r="Q748" s="154"/>
      <c r="R748" s="102"/>
      <c r="S748" s="102"/>
      <c r="T748" s="102"/>
      <c r="U748" s="102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01"/>
    </row>
    <row r="749" spans="1:31" s="162" customFormat="1" x14ac:dyDescent="0.25">
      <c r="A749" s="101"/>
      <c r="B749" s="101"/>
      <c r="C749" s="102"/>
      <c r="D749" s="102"/>
      <c r="E749" s="102"/>
      <c r="F749" s="102"/>
      <c r="G749" s="102"/>
      <c r="H749" s="102"/>
      <c r="I749" s="154"/>
      <c r="J749" s="154"/>
      <c r="K749" s="154"/>
      <c r="L749" s="154"/>
      <c r="M749" s="154"/>
      <c r="N749" s="154"/>
      <c r="O749" s="154"/>
      <c r="P749" s="154"/>
      <c r="Q749" s="154"/>
      <c r="R749" s="102"/>
      <c r="S749" s="102"/>
      <c r="T749" s="102"/>
      <c r="U749" s="102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01"/>
    </row>
    <row r="750" spans="1:31" s="162" customFormat="1" x14ac:dyDescent="0.25">
      <c r="A750" s="101"/>
      <c r="B750" s="101"/>
      <c r="C750" s="102"/>
      <c r="D750" s="102"/>
      <c r="E750" s="102"/>
      <c r="F750" s="102"/>
      <c r="G750" s="102"/>
      <c r="H750" s="102"/>
      <c r="I750" s="154"/>
      <c r="J750" s="154"/>
      <c r="K750" s="154"/>
      <c r="L750" s="154"/>
      <c r="M750" s="154"/>
      <c r="N750" s="154"/>
      <c r="O750" s="154"/>
      <c r="P750" s="154"/>
      <c r="Q750" s="154"/>
      <c r="R750" s="102"/>
      <c r="S750" s="102"/>
      <c r="T750" s="102"/>
      <c r="U750" s="102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01"/>
    </row>
    <row r="751" spans="1:31" s="162" customFormat="1" x14ac:dyDescent="0.25">
      <c r="A751" s="101"/>
      <c r="B751" s="101"/>
      <c r="C751" s="102"/>
      <c r="D751" s="102"/>
      <c r="E751" s="102"/>
      <c r="F751" s="102"/>
      <c r="G751" s="102"/>
      <c r="H751" s="102"/>
      <c r="I751" s="154"/>
      <c r="J751" s="154"/>
      <c r="K751" s="154"/>
      <c r="L751" s="154"/>
      <c r="M751" s="154"/>
      <c r="N751" s="154"/>
      <c r="O751" s="154"/>
      <c r="P751" s="154"/>
      <c r="Q751" s="154"/>
      <c r="R751" s="102"/>
      <c r="S751" s="102"/>
      <c r="T751" s="102"/>
      <c r="U751" s="102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01"/>
    </row>
    <row r="752" spans="1:31" s="162" customFormat="1" x14ac:dyDescent="0.25">
      <c r="A752" s="101"/>
      <c r="B752" s="101"/>
      <c r="C752" s="102"/>
      <c r="D752" s="102"/>
      <c r="E752" s="102"/>
      <c r="F752" s="102"/>
      <c r="G752" s="102"/>
      <c r="H752" s="102"/>
      <c r="I752" s="154"/>
      <c r="J752" s="154"/>
      <c r="K752" s="154"/>
      <c r="L752" s="154"/>
      <c r="M752" s="154"/>
      <c r="N752" s="154"/>
      <c r="O752" s="154"/>
      <c r="P752" s="154"/>
      <c r="Q752" s="154"/>
      <c r="R752" s="102"/>
      <c r="S752" s="102"/>
      <c r="T752" s="102"/>
      <c r="U752" s="102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01"/>
    </row>
    <row r="753" spans="1:31" s="162" customFormat="1" x14ac:dyDescent="0.25">
      <c r="A753" s="101"/>
      <c r="B753" s="101"/>
      <c r="C753" s="102"/>
      <c r="D753" s="102"/>
      <c r="E753" s="102"/>
      <c r="F753" s="102"/>
      <c r="G753" s="102"/>
      <c r="H753" s="102"/>
      <c r="I753" s="154"/>
      <c r="J753" s="154"/>
      <c r="K753" s="154"/>
      <c r="L753" s="154"/>
      <c r="M753" s="154"/>
      <c r="N753" s="154"/>
      <c r="O753" s="154"/>
      <c r="P753" s="154"/>
      <c r="Q753" s="154"/>
      <c r="R753" s="102"/>
      <c r="S753" s="102"/>
      <c r="T753" s="102"/>
      <c r="U753" s="102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01"/>
    </row>
    <row r="754" spans="1:31" s="162" customFormat="1" x14ac:dyDescent="0.25">
      <c r="A754" s="101"/>
      <c r="B754" s="101"/>
      <c r="C754" s="102"/>
      <c r="D754" s="102"/>
      <c r="E754" s="102"/>
      <c r="F754" s="102"/>
      <c r="G754" s="102"/>
      <c r="H754" s="102"/>
      <c r="I754" s="154"/>
      <c r="J754" s="154"/>
      <c r="K754" s="154"/>
      <c r="L754" s="154"/>
      <c r="M754" s="154"/>
      <c r="N754" s="154"/>
      <c r="O754" s="154"/>
      <c r="P754" s="154"/>
      <c r="Q754" s="154"/>
      <c r="R754" s="102"/>
      <c r="S754" s="102"/>
      <c r="T754" s="102"/>
      <c r="U754" s="102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01"/>
    </row>
    <row r="755" spans="1:31" s="162" customFormat="1" x14ac:dyDescent="0.25">
      <c r="A755" s="101"/>
      <c r="B755" s="101"/>
      <c r="C755" s="102"/>
      <c r="D755" s="102"/>
      <c r="E755" s="102"/>
      <c r="F755" s="102"/>
      <c r="G755" s="102"/>
      <c r="H755" s="102"/>
      <c r="I755" s="154"/>
      <c r="J755" s="154"/>
      <c r="K755" s="154"/>
      <c r="L755" s="154"/>
      <c r="M755" s="154"/>
      <c r="N755" s="154"/>
      <c r="O755" s="154"/>
      <c r="P755" s="154"/>
      <c r="Q755" s="154"/>
      <c r="R755" s="102"/>
      <c r="S755" s="102"/>
      <c r="T755" s="102"/>
      <c r="U755" s="102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01"/>
    </row>
    <row r="756" spans="1:31" s="162" customFormat="1" x14ac:dyDescent="0.25">
      <c r="A756" s="101"/>
      <c r="B756" s="101"/>
      <c r="C756" s="102"/>
      <c r="D756" s="102"/>
      <c r="E756" s="102"/>
      <c r="F756" s="102"/>
      <c r="G756" s="102"/>
      <c r="H756" s="102"/>
      <c r="I756" s="154"/>
      <c r="J756" s="154"/>
      <c r="K756" s="154"/>
      <c r="L756" s="154"/>
      <c r="M756" s="154"/>
      <c r="N756" s="154"/>
      <c r="O756" s="154"/>
      <c r="P756" s="154"/>
      <c r="Q756" s="154"/>
      <c r="R756" s="102"/>
      <c r="S756" s="102"/>
      <c r="T756" s="102"/>
      <c r="U756" s="102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01"/>
    </row>
    <row r="757" spans="1:31" s="162" customFormat="1" x14ac:dyDescent="0.25">
      <c r="A757" s="101"/>
      <c r="B757" s="101"/>
      <c r="C757" s="102"/>
      <c r="D757" s="102"/>
      <c r="E757" s="102"/>
      <c r="F757" s="102"/>
      <c r="G757" s="102"/>
      <c r="H757" s="102"/>
      <c r="I757" s="154"/>
      <c r="J757" s="154"/>
      <c r="K757" s="154"/>
      <c r="L757" s="154"/>
      <c r="M757" s="154"/>
      <c r="N757" s="154"/>
      <c r="O757" s="154"/>
      <c r="P757" s="154"/>
      <c r="Q757" s="154"/>
      <c r="R757" s="102"/>
      <c r="S757" s="102"/>
      <c r="T757" s="102"/>
      <c r="U757" s="102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01"/>
    </row>
    <row r="758" spans="1:31" s="162" customFormat="1" x14ac:dyDescent="0.25">
      <c r="A758" s="101"/>
      <c r="B758" s="101"/>
      <c r="C758" s="102"/>
      <c r="D758" s="102"/>
      <c r="E758" s="102"/>
      <c r="F758" s="102"/>
      <c r="G758" s="102"/>
      <c r="H758" s="102"/>
      <c r="I758" s="154"/>
      <c r="J758" s="154"/>
      <c r="K758" s="154"/>
      <c r="L758" s="154"/>
      <c r="M758" s="154"/>
      <c r="N758" s="154"/>
      <c r="O758" s="154"/>
      <c r="P758" s="154"/>
      <c r="Q758" s="154"/>
      <c r="R758" s="102"/>
      <c r="S758" s="102"/>
      <c r="T758" s="102"/>
      <c r="U758" s="102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01"/>
    </row>
    <row r="759" spans="1:31" s="162" customFormat="1" x14ac:dyDescent="0.25">
      <c r="A759" s="101"/>
      <c r="B759" s="101"/>
      <c r="C759" s="102"/>
      <c r="D759" s="102"/>
      <c r="E759" s="102"/>
      <c r="F759" s="102"/>
      <c r="G759" s="102"/>
      <c r="H759" s="102"/>
      <c r="I759" s="154"/>
      <c r="J759" s="154"/>
      <c r="K759" s="154"/>
      <c r="L759" s="154"/>
      <c r="M759" s="154"/>
      <c r="N759" s="154"/>
      <c r="O759" s="154"/>
      <c r="P759" s="154"/>
      <c r="Q759" s="154"/>
      <c r="R759" s="102"/>
      <c r="S759" s="102"/>
      <c r="T759" s="102"/>
      <c r="U759" s="102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01"/>
    </row>
    <row r="760" spans="1:31" s="162" customFormat="1" x14ac:dyDescent="0.25">
      <c r="A760" s="101"/>
      <c r="B760" s="101"/>
      <c r="C760" s="102"/>
      <c r="D760" s="102"/>
      <c r="E760" s="102"/>
      <c r="F760" s="102"/>
      <c r="G760" s="102"/>
      <c r="H760" s="102"/>
      <c r="I760" s="154"/>
      <c r="J760" s="154"/>
      <c r="K760" s="154"/>
      <c r="L760" s="154"/>
      <c r="M760" s="154"/>
      <c r="N760" s="154"/>
      <c r="O760" s="154"/>
      <c r="P760" s="154"/>
      <c r="Q760" s="154"/>
      <c r="R760" s="102"/>
      <c r="S760" s="102"/>
      <c r="T760" s="102"/>
      <c r="U760" s="102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01"/>
    </row>
    <row r="761" spans="1:31" s="162" customFormat="1" x14ac:dyDescent="0.25">
      <c r="A761" s="101"/>
      <c r="B761" s="101"/>
      <c r="C761" s="102"/>
      <c r="D761" s="102"/>
      <c r="E761" s="102"/>
      <c r="F761" s="102"/>
      <c r="G761" s="102"/>
      <c r="H761" s="102"/>
      <c r="I761" s="154"/>
      <c r="J761" s="154"/>
      <c r="K761" s="154"/>
      <c r="L761" s="154"/>
      <c r="M761" s="154"/>
      <c r="N761" s="154"/>
      <c r="O761" s="154"/>
      <c r="P761" s="154"/>
      <c r="Q761" s="154"/>
      <c r="R761" s="102"/>
      <c r="S761" s="102"/>
      <c r="T761" s="102"/>
      <c r="U761" s="102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01"/>
    </row>
    <row r="762" spans="1:31" s="162" customFormat="1" x14ac:dyDescent="0.25">
      <c r="A762" s="101"/>
      <c r="B762" s="101"/>
      <c r="C762" s="102"/>
      <c r="D762" s="102"/>
      <c r="E762" s="102"/>
      <c r="F762" s="102"/>
      <c r="G762" s="102"/>
      <c r="H762" s="102"/>
      <c r="I762" s="154"/>
      <c r="J762" s="154"/>
      <c r="K762" s="154"/>
      <c r="L762" s="154"/>
      <c r="M762" s="154"/>
      <c r="N762" s="154"/>
      <c r="O762" s="154"/>
      <c r="P762" s="154"/>
      <c r="Q762" s="154"/>
      <c r="R762" s="102"/>
      <c r="S762" s="102"/>
      <c r="T762" s="102"/>
      <c r="U762" s="102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01"/>
    </row>
    <row r="763" spans="1:31" s="162" customFormat="1" x14ac:dyDescent="0.25">
      <c r="A763" s="101"/>
      <c r="B763" s="101"/>
      <c r="C763" s="102"/>
      <c r="D763" s="102"/>
      <c r="E763" s="102"/>
      <c r="F763" s="102"/>
      <c r="G763" s="102"/>
      <c r="H763" s="102"/>
      <c r="I763" s="154"/>
      <c r="J763" s="154"/>
      <c r="K763" s="154"/>
      <c r="L763" s="154"/>
      <c r="M763" s="154"/>
      <c r="N763" s="154"/>
      <c r="O763" s="154"/>
      <c r="P763" s="154"/>
      <c r="Q763" s="154"/>
      <c r="R763" s="102"/>
      <c r="S763" s="102"/>
      <c r="T763" s="102"/>
      <c r="U763" s="102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01"/>
    </row>
    <row r="764" spans="1:31" s="162" customFormat="1" x14ac:dyDescent="0.25">
      <c r="A764" s="101"/>
      <c r="B764" s="101"/>
      <c r="C764" s="102"/>
      <c r="D764" s="102"/>
      <c r="E764" s="102"/>
      <c r="F764" s="102"/>
      <c r="G764" s="102"/>
      <c r="H764" s="102"/>
      <c r="I764" s="154"/>
      <c r="J764" s="154"/>
      <c r="K764" s="154"/>
      <c r="L764" s="154"/>
      <c r="M764" s="154"/>
      <c r="N764" s="154"/>
      <c r="O764" s="154"/>
      <c r="P764" s="154"/>
      <c r="Q764" s="154"/>
      <c r="R764" s="102"/>
      <c r="S764" s="102"/>
      <c r="T764" s="102"/>
      <c r="U764" s="102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01"/>
    </row>
    <row r="765" spans="1:31" s="162" customFormat="1" x14ac:dyDescent="0.25">
      <c r="A765" s="101"/>
      <c r="B765" s="101"/>
      <c r="C765" s="102"/>
      <c r="D765" s="102"/>
      <c r="E765" s="102"/>
      <c r="F765" s="102"/>
      <c r="G765" s="102"/>
      <c r="H765" s="102"/>
      <c r="I765" s="154"/>
      <c r="J765" s="154"/>
      <c r="K765" s="154"/>
      <c r="L765" s="154"/>
      <c r="M765" s="154"/>
      <c r="N765" s="154"/>
      <c r="O765" s="154"/>
      <c r="P765" s="154"/>
      <c r="Q765" s="154"/>
      <c r="R765" s="102"/>
      <c r="S765" s="102"/>
      <c r="T765" s="102"/>
      <c r="U765" s="102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01"/>
    </row>
    <row r="766" spans="1:31" s="162" customFormat="1" x14ac:dyDescent="0.25">
      <c r="A766" s="101"/>
      <c r="B766" s="101"/>
      <c r="C766" s="102"/>
      <c r="D766" s="102"/>
      <c r="E766" s="102"/>
      <c r="F766" s="102"/>
      <c r="G766" s="102"/>
      <c r="H766" s="102"/>
      <c r="I766" s="154"/>
      <c r="J766" s="154"/>
      <c r="K766" s="154"/>
      <c r="L766" s="154"/>
      <c r="M766" s="154"/>
      <c r="N766" s="154"/>
      <c r="O766" s="154"/>
      <c r="P766" s="154"/>
      <c r="Q766" s="154"/>
      <c r="R766" s="102"/>
      <c r="S766" s="102"/>
      <c r="T766" s="102"/>
      <c r="U766" s="102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01"/>
    </row>
    <row r="767" spans="1:31" s="162" customFormat="1" x14ac:dyDescent="0.25">
      <c r="A767" s="101"/>
      <c r="B767" s="101"/>
      <c r="C767" s="102"/>
      <c r="D767" s="102"/>
      <c r="E767" s="102"/>
      <c r="F767" s="102"/>
      <c r="G767" s="102"/>
      <c r="H767" s="102"/>
      <c r="I767" s="154"/>
      <c r="J767" s="154"/>
      <c r="K767" s="154"/>
      <c r="L767" s="154"/>
      <c r="M767" s="154"/>
      <c r="N767" s="154"/>
      <c r="O767" s="154"/>
      <c r="P767" s="154"/>
      <c r="Q767" s="154"/>
      <c r="R767" s="102"/>
      <c r="S767" s="102"/>
      <c r="T767" s="102"/>
      <c r="U767" s="102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01"/>
    </row>
    <row r="768" spans="1:31" s="162" customFormat="1" x14ac:dyDescent="0.25">
      <c r="A768" s="101"/>
      <c r="B768" s="101"/>
      <c r="C768" s="102"/>
      <c r="D768" s="102"/>
      <c r="E768" s="102"/>
      <c r="F768" s="102"/>
      <c r="G768" s="102"/>
      <c r="H768" s="102"/>
      <c r="I768" s="154"/>
      <c r="J768" s="154"/>
      <c r="K768" s="154"/>
      <c r="L768" s="154"/>
      <c r="M768" s="154"/>
      <c r="N768" s="154"/>
      <c r="O768" s="154"/>
      <c r="P768" s="154"/>
      <c r="Q768" s="154"/>
      <c r="R768" s="102"/>
      <c r="S768" s="102"/>
      <c r="T768" s="102"/>
      <c r="U768" s="102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01"/>
    </row>
    <row r="769" spans="1:31" s="162" customFormat="1" x14ac:dyDescent="0.25">
      <c r="A769" s="101"/>
      <c r="B769" s="101"/>
      <c r="C769" s="102"/>
      <c r="D769" s="102"/>
      <c r="E769" s="102"/>
      <c r="F769" s="102"/>
      <c r="G769" s="102"/>
      <c r="H769" s="102"/>
      <c r="I769" s="154"/>
      <c r="J769" s="154"/>
      <c r="K769" s="154"/>
      <c r="L769" s="154"/>
      <c r="M769" s="154"/>
      <c r="N769" s="154"/>
      <c r="O769" s="154"/>
      <c r="P769" s="154"/>
      <c r="Q769" s="154"/>
      <c r="R769" s="102"/>
      <c r="S769" s="102"/>
      <c r="T769" s="102"/>
      <c r="U769" s="102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01"/>
    </row>
    <row r="770" spans="1:31" s="162" customFormat="1" x14ac:dyDescent="0.25">
      <c r="A770" s="101"/>
      <c r="B770" s="101"/>
      <c r="C770" s="102"/>
      <c r="D770" s="102"/>
      <c r="E770" s="102"/>
      <c r="F770" s="102"/>
      <c r="G770" s="102"/>
      <c r="H770" s="102"/>
      <c r="I770" s="154"/>
      <c r="J770" s="154"/>
      <c r="K770" s="154"/>
      <c r="L770" s="154"/>
      <c r="M770" s="154"/>
      <c r="N770" s="154"/>
      <c r="O770" s="154"/>
      <c r="P770" s="154"/>
      <c r="Q770" s="154"/>
      <c r="R770" s="102"/>
      <c r="S770" s="102"/>
      <c r="T770" s="102"/>
      <c r="U770" s="102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01"/>
    </row>
    <row r="771" spans="1:31" s="162" customFormat="1" x14ac:dyDescent="0.25">
      <c r="A771" s="101"/>
      <c r="B771" s="101"/>
      <c r="C771" s="102"/>
      <c r="D771" s="102"/>
      <c r="E771" s="102"/>
      <c r="F771" s="102"/>
      <c r="G771" s="102"/>
      <c r="H771" s="102"/>
      <c r="I771" s="154"/>
      <c r="J771" s="154"/>
      <c r="K771" s="154"/>
      <c r="L771" s="154"/>
      <c r="M771" s="154"/>
      <c r="N771" s="154"/>
      <c r="O771" s="154"/>
      <c r="P771" s="154"/>
      <c r="Q771" s="154"/>
      <c r="R771" s="102"/>
      <c r="S771" s="102"/>
      <c r="T771" s="102"/>
      <c r="U771" s="102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01"/>
    </row>
    <row r="772" spans="1:31" s="162" customFormat="1" x14ac:dyDescent="0.25">
      <c r="A772" s="101"/>
      <c r="B772" s="101"/>
      <c r="C772" s="102"/>
      <c r="D772" s="102"/>
      <c r="E772" s="102"/>
      <c r="F772" s="102"/>
      <c r="G772" s="102"/>
      <c r="H772" s="102"/>
      <c r="I772" s="154"/>
      <c r="J772" s="154"/>
      <c r="K772" s="154"/>
      <c r="L772" s="154"/>
      <c r="M772" s="154"/>
      <c r="N772" s="154"/>
      <c r="O772" s="154"/>
      <c r="P772" s="154"/>
      <c r="Q772" s="154"/>
      <c r="R772" s="102"/>
      <c r="S772" s="102"/>
      <c r="T772" s="102"/>
      <c r="U772" s="102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01"/>
    </row>
    <row r="773" spans="1:31" s="162" customFormat="1" x14ac:dyDescent="0.25">
      <c r="A773" s="101"/>
      <c r="B773" s="101"/>
      <c r="C773" s="102"/>
      <c r="D773" s="102"/>
      <c r="E773" s="102"/>
      <c r="F773" s="102"/>
      <c r="G773" s="102"/>
      <c r="H773" s="102"/>
      <c r="I773" s="154"/>
      <c r="J773" s="154"/>
      <c r="K773" s="154"/>
      <c r="L773" s="154"/>
      <c r="M773" s="154"/>
      <c r="N773" s="154"/>
      <c r="O773" s="154"/>
      <c r="P773" s="154"/>
      <c r="Q773" s="154"/>
      <c r="R773" s="102"/>
      <c r="S773" s="102"/>
      <c r="T773" s="102"/>
      <c r="U773" s="102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01"/>
    </row>
    <row r="774" spans="1:31" s="162" customFormat="1" x14ac:dyDescent="0.25">
      <c r="A774" s="101"/>
      <c r="B774" s="101"/>
      <c r="C774" s="102"/>
      <c r="D774" s="102"/>
      <c r="E774" s="102"/>
      <c r="F774" s="102"/>
      <c r="G774" s="102"/>
      <c r="H774" s="102"/>
      <c r="I774" s="154"/>
      <c r="J774" s="154"/>
      <c r="K774" s="154"/>
      <c r="L774" s="154"/>
      <c r="M774" s="154"/>
      <c r="N774" s="154"/>
      <c r="O774" s="154"/>
      <c r="P774" s="154"/>
      <c r="Q774" s="154"/>
      <c r="R774" s="102"/>
      <c r="S774" s="102"/>
      <c r="T774" s="102"/>
      <c r="U774" s="102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01"/>
    </row>
    <row r="775" spans="1:31" s="162" customFormat="1" x14ac:dyDescent="0.25">
      <c r="A775" s="101"/>
      <c r="B775" s="101"/>
      <c r="C775" s="102"/>
      <c r="D775" s="102"/>
      <c r="E775" s="102"/>
      <c r="F775" s="102"/>
      <c r="G775" s="102"/>
      <c r="H775" s="102"/>
      <c r="I775" s="154"/>
      <c r="J775" s="154"/>
      <c r="K775" s="154"/>
      <c r="L775" s="154"/>
      <c r="M775" s="154"/>
      <c r="N775" s="154"/>
      <c r="O775" s="154"/>
      <c r="P775" s="154"/>
      <c r="Q775" s="154"/>
      <c r="R775" s="102"/>
      <c r="S775" s="102"/>
      <c r="T775" s="102"/>
      <c r="U775" s="102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01"/>
    </row>
    <row r="776" spans="1:31" s="162" customFormat="1" x14ac:dyDescent="0.25">
      <c r="A776" s="101"/>
      <c r="B776" s="101"/>
      <c r="C776" s="102"/>
      <c r="D776" s="102"/>
      <c r="E776" s="102"/>
      <c r="F776" s="102"/>
      <c r="G776" s="102"/>
      <c r="H776" s="102"/>
      <c r="I776" s="154"/>
      <c r="J776" s="154"/>
      <c r="K776" s="154"/>
      <c r="L776" s="154"/>
      <c r="M776" s="154"/>
      <c r="N776" s="154"/>
      <c r="O776" s="154"/>
      <c r="P776" s="154"/>
      <c r="Q776" s="154"/>
      <c r="R776" s="102"/>
      <c r="S776" s="102"/>
      <c r="T776" s="102"/>
      <c r="U776" s="102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01"/>
    </row>
    <row r="777" spans="1:31" s="162" customFormat="1" x14ac:dyDescent="0.25">
      <c r="A777" s="101"/>
      <c r="B777" s="101"/>
      <c r="C777" s="102"/>
      <c r="D777" s="102"/>
      <c r="E777" s="102"/>
      <c r="F777" s="102"/>
      <c r="G777" s="102"/>
      <c r="H777" s="102"/>
      <c r="I777" s="154"/>
      <c r="J777" s="154"/>
      <c r="K777" s="154"/>
      <c r="L777" s="154"/>
      <c r="M777" s="154"/>
      <c r="N777" s="154"/>
      <c r="O777" s="154"/>
      <c r="P777" s="154"/>
      <c r="Q777" s="154"/>
      <c r="R777" s="102"/>
      <c r="S777" s="102"/>
      <c r="T777" s="102"/>
      <c r="U777" s="102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01"/>
    </row>
    <row r="778" spans="1:31" s="162" customFormat="1" x14ac:dyDescent="0.25">
      <c r="A778" s="101"/>
      <c r="B778" s="101"/>
      <c r="C778" s="102"/>
      <c r="D778" s="102"/>
      <c r="E778" s="102"/>
      <c r="F778" s="102"/>
      <c r="G778" s="102"/>
      <c r="H778" s="102"/>
      <c r="I778" s="154"/>
      <c r="J778" s="154"/>
      <c r="K778" s="154"/>
      <c r="L778" s="154"/>
      <c r="M778" s="154"/>
      <c r="N778" s="154"/>
      <c r="O778" s="154"/>
      <c r="P778" s="154"/>
      <c r="Q778" s="154"/>
      <c r="R778" s="102"/>
      <c r="S778" s="102"/>
      <c r="T778" s="102"/>
      <c r="U778" s="102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01"/>
    </row>
    <row r="779" spans="1:31" s="162" customFormat="1" x14ac:dyDescent="0.25">
      <c r="A779" s="101"/>
      <c r="B779" s="101"/>
      <c r="C779" s="102"/>
      <c r="D779" s="102"/>
      <c r="E779" s="102"/>
      <c r="F779" s="102"/>
      <c r="G779" s="102"/>
      <c r="H779" s="102"/>
      <c r="I779" s="154"/>
      <c r="J779" s="154"/>
      <c r="K779" s="154"/>
      <c r="L779" s="154"/>
      <c r="M779" s="154"/>
      <c r="N779" s="154"/>
      <c r="O779" s="154"/>
      <c r="P779" s="154"/>
      <c r="Q779" s="154"/>
      <c r="R779" s="102"/>
      <c r="S779" s="102"/>
      <c r="T779" s="102"/>
      <c r="U779" s="102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01"/>
    </row>
    <row r="780" spans="1:31" s="162" customFormat="1" x14ac:dyDescent="0.25">
      <c r="A780" s="101"/>
      <c r="B780" s="101"/>
      <c r="C780" s="102"/>
      <c r="D780" s="102"/>
      <c r="E780" s="102"/>
      <c r="F780" s="102"/>
      <c r="G780" s="102"/>
      <c r="H780" s="102"/>
      <c r="I780" s="154"/>
      <c r="J780" s="154"/>
      <c r="K780" s="154"/>
      <c r="L780" s="154"/>
      <c r="M780" s="154"/>
      <c r="N780" s="154"/>
      <c r="O780" s="154"/>
      <c r="P780" s="154"/>
      <c r="Q780" s="154"/>
      <c r="R780" s="102"/>
      <c r="S780" s="102"/>
      <c r="T780" s="102"/>
      <c r="U780" s="102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01"/>
    </row>
    <row r="781" spans="1:31" s="162" customFormat="1" x14ac:dyDescent="0.25">
      <c r="A781" s="101"/>
      <c r="B781" s="101"/>
      <c r="C781" s="102"/>
      <c r="D781" s="102"/>
      <c r="E781" s="102"/>
      <c r="F781" s="102"/>
      <c r="G781" s="102"/>
      <c r="H781" s="102"/>
      <c r="I781" s="154"/>
      <c r="J781" s="154"/>
      <c r="K781" s="154"/>
      <c r="L781" s="154"/>
      <c r="M781" s="154"/>
      <c r="N781" s="154"/>
      <c r="O781" s="154"/>
      <c r="P781" s="154"/>
      <c r="Q781" s="154"/>
      <c r="R781" s="102"/>
      <c r="S781" s="102"/>
      <c r="T781" s="102"/>
      <c r="U781" s="102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01"/>
    </row>
    <row r="782" spans="1:31" s="162" customFormat="1" x14ac:dyDescent="0.25">
      <c r="A782" s="101"/>
      <c r="B782" s="101"/>
      <c r="C782" s="102"/>
      <c r="D782" s="102"/>
      <c r="E782" s="102"/>
      <c r="F782" s="102"/>
      <c r="G782" s="102"/>
      <c r="H782" s="102"/>
      <c r="I782" s="154"/>
      <c r="J782" s="154"/>
      <c r="K782" s="154"/>
      <c r="L782" s="154"/>
      <c r="M782" s="154"/>
      <c r="N782" s="154"/>
      <c r="O782" s="154"/>
      <c r="P782" s="154"/>
      <c r="Q782" s="154"/>
      <c r="R782" s="102"/>
      <c r="S782" s="102"/>
      <c r="T782" s="102"/>
      <c r="U782" s="102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01"/>
    </row>
    <row r="783" spans="1:31" s="162" customFormat="1" x14ac:dyDescent="0.25">
      <c r="A783" s="101"/>
      <c r="B783" s="101"/>
      <c r="C783" s="102"/>
      <c r="D783" s="102"/>
      <c r="E783" s="102"/>
      <c r="F783" s="102"/>
      <c r="G783" s="102"/>
      <c r="H783" s="102"/>
      <c r="I783" s="154"/>
      <c r="J783" s="154"/>
      <c r="K783" s="154"/>
      <c r="L783" s="154"/>
      <c r="M783" s="154"/>
      <c r="N783" s="154"/>
      <c r="O783" s="154"/>
      <c r="P783" s="154"/>
      <c r="Q783" s="154"/>
      <c r="R783" s="102"/>
      <c r="S783" s="102"/>
      <c r="T783" s="102"/>
      <c r="U783" s="102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01"/>
    </row>
    <row r="784" spans="1:31" s="162" customFormat="1" x14ac:dyDescent="0.25">
      <c r="A784" s="101"/>
      <c r="B784" s="101"/>
      <c r="C784" s="102"/>
      <c r="D784" s="102"/>
      <c r="E784" s="102"/>
      <c r="F784" s="102"/>
      <c r="G784" s="102"/>
      <c r="H784" s="102"/>
      <c r="I784" s="154"/>
      <c r="J784" s="154"/>
      <c r="K784" s="154"/>
      <c r="L784" s="154"/>
      <c r="M784" s="154"/>
      <c r="N784" s="154"/>
      <c r="O784" s="154"/>
      <c r="P784" s="154"/>
      <c r="Q784" s="154"/>
      <c r="R784" s="102"/>
      <c r="S784" s="102"/>
      <c r="T784" s="102"/>
      <c r="U784" s="102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01"/>
    </row>
    <row r="785" spans="1:31" s="162" customFormat="1" x14ac:dyDescent="0.25">
      <c r="A785" s="101"/>
      <c r="B785" s="101"/>
      <c r="C785" s="102"/>
      <c r="D785" s="102"/>
      <c r="E785" s="102"/>
      <c r="F785" s="102"/>
      <c r="G785" s="102"/>
      <c r="H785" s="102"/>
      <c r="I785" s="154"/>
      <c r="J785" s="154"/>
      <c r="K785" s="154"/>
      <c r="L785" s="154"/>
      <c r="M785" s="154"/>
      <c r="N785" s="154"/>
      <c r="O785" s="154"/>
      <c r="P785" s="154"/>
      <c r="Q785" s="154"/>
      <c r="R785" s="102"/>
      <c r="S785" s="102"/>
      <c r="T785" s="102"/>
      <c r="U785" s="102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01"/>
    </row>
    <row r="786" spans="1:31" s="162" customFormat="1" x14ac:dyDescent="0.25">
      <c r="A786" s="101"/>
      <c r="B786" s="101"/>
      <c r="C786" s="102"/>
      <c r="D786" s="102"/>
      <c r="E786" s="102"/>
      <c r="F786" s="102"/>
      <c r="G786" s="102"/>
      <c r="H786" s="102"/>
      <c r="I786" s="154"/>
      <c r="J786" s="154"/>
      <c r="K786" s="154"/>
      <c r="L786" s="154"/>
      <c r="M786" s="154"/>
      <c r="N786" s="154"/>
      <c r="O786" s="154"/>
      <c r="P786" s="154"/>
      <c r="Q786" s="154"/>
      <c r="R786" s="102"/>
      <c r="S786" s="102"/>
      <c r="T786" s="102"/>
      <c r="U786" s="102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01"/>
    </row>
    <row r="787" spans="1:31" s="162" customFormat="1" x14ac:dyDescent="0.25">
      <c r="A787" s="101"/>
      <c r="B787" s="101"/>
      <c r="C787" s="102"/>
      <c r="D787" s="102"/>
      <c r="E787" s="102"/>
      <c r="F787" s="102"/>
      <c r="G787" s="102"/>
      <c r="H787" s="102"/>
      <c r="I787" s="154"/>
      <c r="J787" s="154"/>
      <c r="K787" s="154"/>
      <c r="L787" s="154"/>
      <c r="M787" s="154"/>
      <c r="N787" s="154"/>
      <c r="O787" s="154"/>
      <c r="P787" s="154"/>
      <c r="Q787" s="154"/>
      <c r="R787" s="102"/>
      <c r="S787" s="102"/>
      <c r="T787" s="102"/>
      <c r="U787" s="102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01"/>
    </row>
    <row r="788" spans="1:31" s="162" customFormat="1" x14ac:dyDescent="0.25">
      <c r="A788" s="101"/>
      <c r="B788" s="101"/>
      <c r="C788" s="102"/>
      <c r="D788" s="102"/>
      <c r="E788" s="102"/>
      <c r="F788" s="102"/>
      <c r="G788" s="102"/>
      <c r="H788" s="102"/>
      <c r="I788" s="154"/>
      <c r="J788" s="154"/>
      <c r="K788" s="154"/>
      <c r="L788" s="154"/>
      <c r="M788" s="154"/>
      <c r="N788" s="154"/>
      <c r="O788" s="154"/>
      <c r="P788" s="154"/>
      <c r="Q788" s="154"/>
      <c r="R788" s="102"/>
      <c r="S788" s="102"/>
      <c r="T788" s="102"/>
      <c r="U788" s="102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01"/>
    </row>
    <row r="789" spans="1:31" s="162" customFormat="1" x14ac:dyDescent="0.25">
      <c r="A789" s="101"/>
      <c r="B789" s="101"/>
      <c r="C789" s="102"/>
      <c r="D789" s="102"/>
      <c r="E789" s="102"/>
      <c r="F789" s="102"/>
      <c r="G789" s="102"/>
      <c r="H789" s="102"/>
      <c r="I789" s="154"/>
      <c r="J789" s="154"/>
      <c r="K789" s="154"/>
      <c r="L789" s="154"/>
      <c r="M789" s="154"/>
      <c r="N789" s="154"/>
      <c r="O789" s="154"/>
      <c r="P789" s="154"/>
      <c r="Q789" s="154"/>
      <c r="R789" s="102"/>
      <c r="S789" s="102"/>
      <c r="T789" s="102"/>
      <c r="U789" s="102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01"/>
    </row>
    <row r="790" spans="1:31" s="162" customFormat="1" x14ac:dyDescent="0.25">
      <c r="A790" s="101"/>
      <c r="B790" s="101"/>
      <c r="C790" s="102"/>
      <c r="D790" s="102"/>
      <c r="E790" s="102"/>
      <c r="F790" s="102"/>
      <c r="G790" s="102"/>
      <c r="H790" s="102"/>
      <c r="I790" s="154"/>
      <c r="J790" s="154"/>
      <c r="K790" s="154"/>
      <c r="L790" s="154"/>
      <c r="M790" s="154"/>
      <c r="N790" s="154"/>
      <c r="O790" s="154"/>
      <c r="P790" s="154"/>
      <c r="Q790" s="154"/>
      <c r="R790" s="102"/>
      <c r="S790" s="102"/>
      <c r="T790" s="102"/>
      <c r="U790" s="102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01"/>
    </row>
    <row r="791" spans="1:31" s="162" customFormat="1" x14ac:dyDescent="0.25">
      <c r="A791" s="101"/>
      <c r="B791" s="101"/>
      <c r="C791" s="102"/>
      <c r="D791" s="102"/>
      <c r="E791" s="102"/>
      <c r="F791" s="102"/>
      <c r="G791" s="102"/>
      <c r="H791" s="102"/>
      <c r="I791" s="154"/>
      <c r="J791" s="154"/>
      <c r="K791" s="154"/>
      <c r="L791" s="154"/>
      <c r="M791" s="154"/>
      <c r="N791" s="154"/>
      <c r="O791" s="154"/>
      <c r="P791" s="154"/>
      <c r="Q791" s="154"/>
      <c r="R791" s="102"/>
      <c r="S791" s="102"/>
      <c r="T791" s="102"/>
      <c r="U791" s="102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01"/>
    </row>
    <row r="792" spans="1:31" s="162" customFormat="1" x14ac:dyDescent="0.25">
      <c r="A792" s="101"/>
      <c r="B792" s="101"/>
      <c r="C792" s="102"/>
      <c r="D792" s="102"/>
      <c r="E792" s="102"/>
      <c r="F792" s="102"/>
      <c r="G792" s="102"/>
      <c r="H792" s="102"/>
      <c r="I792" s="154"/>
      <c r="J792" s="154"/>
      <c r="K792" s="154"/>
      <c r="L792" s="154"/>
      <c r="M792" s="154"/>
      <c r="N792" s="154"/>
      <c r="O792" s="154"/>
      <c r="P792" s="154"/>
      <c r="Q792" s="154"/>
      <c r="R792" s="102"/>
      <c r="S792" s="102"/>
      <c r="T792" s="102"/>
      <c r="U792" s="102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01"/>
    </row>
    <row r="793" spans="1:31" s="162" customFormat="1" x14ac:dyDescent="0.25">
      <c r="A793" s="101"/>
      <c r="B793" s="101"/>
      <c r="C793" s="102"/>
      <c r="D793" s="102"/>
      <c r="E793" s="102"/>
      <c r="F793" s="102"/>
      <c r="G793" s="102"/>
      <c r="H793" s="102"/>
      <c r="I793" s="154"/>
      <c r="J793" s="154"/>
      <c r="K793" s="154"/>
      <c r="L793" s="154"/>
      <c r="M793" s="154"/>
      <c r="N793" s="154"/>
      <c r="O793" s="154"/>
      <c r="P793" s="154"/>
      <c r="Q793" s="154"/>
      <c r="R793" s="102"/>
      <c r="S793" s="102"/>
      <c r="T793" s="102"/>
      <c r="U793" s="102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01"/>
    </row>
    <row r="794" spans="1:31" s="162" customFormat="1" x14ac:dyDescent="0.25">
      <c r="A794" s="101"/>
      <c r="B794" s="101"/>
      <c r="C794" s="102"/>
      <c r="D794" s="102"/>
      <c r="E794" s="102"/>
      <c r="F794" s="102"/>
      <c r="G794" s="102"/>
      <c r="H794" s="102"/>
      <c r="I794" s="154"/>
      <c r="J794" s="154"/>
      <c r="K794" s="154"/>
      <c r="L794" s="154"/>
      <c r="M794" s="154"/>
      <c r="N794" s="154"/>
      <c r="O794" s="154"/>
      <c r="P794" s="154"/>
      <c r="Q794" s="154"/>
      <c r="R794" s="102"/>
      <c r="S794" s="102"/>
      <c r="T794" s="102"/>
      <c r="U794" s="102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01"/>
    </row>
    <row r="795" spans="1:31" s="162" customFormat="1" x14ac:dyDescent="0.25">
      <c r="A795" s="101"/>
      <c r="B795" s="101"/>
      <c r="C795" s="102"/>
      <c r="D795" s="102"/>
      <c r="E795" s="102"/>
      <c r="F795" s="102"/>
      <c r="G795" s="102"/>
      <c r="H795" s="102"/>
      <c r="I795" s="154"/>
      <c r="J795" s="154"/>
      <c r="K795" s="154"/>
      <c r="L795" s="154"/>
      <c r="M795" s="154"/>
      <c r="N795" s="154"/>
      <c r="O795" s="154"/>
      <c r="P795" s="154"/>
      <c r="Q795" s="154"/>
      <c r="R795" s="102"/>
      <c r="S795" s="102"/>
      <c r="T795" s="102"/>
      <c r="U795" s="102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01"/>
    </row>
    <row r="796" spans="1:31" s="162" customFormat="1" x14ac:dyDescent="0.25">
      <c r="A796" s="101"/>
      <c r="B796" s="101"/>
      <c r="C796" s="102"/>
      <c r="D796" s="102"/>
      <c r="E796" s="102"/>
      <c r="F796" s="102"/>
      <c r="G796" s="102"/>
      <c r="H796" s="102"/>
      <c r="I796" s="154"/>
      <c r="J796" s="154"/>
      <c r="K796" s="154"/>
      <c r="L796" s="154"/>
      <c r="M796" s="154"/>
      <c r="N796" s="154"/>
      <c r="O796" s="154"/>
      <c r="P796" s="154"/>
      <c r="Q796" s="154"/>
      <c r="R796" s="102"/>
      <c r="S796" s="102"/>
      <c r="T796" s="102"/>
      <c r="U796" s="102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01"/>
    </row>
    <row r="797" spans="1:31" s="162" customFormat="1" x14ac:dyDescent="0.25">
      <c r="A797" s="101"/>
      <c r="B797" s="101"/>
      <c r="C797" s="102"/>
      <c r="D797" s="102"/>
      <c r="E797" s="102"/>
      <c r="F797" s="102"/>
      <c r="G797" s="102"/>
      <c r="H797" s="102"/>
      <c r="I797" s="154"/>
      <c r="J797" s="154"/>
      <c r="K797" s="154"/>
      <c r="L797" s="154"/>
      <c r="M797" s="154"/>
      <c r="N797" s="154"/>
      <c r="O797" s="154"/>
      <c r="P797" s="154"/>
      <c r="Q797" s="154"/>
      <c r="R797" s="102"/>
      <c r="S797" s="102"/>
      <c r="T797" s="102"/>
      <c r="U797" s="102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01"/>
    </row>
    <row r="798" spans="1:31" s="162" customFormat="1" x14ac:dyDescent="0.25">
      <c r="A798" s="101"/>
      <c r="B798" s="101"/>
      <c r="C798" s="102"/>
      <c r="D798" s="102"/>
      <c r="E798" s="102"/>
      <c r="F798" s="102"/>
      <c r="G798" s="102"/>
      <c r="H798" s="102"/>
      <c r="I798" s="154"/>
      <c r="J798" s="154"/>
      <c r="K798" s="154"/>
      <c r="L798" s="154"/>
      <c r="M798" s="154"/>
      <c r="N798" s="154"/>
      <c r="O798" s="154"/>
      <c r="P798" s="154"/>
      <c r="Q798" s="154"/>
      <c r="R798" s="102"/>
      <c r="S798" s="102"/>
      <c r="T798" s="102"/>
      <c r="U798" s="102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01"/>
    </row>
    <row r="799" spans="1:31" s="162" customFormat="1" x14ac:dyDescent="0.25">
      <c r="A799" s="101"/>
      <c r="B799" s="101"/>
      <c r="C799" s="102"/>
      <c r="D799" s="102"/>
      <c r="E799" s="102"/>
      <c r="F799" s="102"/>
      <c r="G799" s="102"/>
      <c r="H799" s="102"/>
      <c r="I799" s="154"/>
      <c r="J799" s="154"/>
      <c r="K799" s="154"/>
      <c r="L799" s="154"/>
      <c r="M799" s="154"/>
      <c r="N799" s="154"/>
      <c r="O799" s="154"/>
      <c r="P799" s="154"/>
      <c r="Q799" s="154"/>
      <c r="R799" s="102"/>
      <c r="S799" s="102"/>
      <c r="T799" s="102"/>
      <c r="U799" s="102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01"/>
    </row>
    <row r="800" spans="1:31" s="162" customFormat="1" x14ac:dyDescent="0.25">
      <c r="A800" s="101"/>
      <c r="B800" s="101"/>
      <c r="C800" s="102"/>
      <c r="D800" s="102"/>
      <c r="E800" s="102"/>
      <c r="F800" s="102"/>
      <c r="G800" s="102"/>
      <c r="H800" s="102"/>
      <c r="I800" s="154"/>
      <c r="J800" s="154"/>
      <c r="K800" s="154"/>
      <c r="L800" s="154"/>
      <c r="M800" s="154"/>
      <c r="N800" s="154"/>
      <c r="O800" s="154"/>
      <c r="P800" s="154"/>
      <c r="Q800" s="154"/>
      <c r="R800" s="102"/>
      <c r="S800" s="102"/>
      <c r="T800" s="102"/>
      <c r="U800" s="102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01"/>
    </row>
    <row r="801" spans="1:31" s="162" customFormat="1" x14ac:dyDescent="0.25">
      <c r="A801" s="101"/>
      <c r="B801" s="101"/>
      <c r="C801" s="102"/>
      <c r="D801" s="102"/>
      <c r="E801" s="102"/>
      <c r="F801" s="102"/>
      <c r="G801" s="102"/>
      <c r="H801" s="102"/>
      <c r="I801" s="154"/>
      <c r="J801" s="154"/>
      <c r="K801" s="154"/>
      <c r="L801" s="154"/>
      <c r="M801" s="154"/>
      <c r="N801" s="154"/>
      <c r="O801" s="154"/>
      <c r="P801" s="154"/>
      <c r="Q801" s="154"/>
      <c r="R801" s="102"/>
      <c r="S801" s="102"/>
      <c r="T801" s="102"/>
      <c r="U801" s="102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01"/>
    </row>
    <row r="802" spans="1:31" s="162" customFormat="1" x14ac:dyDescent="0.25">
      <c r="A802" s="101"/>
      <c r="B802" s="101"/>
      <c r="C802" s="102"/>
      <c r="D802" s="102"/>
      <c r="E802" s="102"/>
      <c r="F802" s="102"/>
      <c r="G802" s="102"/>
      <c r="H802" s="102"/>
      <c r="I802" s="154"/>
      <c r="J802" s="154"/>
      <c r="K802" s="154"/>
      <c r="L802" s="154"/>
      <c r="M802" s="154"/>
      <c r="N802" s="154"/>
      <c r="O802" s="154"/>
      <c r="P802" s="154"/>
      <c r="Q802" s="154"/>
      <c r="R802" s="102"/>
      <c r="S802" s="102"/>
      <c r="T802" s="102"/>
      <c r="U802" s="102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01"/>
    </row>
    <row r="803" spans="1:31" s="162" customFormat="1" x14ac:dyDescent="0.25">
      <c r="A803" s="101"/>
      <c r="B803" s="101"/>
      <c r="C803" s="102"/>
      <c r="D803" s="102"/>
      <c r="E803" s="102"/>
      <c r="F803" s="102"/>
      <c r="G803" s="102"/>
      <c r="H803" s="102"/>
      <c r="I803" s="154"/>
      <c r="J803" s="154"/>
      <c r="K803" s="154"/>
      <c r="L803" s="154"/>
      <c r="M803" s="154"/>
      <c r="N803" s="154"/>
      <c r="O803" s="154"/>
      <c r="P803" s="154"/>
      <c r="Q803" s="154"/>
      <c r="R803" s="102"/>
      <c r="S803" s="102"/>
      <c r="T803" s="102"/>
      <c r="U803" s="102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01"/>
    </row>
    <row r="804" spans="1:31" s="162" customFormat="1" x14ac:dyDescent="0.25">
      <c r="A804" s="101"/>
      <c r="B804" s="101"/>
      <c r="C804" s="102"/>
      <c r="D804" s="102"/>
      <c r="E804" s="102"/>
      <c r="F804" s="102"/>
      <c r="G804" s="102"/>
      <c r="H804" s="102"/>
      <c r="I804" s="154"/>
      <c r="J804" s="154"/>
      <c r="K804" s="154"/>
      <c r="L804" s="154"/>
      <c r="M804" s="154"/>
      <c r="N804" s="154"/>
      <c r="O804" s="154"/>
      <c r="P804" s="154"/>
      <c r="Q804" s="154"/>
      <c r="R804" s="102"/>
      <c r="S804" s="102"/>
      <c r="T804" s="102"/>
      <c r="U804" s="102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01"/>
    </row>
    <row r="805" spans="1:31" s="162" customFormat="1" x14ac:dyDescent="0.25">
      <c r="A805" s="101"/>
      <c r="B805" s="101"/>
      <c r="C805" s="102"/>
      <c r="D805" s="102"/>
      <c r="E805" s="102"/>
      <c r="F805" s="102"/>
      <c r="G805" s="102"/>
      <c r="H805" s="102"/>
      <c r="I805" s="154"/>
      <c r="J805" s="154"/>
      <c r="K805" s="154"/>
      <c r="L805" s="154"/>
      <c r="M805" s="154"/>
      <c r="N805" s="154"/>
      <c r="O805" s="154"/>
      <c r="P805" s="154"/>
      <c r="Q805" s="154"/>
      <c r="R805" s="102"/>
      <c r="S805" s="102"/>
      <c r="T805" s="102"/>
      <c r="U805" s="102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01"/>
    </row>
    <row r="806" spans="1:31" s="162" customFormat="1" x14ac:dyDescent="0.25">
      <c r="A806" s="101"/>
      <c r="B806" s="101"/>
      <c r="C806" s="102"/>
      <c r="D806" s="102"/>
      <c r="E806" s="102"/>
      <c r="F806" s="102"/>
      <c r="G806" s="102"/>
      <c r="H806" s="102"/>
      <c r="I806" s="154"/>
      <c r="J806" s="154"/>
      <c r="K806" s="154"/>
      <c r="L806" s="154"/>
      <c r="M806" s="154"/>
      <c r="N806" s="154"/>
      <c r="O806" s="154"/>
      <c r="P806" s="154"/>
      <c r="Q806" s="154"/>
      <c r="R806" s="102"/>
      <c r="S806" s="102"/>
      <c r="T806" s="102"/>
      <c r="U806" s="102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01"/>
    </row>
    <row r="807" spans="1:31" s="162" customFormat="1" x14ac:dyDescent="0.25">
      <c r="A807" s="101"/>
      <c r="B807" s="101"/>
      <c r="C807" s="102"/>
      <c r="D807" s="102"/>
      <c r="E807" s="102"/>
      <c r="F807" s="102"/>
      <c r="G807" s="102"/>
      <c r="H807" s="102"/>
      <c r="I807" s="154"/>
      <c r="J807" s="154"/>
      <c r="K807" s="154"/>
      <c r="L807" s="154"/>
      <c r="M807" s="154"/>
      <c r="N807" s="154"/>
      <c r="O807" s="154"/>
      <c r="P807" s="154"/>
      <c r="Q807" s="154"/>
      <c r="R807" s="102"/>
      <c r="S807" s="102"/>
      <c r="T807" s="102"/>
      <c r="U807" s="102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01"/>
    </row>
    <row r="808" spans="1:31" s="162" customFormat="1" x14ac:dyDescent="0.25">
      <c r="A808" s="101"/>
      <c r="B808" s="101"/>
      <c r="C808" s="102"/>
      <c r="D808" s="102"/>
      <c r="E808" s="102"/>
      <c r="F808" s="102"/>
      <c r="G808" s="102"/>
      <c r="H808" s="102"/>
      <c r="I808" s="154"/>
      <c r="J808" s="154"/>
      <c r="K808" s="154"/>
      <c r="L808" s="154"/>
      <c r="M808" s="154"/>
      <c r="N808" s="154"/>
      <c r="O808" s="154"/>
      <c r="P808" s="154"/>
      <c r="Q808" s="154"/>
      <c r="R808" s="102"/>
      <c r="S808" s="102"/>
      <c r="T808" s="102"/>
      <c r="U808" s="102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01"/>
    </row>
    <row r="809" spans="1:31" s="162" customFormat="1" x14ac:dyDescent="0.25">
      <c r="A809" s="101"/>
      <c r="B809" s="101"/>
      <c r="C809" s="102"/>
      <c r="D809" s="102"/>
      <c r="E809" s="102"/>
      <c r="F809" s="102"/>
      <c r="G809" s="102"/>
      <c r="H809" s="102"/>
      <c r="I809" s="154"/>
      <c r="J809" s="154"/>
      <c r="K809" s="154"/>
      <c r="L809" s="154"/>
      <c r="M809" s="154"/>
      <c r="N809" s="154"/>
      <c r="O809" s="154"/>
      <c r="P809" s="154"/>
      <c r="Q809" s="154"/>
      <c r="R809" s="102"/>
      <c r="S809" s="102"/>
      <c r="T809" s="102"/>
      <c r="U809" s="102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01"/>
    </row>
    <row r="810" spans="1:31" s="162" customFormat="1" x14ac:dyDescent="0.25">
      <c r="A810" s="101"/>
      <c r="B810" s="101"/>
      <c r="C810" s="102"/>
      <c r="D810" s="102"/>
      <c r="E810" s="102"/>
      <c r="F810" s="102"/>
      <c r="G810" s="102"/>
      <c r="H810" s="102"/>
      <c r="I810" s="154"/>
      <c r="J810" s="154"/>
      <c r="K810" s="154"/>
      <c r="L810" s="154"/>
      <c r="M810" s="154"/>
      <c r="N810" s="154"/>
      <c r="O810" s="154"/>
      <c r="P810" s="154"/>
      <c r="Q810" s="154"/>
      <c r="R810" s="102"/>
      <c r="S810" s="102"/>
      <c r="T810" s="102"/>
      <c r="U810" s="102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01"/>
    </row>
    <row r="811" spans="1:31" s="162" customFormat="1" x14ac:dyDescent="0.25">
      <c r="A811" s="101"/>
      <c r="B811" s="101"/>
      <c r="C811" s="102"/>
      <c r="D811" s="102"/>
      <c r="E811" s="102"/>
      <c r="F811" s="102"/>
      <c r="G811" s="102"/>
      <c r="H811" s="102"/>
      <c r="I811" s="154"/>
      <c r="J811" s="154"/>
      <c r="K811" s="154"/>
      <c r="L811" s="154"/>
      <c r="M811" s="154"/>
      <c r="N811" s="154"/>
      <c r="O811" s="154"/>
      <c r="P811" s="154"/>
      <c r="Q811" s="154"/>
      <c r="R811" s="102"/>
      <c r="S811" s="102"/>
      <c r="T811" s="102"/>
      <c r="U811" s="102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01"/>
    </row>
    <row r="812" spans="1:31" s="162" customFormat="1" x14ac:dyDescent="0.25">
      <c r="A812" s="101"/>
      <c r="B812" s="101"/>
      <c r="C812" s="102"/>
      <c r="D812" s="102"/>
      <c r="E812" s="102"/>
      <c r="F812" s="102"/>
      <c r="G812" s="102"/>
      <c r="H812" s="102"/>
      <c r="I812" s="154"/>
      <c r="J812" s="154"/>
      <c r="K812" s="154"/>
      <c r="L812" s="154"/>
      <c r="M812" s="154"/>
      <c r="N812" s="154"/>
      <c r="O812" s="154"/>
      <c r="P812" s="154"/>
      <c r="Q812" s="154"/>
      <c r="R812" s="102"/>
      <c r="S812" s="102"/>
      <c r="T812" s="102"/>
      <c r="U812" s="102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01"/>
    </row>
    <row r="813" spans="1:31" s="162" customFormat="1" x14ac:dyDescent="0.25">
      <c r="A813" s="101"/>
      <c r="B813" s="101"/>
      <c r="C813" s="102"/>
      <c r="D813" s="102"/>
      <c r="E813" s="102"/>
      <c r="F813" s="102"/>
      <c r="G813" s="102"/>
      <c r="H813" s="102"/>
      <c r="I813" s="154"/>
      <c r="J813" s="154"/>
      <c r="K813" s="154"/>
      <c r="L813" s="154"/>
      <c r="M813" s="154"/>
      <c r="N813" s="154"/>
      <c r="O813" s="154"/>
      <c r="P813" s="154"/>
      <c r="Q813" s="154"/>
      <c r="R813" s="102"/>
      <c r="S813" s="102"/>
      <c r="T813" s="102"/>
      <c r="U813" s="102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01"/>
    </row>
    <row r="814" spans="1:31" s="162" customFormat="1" x14ac:dyDescent="0.25">
      <c r="A814" s="101"/>
      <c r="B814" s="101"/>
      <c r="C814" s="102"/>
      <c r="D814" s="102"/>
      <c r="E814" s="102"/>
      <c r="F814" s="102"/>
      <c r="G814" s="102"/>
      <c r="H814" s="102"/>
      <c r="I814" s="154"/>
      <c r="J814" s="154"/>
      <c r="K814" s="154"/>
      <c r="L814" s="154"/>
      <c r="M814" s="154"/>
      <c r="N814" s="154"/>
      <c r="O814" s="154"/>
      <c r="P814" s="154"/>
      <c r="Q814" s="154"/>
      <c r="R814" s="102"/>
      <c r="S814" s="102"/>
      <c r="T814" s="102"/>
      <c r="U814" s="102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01"/>
    </row>
    <row r="815" spans="1:31" s="162" customFormat="1" x14ac:dyDescent="0.25">
      <c r="A815" s="101"/>
      <c r="B815" s="101"/>
      <c r="C815" s="102"/>
      <c r="D815" s="102"/>
      <c r="E815" s="102"/>
      <c r="F815" s="102"/>
      <c r="G815" s="102"/>
      <c r="H815" s="102"/>
      <c r="I815" s="154"/>
      <c r="J815" s="154"/>
      <c r="K815" s="154"/>
      <c r="L815" s="154"/>
      <c r="M815" s="154"/>
      <c r="N815" s="154"/>
      <c r="O815" s="154"/>
      <c r="P815" s="154"/>
      <c r="Q815" s="154"/>
      <c r="R815" s="102"/>
      <c r="S815" s="102"/>
      <c r="T815" s="102"/>
      <c r="U815" s="102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01"/>
    </row>
    <row r="816" spans="1:31" s="162" customFormat="1" x14ac:dyDescent="0.25">
      <c r="A816" s="101"/>
      <c r="B816" s="101"/>
      <c r="C816" s="102"/>
      <c r="D816" s="102"/>
      <c r="E816" s="102"/>
      <c r="F816" s="102"/>
      <c r="G816" s="102"/>
      <c r="H816" s="102"/>
      <c r="I816" s="154"/>
      <c r="J816" s="154"/>
      <c r="K816" s="154"/>
      <c r="L816" s="154"/>
      <c r="M816" s="154"/>
      <c r="N816" s="154"/>
      <c r="O816" s="154"/>
      <c r="P816" s="154"/>
      <c r="Q816" s="154"/>
      <c r="R816" s="102"/>
      <c r="S816" s="102"/>
      <c r="T816" s="102"/>
      <c r="U816" s="102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01"/>
    </row>
    <row r="817" spans="1:31" s="162" customFormat="1" x14ac:dyDescent="0.25">
      <c r="A817" s="101"/>
      <c r="B817" s="101"/>
      <c r="C817" s="102"/>
      <c r="D817" s="102"/>
      <c r="E817" s="102"/>
      <c r="F817" s="102"/>
      <c r="G817" s="102"/>
      <c r="H817" s="102"/>
      <c r="I817" s="154"/>
      <c r="J817" s="154"/>
      <c r="K817" s="154"/>
      <c r="L817" s="154"/>
      <c r="M817" s="154"/>
      <c r="N817" s="154"/>
      <c r="O817" s="154"/>
      <c r="P817" s="154"/>
      <c r="Q817" s="154"/>
      <c r="R817" s="102"/>
      <c r="S817" s="102"/>
      <c r="T817" s="102"/>
      <c r="U817" s="102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01"/>
    </row>
    <row r="818" spans="1:31" s="162" customFormat="1" x14ac:dyDescent="0.25">
      <c r="A818" s="101"/>
      <c r="B818" s="101"/>
      <c r="C818" s="102"/>
      <c r="D818" s="102"/>
      <c r="E818" s="102"/>
      <c r="F818" s="102"/>
      <c r="G818" s="102"/>
      <c r="H818" s="102"/>
      <c r="I818" s="154"/>
      <c r="J818" s="154"/>
      <c r="K818" s="154"/>
      <c r="L818" s="154"/>
      <c r="M818" s="154"/>
      <c r="N818" s="154"/>
      <c r="O818" s="154"/>
      <c r="P818" s="154"/>
      <c r="Q818" s="154"/>
      <c r="R818" s="102"/>
      <c r="S818" s="102"/>
      <c r="T818" s="102"/>
      <c r="U818" s="102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01"/>
    </row>
    <row r="819" spans="1:31" s="162" customFormat="1" x14ac:dyDescent="0.25">
      <c r="A819" s="101"/>
      <c r="B819" s="101"/>
      <c r="C819" s="102"/>
      <c r="D819" s="102"/>
      <c r="E819" s="102"/>
      <c r="F819" s="102"/>
      <c r="G819" s="102"/>
      <c r="H819" s="102"/>
      <c r="I819" s="154"/>
      <c r="J819" s="154"/>
      <c r="K819" s="154"/>
      <c r="L819" s="154"/>
      <c r="M819" s="154"/>
      <c r="N819" s="154"/>
      <c r="O819" s="154"/>
      <c r="P819" s="154"/>
      <c r="Q819" s="154"/>
      <c r="R819" s="102"/>
      <c r="S819" s="102"/>
      <c r="T819" s="102"/>
      <c r="U819" s="102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01"/>
    </row>
    <row r="820" spans="1:31" s="162" customFormat="1" x14ac:dyDescent="0.25">
      <c r="A820" s="101"/>
      <c r="B820" s="101"/>
      <c r="C820" s="102"/>
      <c r="D820" s="102"/>
      <c r="E820" s="102"/>
      <c r="F820" s="102"/>
      <c r="G820" s="102"/>
      <c r="H820" s="102"/>
      <c r="I820" s="154"/>
      <c r="J820" s="154"/>
      <c r="K820" s="154"/>
      <c r="L820" s="154"/>
      <c r="M820" s="154"/>
      <c r="N820" s="154"/>
      <c r="O820" s="154"/>
      <c r="P820" s="154"/>
      <c r="Q820" s="154"/>
      <c r="R820" s="102"/>
      <c r="S820" s="102"/>
      <c r="T820" s="102"/>
      <c r="U820" s="102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01"/>
    </row>
    <row r="821" spans="1:31" s="162" customFormat="1" x14ac:dyDescent="0.25">
      <c r="A821" s="101"/>
      <c r="B821" s="101"/>
      <c r="C821" s="102"/>
      <c r="D821" s="102"/>
      <c r="E821" s="102"/>
      <c r="F821" s="102"/>
      <c r="G821" s="102"/>
      <c r="H821" s="102"/>
      <c r="I821" s="154"/>
      <c r="J821" s="154"/>
      <c r="K821" s="154"/>
      <c r="L821" s="154"/>
      <c r="M821" s="154"/>
      <c r="N821" s="154"/>
      <c r="O821" s="154"/>
      <c r="P821" s="154"/>
      <c r="Q821" s="154"/>
      <c r="R821" s="102"/>
      <c r="S821" s="102"/>
      <c r="T821" s="102"/>
      <c r="U821" s="102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01"/>
    </row>
    <row r="822" spans="1:31" s="162" customFormat="1" x14ac:dyDescent="0.25">
      <c r="A822" s="101"/>
      <c r="B822" s="101"/>
      <c r="C822" s="102"/>
      <c r="D822" s="102"/>
      <c r="E822" s="102"/>
      <c r="F822" s="102"/>
      <c r="G822" s="102"/>
      <c r="H822" s="102"/>
      <c r="I822" s="154"/>
      <c r="J822" s="154"/>
      <c r="K822" s="154"/>
      <c r="L822" s="154"/>
      <c r="M822" s="154"/>
      <c r="N822" s="154"/>
      <c r="O822" s="154"/>
      <c r="P822" s="154"/>
      <c r="Q822" s="154"/>
      <c r="R822" s="102"/>
      <c r="S822" s="102"/>
      <c r="T822" s="102"/>
      <c r="U822" s="102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01"/>
    </row>
    <row r="823" spans="1:31" s="162" customFormat="1" x14ac:dyDescent="0.25">
      <c r="A823" s="101"/>
      <c r="B823" s="101"/>
      <c r="C823" s="102"/>
      <c r="D823" s="102"/>
      <c r="E823" s="102"/>
      <c r="F823" s="102"/>
      <c r="G823" s="102"/>
      <c r="H823" s="102"/>
      <c r="I823" s="154"/>
      <c r="J823" s="154"/>
      <c r="K823" s="154"/>
      <c r="L823" s="154"/>
      <c r="M823" s="154"/>
      <c r="N823" s="154"/>
      <c r="O823" s="154"/>
      <c r="P823" s="154"/>
      <c r="Q823" s="154"/>
      <c r="R823" s="102"/>
      <c r="S823" s="102"/>
      <c r="T823" s="102"/>
      <c r="U823" s="102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01"/>
    </row>
    <row r="824" spans="1:31" s="162" customFormat="1" x14ac:dyDescent="0.25">
      <c r="A824" s="101"/>
      <c r="B824" s="101"/>
      <c r="C824" s="102"/>
      <c r="D824" s="102"/>
      <c r="E824" s="102"/>
      <c r="F824" s="102"/>
      <c r="G824" s="102"/>
      <c r="H824" s="102"/>
      <c r="I824" s="154"/>
      <c r="J824" s="154"/>
      <c r="K824" s="154"/>
      <c r="L824" s="154"/>
      <c r="M824" s="154"/>
      <c r="N824" s="154"/>
      <c r="O824" s="154"/>
      <c r="P824" s="154"/>
      <c r="Q824" s="154"/>
      <c r="R824" s="102"/>
      <c r="S824" s="102"/>
      <c r="T824" s="102"/>
      <c r="U824" s="102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01"/>
    </row>
    <row r="825" spans="1:31" s="162" customFormat="1" x14ac:dyDescent="0.25">
      <c r="A825" s="101"/>
      <c r="B825" s="101"/>
      <c r="C825" s="102"/>
      <c r="D825" s="102"/>
      <c r="E825" s="102"/>
      <c r="F825" s="102"/>
      <c r="G825" s="102"/>
      <c r="H825" s="102"/>
      <c r="I825" s="154"/>
      <c r="J825" s="154"/>
      <c r="K825" s="154"/>
      <c r="L825" s="154"/>
      <c r="M825" s="154"/>
      <c r="N825" s="154"/>
      <c r="O825" s="154"/>
      <c r="P825" s="154"/>
      <c r="Q825" s="154"/>
      <c r="R825" s="102"/>
      <c r="S825" s="102"/>
      <c r="T825" s="102"/>
      <c r="U825" s="102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01"/>
    </row>
    <row r="826" spans="1:31" s="162" customFormat="1" x14ac:dyDescent="0.25">
      <c r="A826" s="101"/>
      <c r="B826" s="101"/>
      <c r="C826" s="102"/>
      <c r="D826" s="102"/>
      <c r="E826" s="102"/>
      <c r="F826" s="102"/>
      <c r="G826" s="102"/>
      <c r="H826" s="102"/>
      <c r="I826" s="154"/>
      <c r="J826" s="154"/>
      <c r="K826" s="154"/>
      <c r="L826" s="154"/>
      <c r="M826" s="154"/>
      <c r="N826" s="154"/>
      <c r="O826" s="154"/>
      <c r="P826" s="154"/>
      <c r="Q826" s="154"/>
      <c r="R826" s="102"/>
      <c r="S826" s="102"/>
      <c r="T826" s="102"/>
      <c r="U826" s="102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01"/>
    </row>
    <row r="827" spans="1:31" s="162" customFormat="1" x14ac:dyDescent="0.25">
      <c r="A827" s="101"/>
      <c r="B827" s="101"/>
      <c r="C827" s="102"/>
      <c r="D827" s="102"/>
      <c r="E827" s="102"/>
      <c r="F827" s="102"/>
      <c r="G827" s="102"/>
      <c r="H827" s="102"/>
      <c r="I827" s="154"/>
      <c r="J827" s="154"/>
      <c r="K827" s="154"/>
      <c r="L827" s="154"/>
      <c r="M827" s="154"/>
      <c r="N827" s="154"/>
      <c r="O827" s="154"/>
      <c r="P827" s="154"/>
      <c r="Q827" s="154"/>
      <c r="R827" s="102"/>
      <c r="S827" s="102"/>
      <c r="T827" s="102"/>
      <c r="U827" s="102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01"/>
    </row>
    <row r="828" spans="1:31" s="162" customFormat="1" x14ac:dyDescent="0.25">
      <c r="A828" s="101"/>
      <c r="B828" s="101"/>
      <c r="C828" s="102"/>
      <c r="D828" s="102"/>
      <c r="E828" s="102"/>
      <c r="F828" s="102"/>
      <c r="G828" s="102"/>
      <c r="H828" s="102"/>
      <c r="I828" s="154"/>
      <c r="J828" s="154"/>
      <c r="K828" s="154"/>
      <c r="L828" s="154"/>
      <c r="M828" s="154"/>
      <c r="N828" s="154"/>
      <c r="O828" s="154"/>
      <c r="P828" s="154"/>
      <c r="Q828" s="154"/>
      <c r="R828" s="102"/>
      <c r="S828" s="102"/>
      <c r="T828" s="102"/>
      <c r="U828" s="102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01"/>
    </row>
    <row r="829" spans="1:31" s="162" customFormat="1" x14ac:dyDescent="0.25">
      <c r="A829" s="101"/>
      <c r="B829" s="101"/>
      <c r="C829" s="102"/>
      <c r="D829" s="102"/>
      <c r="E829" s="102"/>
      <c r="F829" s="102"/>
      <c r="G829" s="102"/>
      <c r="H829" s="102"/>
      <c r="I829" s="154"/>
      <c r="J829" s="154"/>
      <c r="K829" s="154"/>
      <c r="L829" s="154"/>
      <c r="M829" s="154"/>
      <c r="N829" s="154"/>
      <c r="O829" s="154"/>
      <c r="P829" s="154"/>
      <c r="Q829" s="154"/>
      <c r="R829" s="102"/>
      <c r="S829" s="102"/>
      <c r="T829" s="102"/>
      <c r="U829" s="102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01"/>
    </row>
    <row r="830" spans="1:31" s="162" customFormat="1" x14ac:dyDescent="0.25">
      <c r="A830" s="101"/>
      <c r="B830" s="101"/>
      <c r="C830" s="102"/>
      <c r="D830" s="102"/>
      <c r="E830" s="102"/>
      <c r="F830" s="102"/>
      <c r="G830" s="102"/>
      <c r="H830" s="102"/>
      <c r="I830" s="154"/>
      <c r="J830" s="154"/>
      <c r="K830" s="154"/>
      <c r="L830" s="154"/>
      <c r="M830" s="154"/>
      <c r="N830" s="154"/>
      <c r="O830" s="154"/>
      <c r="P830" s="154"/>
      <c r="Q830" s="154"/>
      <c r="R830" s="102"/>
      <c r="S830" s="102"/>
      <c r="T830" s="102"/>
      <c r="U830" s="102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01"/>
    </row>
    <row r="831" spans="1:31" s="162" customFormat="1" x14ac:dyDescent="0.25">
      <c r="A831" s="101"/>
      <c r="B831" s="101"/>
      <c r="C831" s="102"/>
      <c r="D831" s="102"/>
      <c r="E831" s="102"/>
      <c r="F831" s="102"/>
      <c r="G831" s="102"/>
      <c r="H831" s="102"/>
      <c r="I831" s="154"/>
      <c r="J831" s="154"/>
      <c r="K831" s="154"/>
      <c r="L831" s="154"/>
      <c r="M831" s="154"/>
      <c r="N831" s="154"/>
      <c r="O831" s="154"/>
      <c r="P831" s="154"/>
      <c r="Q831" s="154"/>
      <c r="R831" s="102"/>
      <c r="S831" s="102"/>
      <c r="T831" s="102"/>
      <c r="U831" s="102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01"/>
    </row>
    <row r="832" spans="1:31" s="162" customFormat="1" x14ac:dyDescent="0.25">
      <c r="A832" s="101"/>
      <c r="B832" s="101"/>
      <c r="C832" s="102"/>
      <c r="D832" s="102"/>
      <c r="E832" s="102"/>
      <c r="F832" s="102"/>
      <c r="G832" s="102"/>
      <c r="H832" s="102"/>
      <c r="I832" s="154"/>
      <c r="J832" s="154"/>
      <c r="K832" s="154"/>
      <c r="L832" s="154"/>
      <c r="M832" s="154"/>
      <c r="N832" s="154"/>
      <c r="O832" s="154"/>
      <c r="P832" s="154"/>
      <c r="Q832" s="154"/>
      <c r="R832" s="102"/>
      <c r="S832" s="102"/>
      <c r="T832" s="102"/>
      <c r="U832" s="102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01"/>
    </row>
    <row r="833" spans="1:31" s="162" customFormat="1" x14ac:dyDescent="0.25">
      <c r="A833" s="101"/>
      <c r="B833" s="101"/>
      <c r="C833" s="102"/>
      <c r="D833" s="102"/>
      <c r="E833" s="102"/>
      <c r="F833" s="102"/>
      <c r="G833" s="102"/>
      <c r="H833" s="102"/>
      <c r="I833" s="154"/>
      <c r="J833" s="154"/>
      <c r="K833" s="154"/>
      <c r="L833" s="154"/>
      <c r="M833" s="154"/>
      <c r="N833" s="154"/>
      <c r="O833" s="154"/>
      <c r="P833" s="154"/>
      <c r="Q833" s="154"/>
      <c r="R833" s="102"/>
      <c r="S833" s="102"/>
      <c r="T833" s="102"/>
      <c r="U833" s="102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01"/>
    </row>
    <row r="834" spans="1:31" s="162" customFormat="1" x14ac:dyDescent="0.25">
      <c r="A834" s="101"/>
      <c r="B834" s="101"/>
      <c r="C834" s="102"/>
      <c r="D834" s="102"/>
      <c r="E834" s="102"/>
      <c r="F834" s="102"/>
      <c r="G834" s="102"/>
      <c r="H834" s="102"/>
      <c r="I834" s="154"/>
      <c r="J834" s="154"/>
      <c r="K834" s="154"/>
      <c r="L834" s="154"/>
      <c r="M834" s="154"/>
      <c r="N834" s="154"/>
      <c r="O834" s="154"/>
      <c r="P834" s="154"/>
      <c r="Q834" s="154"/>
      <c r="R834" s="102"/>
      <c r="S834" s="102"/>
      <c r="T834" s="102"/>
      <c r="U834" s="102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01"/>
    </row>
    <row r="835" spans="1:31" s="162" customFormat="1" x14ac:dyDescent="0.25">
      <c r="A835" s="101"/>
      <c r="B835" s="101"/>
      <c r="C835" s="102"/>
      <c r="D835" s="102"/>
      <c r="E835" s="102"/>
      <c r="F835" s="102"/>
      <c r="G835" s="102"/>
      <c r="H835" s="102"/>
      <c r="I835" s="154"/>
      <c r="J835" s="154"/>
      <c r="K835" s="154"/>
      <c r="L835" s="154"/>
      <c r="M835" s="154"/>
      <c r="N835" s="154"/>
      <c r="O835" s="154"/>
      <c r="P835" s="154"/>
      <c r="Q835" s="154"/>
      <c r="R835" s="102"/>
      <c r="S835" s="102"/>
      <c r="T835" s="102"/>
      <c r="U835" s="102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01"/>
    </row>
    <row r="836" spans="1:31" s="162" customFormat="1" x14ac:dyDescent="0.25">
      <c r="A836" s="101"/>
      <c r="B836" s="101"/>
      <c r="C836" s="102"/>
      <c r="D836" s="102"/>
      <c r="E836" s="102"/>
      <c r="F836" s="102"/>
      <c r="G836" s="102"/>
      <c r="H836" s="102"/>
      <c r="I836" s="154"/>
      <c r="J836" s="154"/>
      <c r="K836" s="154"/>
      <c r="L836" s="154"/>
      <c r="M836" s="154"/>
      <c r="N836" s="154"/>
      <c r="O836" s="154"/>
      <c r="P836" s="154"/>
      <c r="Q836" s="154"/>
      <c r="R836" s="102"/>
      <c r="S836" s="102"/>
      <c r="T836" s="102"/>
      <c r="U836" s="102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01"/>
    </row>
    <row r="837" spans="1:31" s="162" customFormat="1" x14ac:dyDescent="0.25">
      <c r="A837" s="101"/>
      <c r="B837" s="101"/>
      <c r="C837" s="102"/>
      <c r="D837" s="102"/>
      <c r="E837" s="102"/>
      <c r="F837" s="102"/>
      <c r="G837" s="102"/>
      <c r="H837" s="102"/>
      <c r="I837" s="154"/>
      <c r="J837" s="154"/>
      <c r="K837" s="154"/>
      <c r="L837" s="154"/>
      <c r="M837" s="154"/>
      <c r="N837" s="154"/>
      <c r="O837" s="154"/>
      <c r="P837" s="154"/>
      <c r="Q837" s="154"/>
      <c r="R837" s="102"/>
      <c r="S837" s="102"/>
      <c r="T837" s="102"/>
      <c r="U837" s="102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01"/>
    </row>
    <row r="838" spans="1:31" s="162" customFormat="1" x14ac:dyDescent="0.25">
      <c r="A838" s="101"/>
      <c r="B838" s="101"/>
      <c r="C838" s="102"/>
      <c r="D838" s="102"/>
      <c r="E838" s="102"/>
      <c r="F838" s="102"/>
      <c r="G838" s="102"/>
      <c r="H838" s="102"/>
      <c r="I838" s="154"/>
      <c r="J838" s="154"/>
      <c r="K838" s="154"/>
      <c r="L838" s="154"/>
      <c r="M838" s="154"/>
      <c r="N838" s="154"/>
      <c r="O838" s="154"/>
      <c r="P838" s="154"/>
      <c r="Q838" s="154"/>
      <c r="R838" s="102"/>
      <c r="S838" s="102"/>
      <c r="T838" s="102"/>
      <c r="U838" s="102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01"/>
    </row>
    <row r="839" spans="1:31" s="162" customFormat="1" x14ac:dyDescent="0.25">
      <c r="A839" s="101"/>
      <c r="B839" s="101"/>
      <c r="C839" s="102"/>
      <c r="D839" s="102"/>
      <c r="E839" s="102"/>
      <c r="F839" s="102"/>
      <c r="G839" s="102"/>
      <c r="H839" s="102"/>
      <c r="I839" s="154"/>
      <c r="J839" s="154"/>
      <c r="K839" s="154"/>
      <c r="L839" s="154"/>
      <c r="M839" s="154"/>
      <c r="N839" s="154"/>
      <c r="O839" s="154"/>
      <c r="P839" s="154"/>
      <c r="Q839" s="154"/>
      <c r="R839" s="102"/>
      <c r="S839" s="102"/>
      <c r="T839" s="102"/>
      <c r="U839" s="102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01"/>
    </row>
    <row r="840" spans="1:31" s="162" customFormat="1" x14ac:dyDescent="0.25">
      <c r="A840" s="101"/>
      <c r="B840" s="101"/>
      <c r="C840" s="102"/>
      <c r="D840" s="102"/>
      <c r="E840" s="102"/>
      <c r="F840" s="102"/>
      <c r="G840" s="102"/>
      <c r="H840" s="102"/>
      <c r="I840" s="154"/>
      <c r="J840" s="154"/>
      <c r="K840" s="154"/>
      <c r="L840" s="154"/>
      <c r="M840" s="154"/>
      <c r="N840" s="154"/>
      <c r="O840" s="154"/>
      <c r="P840" s="154"/>
      <c r="Q840" s="154"/>
      <c r="R840" s="102"/>
      <c r="S840" s="102"/>
      <c r="T840" s="102"/>
      <c r="U840" s="102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01"/>
    </row>
    <row r="841" spans="1:31" s="162" customFormat="1" x14ac:dyDescent="0.25">
      <c r="A841" s="101"/>
      <c r="B841" s="101"/>
      <c r="C841" s="102"/>
      <c r="D841" s="102"/>
      <c r="E841" s="102"/>
      <c r="F841" s="102"/>
      <c r="G841" s="102"/>
      <c r="H841" s="102"/>
      <c r="I841" s="154"/>
      <c r="J841" s="154"/>
      <c r="K841" s="154"/>
      <c r="L841" s="154"/>
      <c r="M841" s="154"/>
      <c r="N841" s="154"/>
      <c r="O841" s="154"/>
      <c r="P841" s="154"/>
      <c r="Q841" s="154"/>
      <c r="R841" s="102"/>
      <c r="S841" s="102"/>
      <c r="T841" s="102"/>
      <c r="U841" s="102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01"/>
    </row>
    <row r="842" spans="1:31" s="162" customFormat="1" x14ac:dyDescent="0.25">
      <c r="A842" s="101"/>
      <c r="B842" s="101"/>
      <c r="C842" s="102"/>
      <c r="D842" s="102"/>
      <c r="E842" s="102"/>
      <c r="F842" s="102"/>
      <c r="G842" s="102"/>
      <c r="H842" s="102"/>
      <c r="I842" s="154"/>
      <c r="J842" s="154"/>
      <c r="K842" s="154"/>
      <c r="L842" s="154"/>
      <c r="M842" s="154"/>
      <c r="N842" s="154"/>
      <c r="O842" s="154"/>
      <c r="P842" s="154"/>
      <c r="Q842" s="154"/>
      <c r="R842" s="102"/>
      <c r="S842" s="102"/>
      <c r="T842" s="102"/>
      <c r="U842" s="102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01"/>
    </row>
    <row r="843" spans="1:31" s="162" customFormat="1" x14ac:dyDescent="0.25">
      <c r="A843" s="101"/>
      <c r="B843" s="101"/>
      <c r="C843" s="102"/>
      <c r="D843" s="102"/>
      <c r="E843" s="102"/>
      <c r="F843" s="102"/>
      <c r="G843" s="102"/>
      <c r="H843" s="102"/>
      <c r="I843" s="154"/>
      <c r="J843" s="154"/>
      <c r="K843" s="154"/>
      <c r="L843" s="154"/>
      <c r="M843" s="154"/>
      <c r="N843" s="154"/>
      <c r="O843" s="154"/>
      <c r="P843" s="154"/>
      <c r="Q843" s="154"/>
      <c r="R843" s="102"/>
      <c r="S843" s="102"/>
      <c r="T843" s="102"/>
      <c r="U843" s="102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01"/>
    </row>
    <row r="844" spans="1:31" s="162" customFormat="1" x14ac:dyDescent="0.25">
      <c r="A844" s="101"/>
      <c r="B844" s="101"/>
      <c r="C844" s="102"/>
      <c r="D844" s="102"/>
      <c r="E844" s="102"/>
      <c r="F844" s="102"/>
      <c r="G844" s="102"/>
      <c r="H844" s="102"/>
      <c r="I844" s="154"/>
      <c r="J844" s="154"/>
      <c r="K844" s="154"/>
      <c r="L844" s="154"/>
      <c r="M844" s="154"/>
      <c r="N844" s="154"/>
      <c r="O844" s="154"/>
      <c r="P844" s="154"/>
      <c r="Q844" s="154"/>
      <c r="R844" s="102"/>
      <c r="S844" s="102"/>
      <c r="T844" s="102"/>
      <c r="U844" s="102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01"/>
    </row>
    <row r="845" spans="1:31" s="162" customFormat="1" x14ac:dyDescent="0.25">
      <c r="A845" s="101"/>
      <c r="B845" s="101"/>
      <c r="C845" s="102"/>
      <c r="D845" s="102"/>
      <c r="E845" s="102"/>
      <c r="F845" s="102"/>
      <c r="G845" s="102"/>
      <c r="H845" s="102"/>
      <c r="I845" s="154"/>
      <c r="J845" s="154"/>
      <c r="K845" s="154"/>
      <c r="L845" s="154"/>
      <c r="M845" s="154"/>
      <c r="N845" s="154"/>
      <c r="O845" s="154"/>
      <c r="P845" s="154"/>
      <c r="Q845" s="154"/>
      <c r="R845" s="102"/>
      <c r="S845" s="102"/>
      <c r="T845" s="102"/>
      <c r="U845" s="102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01"/>
    </row>
    <row r="846" spans="1:31" s="162" customFormat="1" x14ac:dyDescent="0.25">
      <c r="A846" s="101"/>
      <c r="B846" s="101"/>
      <c r="C846" s="102"/>
      <c r="D846" s="102"/>
      <c r="E846" s="102"/>
      <c r="F846" s="102"/>
      <c r="G846" s="102"/>
      <c r="H846" s="102"/>
      <c r="I846" s="154"/>
      <c r="J846" s="154"/>
      <c r="K846" s="154"/>
      <c r="L846" s="154"/>
      <c r="M846" s="154"/>
      <c r="N846" s="154"/>
      <c r="O846" s="154"/>
      <c r="P846" s="154"/>
      <c r="Q846" s="154"/>
      <c r="R846" s="102"/>
      <c r="S846" s="102"/>
      <c r="T846" s="102"/>
      <c r="U846" s="102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01"/>
    </row>
    <row r="847" spans="1:31" s="162" customFormat="1" x14ac:dyDescent="0.25">
      <c r="A847" s="101"/>
      <c r="B847" s="101"/>
      <c r="C847" s="102"/>
      <c r="D847" s="102"/>
      <c r="E847" s="102"/>
      <c r="F847" s="102"/>
      <c r="G847" s="102"/>
      <c r="H847" s="102"/>
      <c r="I847" s="154"/>
      <c r="J847" s="154"/>
      <c r="K847" s="154"/>
      <c r="L847" s="154"/>
      <c r="M847" s="154"/>
      <c r="N847" s="154"/>
      <c r="O847" s="154"/>
      <c r="P847" s="154"/>
      <c r="Q847" s="154"/>
      <c r="R847" s="102"/>
      <c r="S847" s="102"/>
      <c r="T847" s="102"/>
      <c r="U847" s="102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01"/>
    </row>
    <row r="848" spans="1:31" s="162" customFormat="1" x14ac:dyDescent="0.25">
      <c r="A848" s="101"/>
      <c r="B848" s="101"/>
      <c r="C848" s="102"/>
      <c r="D848" s="102"/>
      <c r="E848" s="102"/>
      <c r="F848" s="102"/>
      <c r="G848" s="102"/>
      <c r="H848" s="102"/>
      <c r="I848" s="154"/>
      <c r="J848" s="154"/>
      <c r="K848" s="154"/>
      <c r="L848" s="154"/>
      <c r="M848" s="154"/>
      <c r="N848" s="154"/>
      <c r="O848" s="154"/>
      <c r="P848" s="154"/>
      <c r="Q848" s="154"/>
      <c r="R848" s="102"/>
      <c r="S848" s="102"/>
      <c r="T848" s="102"/>
      <c r="U848" s="102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01"/>
    </row>
    <row r="849" spans="1:31" s="162" customFormat="1" x14ac:dyDescent="0.25">
      <c r="A849" s="101"/>
      <c r="B849" s="101"/>
      <c r="C849" s="102"/>
      <c r="D849" s="102"/>
      <c r="E849" s="102"/>
      <c r="F849" s="102"/>
      <c r="G849" s="102"/>
      <c r="H849" s="102"/>
      <c r="I849" s="154"/>
      <c r="J849" s="154"/>
      <c r="K849" s="154"/>
      <c r="L849" s="154"/>
      <c r="M849" s="154"/>
      <c r="N849" s="154"/>
      <c r="O849" s="154"/>
      <c r="P849" s="154"/>
      <c r="Q849" s="154"/>
      <c r="R849" s="102"/>
      <c r="S849" s="102"/>
      <c r="T849" s="102"/>
      <c r="U849" s="102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01"/>
    </row>
    <row r="850" spans="1:31" s="162" customFormat="1" x14ac:dyDescent="0.25">
      <c r="A850" s="101"/>
      <c r="B850" s="101"/>
      <c r="C850" s="102"/>
      <c r="D850" s="102"/>
      <c r="E850" s="102"/>
      <c r="F850" s="102"/>
      <c r="G850" s="102"/>
      <c r="H850" s="102"/>
      <c r="I850" s="154"/>
      <c r="J850" s="154"/>
      <c r="K850" s="154"/>
      <c r="L850" s="154"/>
      <c r="M850" s="154"/>
      <c r="N850" s="154"/>
      <c r="O850" s="154"/>
      <c r="P850" s="154"/>
      <c r="Q850" s="154"/>
      <c r="R850" s="102"/>
      <c r="S850" s="102"/>
      <c r="T850" s="102"/>
      <c r="U850" s="102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01"/>
    </row>
    <row r="851" spans="1:31" s="162" customFormat="1" x14ac:dyDescent="0.25">
      <c r="A851" s="101"/>
      <c r="B851" s="101"/>
      <c r="C851" s="102"/>
      <c r="D851" s="102"/>
      <c r="E851" s="102"/>
      <c r="F851" s="102"/>
      <c r="G851" s="102"/>
      <c r="H851" s="102"/>
      <c r="I851" s="154"/>
      <c r="J851" s="154"/>
      <c r="K851" s="154"/>
      <c r="L851" s="154"/>
      <c r="M851" s="154"/>
      <c r="N851" s="154"/>
      <c r="O851" s="154"/>
      <c r="P851" s="154"/>
      <c r="Q851" s="154"/>
      <c r="R851" s="102"/>
      <c r="S851" s="102"/>
      <c r="T851" s="102"/>
      <c r="U851" s="102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01"/>
    </row>
    <row r="852" spans="1:31" s="162" customFormat="1" x14ac:dyDescent="0.25">
      <c r="A852" s="101"/>
      <c r="B852" s="101"/>
      <c r="C852" s="102"/>
      <c r="D852" s="102"/>
      <c r="E852" s="102"/>
      <c r="F852" s="102"/>
      <c r="G852" s="102"/>
      <c r="H852" s="102"/>
      <c r="I852" s="154"/>
      <c r="J852" s="154"/>
      <c r="K852" s="154"/>
      <c r="L852" s="154"/>
      <c r="M852" s="154"/>
      <c r="N852" s="154"/>
      <c r="O852" s="154"/>
      <c r="P852" s="154"/>
      <c r="Q852" s="154"/>
      <c r="R852" s="102"/>
      <c r="S852" s="102"/>
      <c r="T852" s="102"/>
      <c r="U852" s="102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01"/>
    </row>
    <row r="853" spans="1:31" s="162" customFormat="1" x14ac:dyDescent="0.25">
      <c r="A853" s="101"/>
      <c r="B853" s="101"/>
      <c r="C853" s="102"/>
      <c r="D853" s="102"/>
      <c r="E853" s="102"/>
      <c r="F853" s="102"/>
      <c r="G853" s="102"/>
      <c r="H853" s="102"/>
      <c r="I853" s="154"/>
      <c r="J853" s="154"/>
      <c r="K853" s="154"/>
      <c r="L853" s="154"/>
      <c r="M853" s="154"/>
      <c r="N853" s="154"/>
      <c r="O853" s="154"/>
      <c r="P853" s="154"/>
      <c r="Q853" s="154"/>
      <c r="R853" s="102"/>
      <c r="S853" s="102"/>
      <c r="T853" s="102"/>
      <c r="U853" s="102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01"/>
    </row>
    <row r="854" spans="1:31" s="162" customFormat="1" x14ac:dyDescent="0.25">
      <c r="A854" s="101"/>
      <c r="B854" s="101"/>
      <c r="C854" s="102"/>
      <c r="D854" s="102"/>
      <c r="E854" s="102"/>
      <c r="F854" s="102"/>
      <c r="G854" s="102"/>
      <c r="H854" s="102"/>
      <c r="I854" s="154"/>
      <c r="J854" s="154"/>
      <c r="K854" s="154"/>
      <c r="L854" s="154"/>
      <c r="M854" s="154"/>
      <c r="N854" s="154"/>
      <c r="O854" s="154"/>
      <c r="P854" s="154"/>
      <c r="Q854" s="154"/>
      <c r="R854" s="102"/>
      <c r="S854" s="102"/>
      <c r="T854" s="102"/>
      <c r="U854" s="102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01"/>
    </row>
    <row r="855" spans="1:31" s="162" customFormat="1" x14ac:dyDescent="0.25">
      <c r="A855" s="101"/>
      <c r="B855" s="101"/>
      <c r="C855" s="102"/>
      <c r="D855" s="102"/>
      <c r="E855" s="102"/>
      <c r="F855" s="102"/>
      <c r="G855" s="102"/>
      <c r="H855" s="102"/>
      <c r="I855" s="154"/>
      <c r="J855" s="154"/>
      <c r="K855" s="154"/>
      <c r="L855" s="154"/>
      <c r="M855" s="154"/>
      <c r="N855" s="154"/>
      <c r="O855" s="154"/>
      <c r="P855" s="154"/>
      <c r="Q855" s="154"/>
      <c r="R855" s="102"/>
      <c r="S855" s="102"/>
      <c r="T855" s="102"/>
      <c r="U855" s="102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01"/>
    </row>
    <row r="856" spans="1:31" s="162" customFormat="1" x14ac:dyDescent="0.25">
      <c r="A856" s="101"/>
      <c r="B856" s="101"/>
      <c r="C856" s="102"/>
      <c r="D856" s="102"/>
      <c r="E856" s="102"/>
      <c r="F856" s="102"/>
      <c r="G856" s="102"/>
      <c r="H856" s="102"/>
      <c r="I856" s="154"/>
      <c r="J856" s="154"/>
      <c r="K856" s="154"/>
      <c r="L856" s="154"/>
      <c r="M856" s="154"/>
      <c r="N856" s="154"/>
      <c r="O856" s="154"/>
      <c r="P856" s="154"/>
      <c r="Q856" s="154"/>
      <c r="R856" s="102"/>
      <c r="S856" s="102"/>
      <c r="T856" s="102"/>
      <c r="U856" s="102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01"/>
    </row>
    <row r="857" spans="1:31" s="162" customFormat="1" x14ac:dyDescent="0.25">
      <c r="A857" s="101"/>
      <c r="B857" s="101"/>
      <c r="C857" s="102"/>
      <c r="D857" s="102"/>
      <c r="E857" s="102"/>
      <c r="F857" s="102"/>
      <c r="G857" s="102"/>
      <c r="H857" s="102"/>
      <c r="I857" s="154"/>
      <c r="J857" s="154"/>
      <c r="K857" s="154"/>
      <c r="L857" s="154"/>
      <c r="M857" s="154"/>
      <c r="N857" s="154"/>
      <c r="O857" s="154"/>
      <c r="P857" s="154"/>
      <c r="Q857" s="154"/>
      <c r="R857" s="102"/>
      <c r="S857" s="102"/>
      <c r="T857" s="102"/>
      <c r="U857" s="102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01"/>
    </row>
    <row r="858" spans="1:31" s="162" customFormat="1" x14ac:dyDescent="0.25">
      <c r="A858" s="101"/>
      <c r="B858" s="101"/>
      <c r="C858" s="102"/>
      <c r="D858" s="102"/>
      <c r="E858" s="102"/>
      <c r="F858" s="102"/>
      <c r="G858" s="102"/>
      <c r="H858" s="102"/>
      <c r="I858" s="154"/>
      <c r="J858" s="154"/>
      <c r="K858" s="154"/>
      <c r="L858" s="154"/>
      <c r="M858" s="154"/>
      <c r="N858" s="154"/>
      <c r="O858" s="154"/>
      <c r="P858" s="154"/>
      <c r="Q858" s="154"/>
      <c r="R858" s="102"/>
      <c r="S858" s="102"/>
      <c r="T858" s="102"/>
      <c r="U858" s="102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01"/>
    </row>
    <row r="859" spans="1:31" s="162" customFormat="1" x14ac:dyDescent="0.25">
      <c r="A859" s="101"/>
      <c r="B859" s="101"/>
      <c r="C859" s="102"/>
      <c r="D859" s="102"/>
      <c r="E859" s="102"/>
      <c r="F859" s="102"/>
      <c r="G859" s="102"/>
      <c r="H859" s="102"/>
      <c r="I859" s="154"/>
      <c r="J859" s="154"/>
      <c r="K859" s="154"/>
      <c r="L859" s="154"/>
      <c r="M859" s="154"/>
      <c r="N859" s="154"/>
      <c r="O859" s="154"/>
      <c r="P859" s="154"/>
      <c r="Q859" s="154"/>
      <c r="R859" s="102"/>
      <c r="S859" s="102"/>
      <c r="T859" s="102"/>
      <c r="U859" s="102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01"/>
    </row>
    <row r="860" spans="1:31" s="162" customFormat="1" x14ac:dyDescent="0.25">
      <c r="A860" s="101"/>
      <c r="B860" s="101"/>
      <c r="C860" s="102"/>
      <c r="D860" s="102"/>
      <c r="E860" s="102"/>
      <c r="F860" s="102"/>
      <c r="G860" s="102"/>
      <c r="H860" s="102"/>
      <c r="I860" s="154"/>
      <c r="J860" s="154"/>
      <c r="K860" s="154"/>
      <c r="L860" s="154"/>
      <c r="M860" s="154"/>
      <c r="N860" s="154"/>
      <c r="O860" s="154"/>
      <c r="P860" s="154"/>
      <c r="Q860" s="154"/>
      <c r="R860" s="102"/>
      <c r="S860" s="102"/>
      <c r="T860" s="102"/>
      <c r="U860" s="102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01"/>
    </row>
    <row r="861" spans="1:31" s="162" customFormat="1" x14ac:dyDescent="0.25">
      <c r="A861" s="101"/>
      <c r="B861" s="101"/>
      <c r="C861" s="102"/>
      <c r="D861" s="102"/>
      <c r="E861" s="102"/>
      <c r="F861" s="102"/>
      <c r="G861" s="102"/>
      <c r="H861" s="102"/>
      <c r="I861" s="154"/>
      <c r="J861" s="154"/>
      <c r="K861" s="154"/>
      <c r="L861" s="154"/>
      <c r="M861" s="154"/>
      <c r="N861" s="154"/>
      <c r="O861" s="154"/>
      <c r="P861" s="154"/>
      <c r="Q861" s="154"/>
      <c r="R861" s="102"/>
      <c r="S861" s="102"/>
      <c r="T861" s="102"/>
      <c r="U861" s="102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01"/>
    </row>
    <row r="862" spans="1:31" s="162" customFormat="1" x14ac:dyDescent="0.25">
      <c r="A862" s="101"/>
      <c r="B862" s="101"/>
      <c r="C862" s="102"/>
      <c r="D862" s="102"/>
      <c r="E862" s="102"/>
      <c r="F862" s="102"/>
      <c r="G862" s="102"/>
      <c r="H862" s="102"/>
      <c r="I862" s="154"/>
      <c r="J862" s="154"/>
      <c r="K862" s="154"/>
      <c r="L862" s="154"/>
      <c r="M862" s="154"/>
      <c r="N862" s="154"/>
      <c r="O862" s="154"/>
      <c r="P862" s="154"/>
      <c r="Q862" s="154"/>
      <c r="R862" s="102"/>
      <c r="S862" s="102"/>
      <c r="T862" s="102"/>
      <c r="U862" s="102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01"/>
    </row>
    <row r="863" spans="1:31" s="162" customFormat="1" x14ac:dyDescent="0.25">
      <c r="A863" s="101"/>
      <c r="B863" s="101"/>
      <c r="C863" s="102"/>
      <c r="D863" s="102"/>
      <c r="E863" s="102"/>
      <c r="F863" s="102"/>
      <c r="G863" s="102"/>
      <c r="H863" s="102"/>
      <c r="I863" s="154"/>
      <c r="J863" s="154"/>
      <c r="K863" s="154"/>
      <c r="L863" s="154"/>
      <c r="M863" s="154"/>
      <c r="N863" s="154"/>
      <c r="O863" s="154"/>
      <c r="P863" s="154"/>
      <c r="Q863" s="154"/>
      <c r="R863" s="102"/>
      <c r="S863" s="102"/>
      <c r="T863" s="102"/>
      <c r="U863" s="102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01"/>
    </row>
    <row r="864" spans="1:31" s="162" customFormat="1" x14ac:dyDescent="0.25">
      <c r="A864" s="101"/>
      <c r="B864" s="101"/>
      <c r="C864" s="102"/>
      <c r="D864" s="102"/>
      <c r="E864" s="102"/>
      <c r="F864" s="102"/>
      <c r="G864" s="102"/>
      <c r="H864" s="102"/>
      <c r="I864" s="154"/>
      <c r="J864" s="154"/>
      <c r="K864" s="154"/>
      <c r="L864" s="154"/>
      <c r="M864" s="154"/>
      <c r="N864" s="154"/>
      <c r="O864" s="154"/>
      <c r="P864" s="154"/>
      <c r="Q864" s="154"/>
      <c r="R864" s="102"/>
      <c r="S864" s="102"/>
      <c r="T864" s="102"/>
      <c r="U864" s="102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01"/>
    </row>
    <row r="865" spans="1:31" s="162" customFormat="1" x14ac:dyDescent="0.25">
      <c r="A865" s="101"/>
      <c r="B865" s="101"/>
      <c r="C865" s="102"/>
      <c r="D865" s="102"/>
      <c r="E865" s="102"/>
      <c r="F865" s="102"/>
      <c r="G865" s="102"/>
      <c r="H865" s="102"/>
      <c r="I865" s="154"/>
      <c r="J865" s="154"/>
      <c r="K865" s="154"/>
      <c r="L865" s="154"/>
      <c r="M865" s="154"/>
      <c r="N865" s="154"/>
      <c r="O865" s="154"/>
      <c r="P865" s="154"/>
      <c r="Q865" s="154"/>
      <c r="R865" s="102"/>
      <c r="S865" s="102"/>
      <c r="T865" s="102"/>
      <c r="U865" s="102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01"/>
    </row>
    <row r="866" spans="1:31" s="162" customFormat="1" x14ac:dyDescent="0.25">
      <c r="A866" s="101"/>
      <c r="B866" s="101"/>
      <c r="C866" s="102"/>
      <c r="D866" s="102"/>
      <c r="E866" s="102"/>
      <c r="F866" s="102"/>
      <c r="G866" s="102"/>
      <c r="H866" s="102"/>
      <c r="I866" s="154"/>
      <c r="J866" s="154"/>
      <c r="K866" s="154"/>
      <c r="L866" s="154"/>
      <c r="M866" s="154"/>
      <c r="N866" s="154"/>
      <c r="O866" s="154"/>
      <c r="P866" s="154"/>
      <c r="Q866" s="154"/>
      <c r="R866" s="102"/>
      <c r="S866" s="102"/>
      <c r="T866" s="102"/>
      <c r="U866" s="102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01"/>
    </row>
    <row r="867" spans="1:31" s="162" customFormat="1" x14ac:dyDescent="0.25">
      <c r="A867" s="101"/>
      <c r="B867" s="101"/>
      <c r="C867" s="102"/>
      <c r="D867" s="102"/>
      <c r="E867" s="102"/>
      <c r="F867" s="102"/>
      <c r="G867" s="102"/>
      <c r="H867" s="102"/>
      <c r="I867" s="154"/>
      <c r="J867" s="154"/>
      <c r="K867" s="154"/>
      <c r="L867" s="154"/>
      <c r="M867" s="154"/>
      <c r="N867" s="154"/>
      <c r="O867" s="154"/>
      <c r="P867" s="154"/>
      <c r="Q867" s="154"/>
      <c r="R867" s="102"/>
      <c r="S867" s="102"/>
      <c r="T867" s="102"/>
      <c r="U867" s="102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01"/>
    </row>
    <row r="868" spans="1:31" s="162" customFormat="1" x14ac:dyDescent="0.25">
      <c r="A868" s="101"/>
      <c r="B868" s="101"/>
      <c r="C868" s="102"/>
      <c r="D868" s="102"/>
      <c r="E868" s="102"/>
      <c r="F868" s="102"/>
      <c r="G868" s="102"/>
      <c r="H868" s="102"/>
      <c r="I868" s="154"/>
      <c r="J868" s="154"/>
      <c r="K868" s="154"/>
      <c r="L868" s="154"/>
      <c r="M868" s="154"/>
      <c r="N868" s="154"/>
      <c r="O868" s="154"/>
      <c r="P868" s="154"/>
      <c r="Q868" s="154"/>
      <c r="R868" s="102"/>
      <c r="S868" s="102"/>
      <c r="T868" s="102"/>
      <c r="U868" s="102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01"/>
    </row>
    <row r="869" spans="1:31" s="162" customFormat="1" x14ac:dyDescent="0.25">
      <c r="A869" s="101"/>
      <c r="B869" s="101"/>
      <c r="C869" s="102"/>
      <c r="D869" s="102"/>
      <c r="E869" s="102"/>
      <c r="F869" s="102"/>
      <c r="G869" s="102"/>
      <c r="H869" s="102"/>
      <c r="I869" s="154"/>
      <c r="J869" s="154"/>
      <c r="K869" s="154"/>
      <c r="L869" s="154"/>
      <c r="M869" s="154"/>
      <c r="N869" s="154"/>
      <c r="O869" s="154"/>
      <c r="P869" s="154"/>
      <c r="Q869" s="154"/>
      <c r="R869" s="102"/>
      <c r="S869" s="102"/>
      <c r="T869" s="102"/>
      <c r="U869" s="102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01"/>
    </row>
    <row r="870" spans="1:31" s="162" customFormat="1" x14ac:dyDescent="0.25">
      <c r="A870" s="101"/>
      <c r="B870" s="101"/>
      <c r="C870" s="102"/>
      <c r="D870" s="102"/>
      <c r="E870" s="102"/>
      <c r="F870" s="102"/>
      <c r="G870" s="102"/>
      <c r="H870" s="102"/>
      <c r="I870" s="154"/>
      <c r="J870" s="154"/>
      <c r="K870" s="154"/>
      <c r="L870" s="154"/>
      <c r="M870" s="154"/>
      <c r="N870" s="154"/>
      <c r="O870" s="154"/>
      <c r="P870" s="154"/>
      <c r="Q870" s="154"/>
      <c r="R870" s="102"/>
      <c r="S870" s="102"/>
      <c r="T870" s="102"/>
      <c r="U870" s="102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01"/>
    </row>
    <row r="871" spans="1:31" s="162" customFormat="1" x14ac:dyDescent="0.25">
      <c r="A871" s="101"/>
      <c r="B871" s="101"/>
      <c r="C871" s="102"/>
      <c r="D871" s="102"/>
      <c r="E871" s="102"/>
      <c r="F871" s="102"/>
      <c r="G871" s="102"/>
      <c r="H871" s="102"/>
      <c r="I871" s="154"/>
      <c r="J871" s="154"/>
      <c r="K871" s="154"/>
      <c r="L871" s="154"/>
      <c r="M871" s="154"/>
      <c r="N871" s="154"/>
      <c r="O871" s="154"/>
      <c r="P871" s="154"/>
      <c r="Q871" s="154"/>
      <c r="R871" s="102"/>
      <c r="S871" s="102"/>
      <c r="T871" s="102"/>
      <c r="U871" s="102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01"/>
    </row>
    <row r="872" spans="1:31" s="162" customFormat="1" x14ac:dyDescent="0.25">
      <c r="A872" s="101"/>
      <c r="B872" s="101"/>
      <c r="C872" s="102"/>
      <c r="D872" s="102"/>
      <c r="E872" s="102"/>
      <c r="F872" s="102"/>
      <c r="G872" s="102"/>
      <c r="H872" s="102"/>
      <c r="I872" s="154"/>
      <c r="J872" s="154"/>
      <c r="K872" s="154"/>
      <c r="L872" s="154"/>
      <c r="M872" s="154"/>
      <c r="N872" s="154"/>
      <c r="O872" s="154"/>
      <c r="P872" s="154"/>
      <c r="Q872" s="154"/>
      <c r="R872" s="102"/>
      <c r="S872" s="102"/>
      <c r="T872" s="102"/>
      <c r="U872" s="102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01"/>
    </row>
    <row r="873" spans="1:31" s="162" customFormat="1" x14ac:dyDescent="0.25">
      <c r="A873" s="101"/>
      <c r="B873" s="101"/>
      <c r="C873" s="102"/>
      <c r="D873" s="102"/>
      <c r="E873" s="102"/>
      <c r="F873" s="102"/>
      <c r="G873" s="102"/>
      <c r="H873" s="102"/>
      <c r="I873" s="154"/>
      <c r="J873" s="154"/>
      <c r="K873" s="154"/>
      <c r="L873" s="154"/>
      <c r="M873" s="154"/>
      <c r="N873" s="154"/>
      <c r="O873" s="154"/>
      <c r="P873" s="154"/>
      <c r="Q873" s="154"/>
      <c r="R873" s="102"/>
      <c r="S873" s="102"/>
      <c r="T873" s="102"/>
      <c r="U873" s="102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01"/>
    </row>
    <row r="874" spans="1:31" s="162" customFormat="1" x14ac:dyDescent="0.25">
      <c r="A874" s="101"/>
      <c r="B874" s="101"/>
      <c r="C874" s="102"/>
      <c r="D874" s="102"/>
      <c r="E874" s="102"/>
      <c r="F874" s="102"/>
      <c r="G874" s="102"/>
      <c r="H874" s="102"/>
      <c r="I874" s="154"/>
      <c r="J874" s="154"/>
      <c r="K874" s="154"/>
      <c r="L874" s="154"/>
      <c r="M874" s="154"/>
      <c r="N874" s="154"/>
      <c r="O874" s="154"/>
      <c r="P874" s="154"/>
      <c r="Q874" s="154"/>
      <c r="R874" s="102"/>
      <c r="S874" s="102"/>
      <c r="T874" s="102"/>
      <c r="U874" s="102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01"/>
    </row>
    <row r="875" spans="1:31" s="162" customFormat="1" x14ac:dyDescent="0.25">
      <c r="A875" s="101"/>
      <c r="B875" s="101"/>
      <c r="C875" s="102"/>
      <c r="D875" s="102"/>
      <c r="E875" s="102"/>
      <c r="F875" s="102"/>
      <c r="G875" s="102"/>
      <c r="H875" s="102"/>
      <c r="I875" s="154"/>
      <c r="J875" s="154"/>
      <c r="K875" s="154"/>
      <c r="L875" s="154"/>
      <c r="M875" s="154"/>
      <c r="N875" s="154"/>
      <c r="O875" s="154"/>
      <c r="P875" s="154"/>
      <c r="Q875" s="154"/>
      <c r="R875" s="102"/>
      <c r="S875" s="102"/>
      <c r="T875" s="102"/>
      <c r="U875" s="102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01"/>
    </row>
    <row r="876" spans="1:31" s="162" customFormat="1" x14ac:dyDescent="0.25">
      <c r="A876" s="101"/>
      <c r="B876" s="101"/>
      <c r="C876" s="102"/>
      <c r="D876" s="102"/>
      <c r="E876" s="102"/>
      <c r="F876" s="102"/>
      <c r="G876" s="102"/>
      <c r="H876" s="102"/>
      <c r="I876" s="154"/>
      <c r="J876" s="154"/>
      <c r="K876" s="154"/>
      <c r="L876" s="154"/>
      <c r="M876" s="154"/>
      <c r="N876" s="154"/>
      <c r="O876" s="154"/>
      <c r="P876" s="154"/>
      <c r="Q876" s="154"/>
      <c r="R876" s="102"/>
      <c r="S876" s="102"/>
      <c r="T876" s="102"/>
      <c r="U876" s="102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01"/>
    </row>
    <row r="877" spans="1:31" s="162" customFormat="1" x14ac:dyDescent="0.25">
      <c r="A877" s="101"/>
      <c r="B877" s="101"/>
      <c r="C877" s="102"/>
      <c r="D877" s="102"/>
      <c r="E877" s="102"/>
      <c r="F877" s="102"/>
      <c r="G877" s="102"/>
      <c r="H877" s="102"/>
      <c r="I877" s="154"/>
      <c r="J877" s="154"/>
      <c r="K877" s="154"/>
      <c r="L877" s="154"/>
      <c r="M877" s="154"/>
      <c r="N877" s="154"/>
      <c r="O877" s="154"/>
      <c r="P877" s="154"/>
      <c r="Q877" s="154"/>
      <c r="R877" s="102"/>
      <c r="S877" s="102"/>
      <c r="T877" s="102"/>
      <c r="U877" s="102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01"/>
    </row>
    <row r="878" spans="1:31" s="162" customFormat="1" x14ac:dyDescent="0.25">
      <c r="A878" s="101"/>
      <c r="B878" s="101"/>
      <c r="C878" s="102"/>
      <c r="D878" s="102"/>
      <c r="E878" s="102"/>
      <c r="F878" s="102"/>
      <c r="G878" s="102"/>
      <c r="H878" s="102"/>
      <c r="I878" s="154"/>
      <c r="J878" s="154"/>
      <c r="K878" s="154"/>
      <c r="L878" s="154"/>
      <c r="M878" s="154"/>
      <c r="N878" s="154"/>
      <c r="O878" s="154"/>
      <c r="P878" s="154"/>
      <c r="Q878" s="154"/>
      <c r="R878" s="102"/>
      <c r="S878" s="102"/>
      <c r="T878" s="102"/>
      <c r="U878" s="102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01"/>
    </row>
    <row r="879" spans="1:31" s="162" customFormat="1" x14ac:dyDescent="0.25">
      <c r="A879" s="101"/>
      <c r="B879" s="101"/>
      <c r="C879" s="102"/>
      <c r="D879" s="102"/>
      <c r="E879" s="102"/>
      <c r="F879" s="102"/>
      <c r="G879" s="102"/>
      <c r="H879" s="102"/>
      <c r="I879" s="154"/>
      <c r="J879" s="154"/>
      <c r="K879" s="154"/>
      <c r="L879" s="154"/>
      <c r="M879" s="154"/>
      <c r="N879" s="154"/>
      <c r="O879" s="154"/>
      <c r="P879" s="154"/>
      <c r="Q879" s="154"/>
      <c r="R879" s="102"/>
      <c r="S879" s="102"/>
      <c r="T879" s="102"/>
      <c r="U879" s="102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01"/>
    </row>
    <row r="880" spans="1:31" s="162" customFormat="1" x14ac:dyDescent="0.25">
      <c r="A880" s="101"/>
      <c r="B880" s="101"/>
      <c r="C880" s="102"/>
      <c r="D880" s="102"/>
      <c r="E880" s="102"/>
      <c r="F880" s="102"/>
      <c r="G880" s="102"/>
      <c r="H880" s="102"/>
      <c r="I880" s="154"/>
      <c r="J880" s="154"/>
      <c r="K880" s="154"/>
      <c r="L880" s="154"/>
      <c r="M880" s="154"/>
      <c r="N880" s="154"/>
      <c r="O880" s="154"/>
      <c r="P880" s="154"/>
      <c r="Q880" s="154"/>
      <c r="R880" s="102"/>
      <c r="S880" s="102"/>
      <c r="T880" s="102"/>
      <c r="U880" s="102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01"/>
    </row>
    <row r="881" spans="1:31" s="162" customFormat="1" x14ac:dyDescent="0.25">
      <c r="A881" s="101"/>
      <c r="B881" s="101"/>
      <c r="C881" s="102"/>
      <c r="D881" s="102"/>
      <c r="E881" s="102"/>
      <c r="F881" s="102"/>
      <c r="G881" s="102"/>
      <c r="H881" s="102"/>
      <c r="I881" s="154"/>
      <c r="J881" s="154"/>
      <c r="K881" s="154"/>
      <c r="L881" s="154"/>
      <c r="M881" s="154"/>
      <c r="N881" s="154"/>
      <c r="O881" s="154"/>
      <c r="P881" s="154"/>
      <c r="Q881" s="154"/>
      <c r="R881" s="102"/>
      <c r="S881" s="102"/>
      <c r="T881" s="102"/>
      <c r="U881" s="102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01"/>
    </row>
    <row r="882" spans="1:31" s="162" customFormat="1" x14ac:dyDescent="0.25">
      <c r="A882" s="101"/>
      <c r="B882" s="101"/>
      <c r="C882" s="102"/>
      <c r="D882" s="102"/>
      <c r="E882" s="102"/>
      <c r="F882" s="102"/>
      <c r="G882" s="102"/>
      <c r="H882" s="102"/>
      <c r="I882" s="154"/>
      <c r="J882" s="154"/>
      <c r="K882" s="154"/>
      <c r="L882" s="154"/>
      <c r="M882" s="154"/>
      <c r="N882" s="154"/>
      <c r="O882" s="154"/>
      <c r="P882" s="154"/>
      <c r="Q882" s="154"/>
      <c r="R882" s="102"/>
      <c r="S882" s="102"/>
      <c r="T882" s="102"/>
      <c r="U882" s="102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01"/>
    </row>
    <row r="883" spans="1:31" s="162" customFormat="1" x14ac:dyDescent="0.25">
      <c r="A883" s="101"/>
      <c r="B883" s="101"/>
      <c r="C883" s="102"/>
      <c r="D883" s="102"/>
      <c r="E883" s="102"/>
      <c r="F883" s="102"/>
      <c r="G883" s="102"/>
      <c r="H883" s="102"/>
      <c r="I883" s="154"/>
      <c r="J883" s="154"/>
      <c r="K883" s="154"/>
      <c r="L883" s="154"/>
      <c r="M883" s="154"/>
      <c r="N883" s="154"/>
      <c r="O883" s="154"/>
      <c r="P883" s="154"/>
      <c r="Q883" s="154"/>
      <c r="R883" s="102"/>
      <c r="S883" s="102"/>
      <c r="T883" s="102"/>
      <c r="U883" s="102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01"/>
    </row>
    <row r="884" spans="1:31" s="162" customFormat="1" x14ac:dyDescent="0.25">
      <c r="A884" s="101"/>
      <c r="B884" s="101"/>
      <c r="C884" s="102"/>
      <c r="D884" s="102"/>
      <c r="E884" s="102"/>
      <c r="F884" s="102"/>
      <c r="G884" s="102"/>
      <c r="H884" s="102"/>
      <c r="I884" s="154"/>
      <c r="J884" s="154"/>
      <c r="K884" s="154"/>
      <c r="L884" s="154"/>
      <c r="M884" s="154"/>
      <c r="N884" s="154"/>
      <c r="O884" s="154"/>
      <c r="P884" s="154"/>
      <c r="Q884" s="154"/>
      <c r="R884" s="102"/>
      <c r="S884" s="102"/>
      <c r="T884" s="102"/>
      <c r="U884" s="102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01"/>
    </row>
    <row r="885" spans="1:31" s="162" customFormat="1" x14ac:dyDescent="0.25">
      <c r="A885" s="101"/>
      <c r="B885" s="101"/>
      <c r="C885" s="102"/>
      <c r="D885" s="102"/>
      <c r="E885" s="102"/>
      <c r="F885" s="102"/>
      <c r="G885" s="102"/>
      <c r="H885" s="102"/>
      <c r="I885" s="154"/>
      <c r="J885" s="154"/>
      <c r="K885" s="154"/>
      <c r="L885" s="154"/>
      <c r="M885" s="154"/>
      <c r="N885" s="154"/>
      <c r="O885" s="154"/>
      <c r="P885" s="154"/>
      <c r="Q885" s="154"/>
      <c r="R885" s="102"/>
      <c r="S885" s="102"/>
      <c r="T885" s="102"/>
      <c r="U885" s="102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01"/>
    </row>
    <row r="886" spans="1:31" s="162" customFormat="1" x14ac:dyDescent="0.25">
      <c r="A886" s="101"/>
      <c r="B886" s="101"/>
      <c r="C886" s="102"/>
      <c r="D886" s="102"/>
      <c r="E886" s="102"/>
      <c r="F886" s="102"/>
      <c r="G886" s="102"/>
      <c r="H886" s="102"/>
      <c r="I886" s="154"/>
      <c r="J886" s="154"/>
      <c r="K886" s="154"/>
      <c r="L886" s="154"/>
      <c r="M886" s="154"/>
      <c r="N886" s="154"/>
      <c r="O886" s="154"/>
      <c r="P886" s="154"/>
      <c r="Q886" s="154"/>
      <c r="R886" s="102"/>
      <c r="S886" s="102"/>
      <c r="T886" s="102"/>
      <c r="U886" s="102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01"/>
    </row>
    <row r="887" spans="1:31" s="162" customFormat="1" x14ac:dyDescent="0.25">
      <c r="A887" s="101"/>
      <c r="B887" s="101"/>
      <c r="C887" s="102"/>
      <c r="D887" s="102"/>
      <c r="E887" s="102"/>
      <c r="F887" s="102"/>
      <c r="G887" s="102"/>
      <c r="H887" s="102"/>
      <c r="I887" s="154"/>
      <c r="J887" s="154"/>
      <c r="K887" s="154"/>
      <c r="L887" s="154"/>
      <c r="M887" s="154"/>
      <c r="N887" s="154"/>
      <c r="O887" s="154"/>
      <c r="P887" s="154"/>
      <c r="Q887" s="154"/>
      <c r="R887" s="102"/>
      <c r="S887" s="102"/>
      <c r="T887" s="102"/>
      <c r="U887" s="102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01"/>
    </row>
    <row r="888" spans="1:31" s="162" customFormat="1" x14ac:dyDescent="0.25">
      <c r="A888" s="101"/>
      <c r="B888" s="101"/>
      <c r="C888" s="102"/>
      <c r="D888" s="102"/>
      <c r="E888" s="102"/>
      <c r="F888" s="102"/>
      <c r="G888" s="102"/>
      <c r="H888" s="102"/>
      <c r="I888" s="154"/>
      <c r="J888" s="154"/>
      <c r="K888" s="154"/>
      <c r="L888" s="154"/>
      <c r="M888" s="154"/>
      <c r="N888" s="154"/>
      <c r="O888" s="154"/>
      <c r="P888" s="154"/>
      <c r="Q888" s="154"/>
      <c r="R888" s="102"/>
      <c r="S888" s="102"/>
      <c r="T888" s="102"/>
      <c r="U888" s="102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01"/>
    </row>
    <row r="889" spans="1:31" s="162" customFormat="1" x14ac:dyDescent="0.25">
      <c r="A889" s="101"/>
      <c r="B889" s="101"/>
      <c r="C889" s="102"/>
      <c r="D889" s="102"/>
      <c r="E889" s="102"/>
      <c r="F889" s="102"/>
      <c r="G889" s="102"/>
      <c r="H889" s="102"/>
      <c r="I889" s="154"/>
      <c r="J889" s="154"/>
      <c r="K889" s="154"/>
      <c r="L889" s="154"/>
      <c r="M889" s="154"/>
      <c r="N889" s="154"/>
      <c r="O889" s="154"/>
      <c r="P889" s="154"/>
      <c r="Q889" s="154"/>
      <c r="R889" s="102"/>
      <c r="S889" s="102"/>
      <c r="T889" s="102"/>
      <c r="U889" s="102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01"/>
    </row>
    <row r="890" spans="1:31" s="162" customFormat="1" x14ac:dyDescent="0.25">
      <c r="A890" s="101"/>
      <c r="B890" s="101"/>
      <c r="C890" s="102"/>
      <c r="D890" s="102"/>
      <c r="E890" s="102"/>
      <c r="F890" s="102"/>
      <c r="G890" s="102"/>
      <c r="H890" s="102"/>
      <c r="I890" s="154"/>
      <c r="J890" s="154"/>
      <c r="K890" s="154"/>
      <c r="L890" s="154"/>
      <c r="M890" s="154"/>
      <c r="N890" s="154"/>
      <c r="O890" s="154"/>
      <c r="P890" s="154"/>
      <c r="Q890" s="154"/>
      <c r="R890" s="102"/>
      <c r="S890" s="102"/>
      <c r="T890" s="102"/>
      <c r="U890" s="102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01"/>
    </row>
    <row r="891" spans="1:31" s="162" customFormat="1" x14ac:dyDescent="0.25">
      <c r="A891" s="101"/>
      <c r="B891" s="101"/>
      <c r="C891" s="102"/>
      <c r="D891" s="102"/>
      <c r="E891" s="102"/>
      <c r="F891" s="102"/>
      <c r="G891" s="102"/>
      <c r="H891" s="102"/>
      <c r="I891" s="154"/>
      <c r="J891" s="154"/>
      <c r="K891" s="154"/>
      <c r="L891" s="154"/>
      <c r="M891" s="154"/>
      <c r="N891" s="154"/>
      <c r="O891" s="154"/>
      <c r="P891" s="154"/>
      <c r="Q891" s="154"/>
      <c r="R891" s="102"/>
      <c r="S891" s="102"/>
      <c r="T891" s="102"/>
      <c r="U891" s="102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01"/>
    </row>
    <row r="892" spans="1:31" s="162" customFormat="1" x14ac:dyDescent="0.25">
      <c r="A892" s="101"/>
      <c r="B892" s="101"/>
      <c r="C892" s="102"/>
      <c r="D892" s="102"/>
      <c r="E892" s="102"/>
      <c r="F892" s="102"/>
      <c r="G892" s="102"/>
      <c r="H892" s="102"/>
      <c r="I892" s="154"/>
      <c r="J892" s="154"/>
      <c r="K892" s="154"/>
      <c r="L892" s="154"/>
      <c r="M892" s="154"/>
      <c r="N892" s="154"/>
      <c r="O892" s="154"/>
      <c r="P892" s="154"/>
      <c r="Q892" s="154"/>
      <c r="R892" s="102"/>
      <c r="S892" s="102"/>
      <c r="T892" s="102"/>
      <c r="U892" s="102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01"/>
    </row>
    <row r="893" spans="1:31" s="162" customFormat="1" x14ac:dyDescent="0.25">
      <c r="A893" s="101"/>
      <c r="B893" s="101"/>
      <c r="C893" s="102"/>
      <c r="D893" s="102"/>
      <c r="E893" s="102"/>
      <c r="F893" s="102"/>
      <c r="G893" s="102"/>
      <c r="H893" s="102"/>
      <c r="I893" s="154"/>
      <c r="J893" s="154"/>
      <c r="K893" s="154"/>
      <c r="L893" s="154"/>
      <c r="M893" s="154"/>
      <c r="N893" s="154"/>
      <c r="O893" s="154"/>
      <c r="P893" s="154"/>
      <c r="Q893" s="154"/>
      <c r="R893" s="102"/>
      <c r="S893" s="102"/>
      <c r="T893" s="102"/>
      <c r="U893" s="102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01"/>
    </row>
    <row r="894" spans="1:31" s="162" customFormat="1" x14ac:dyDescent="0.25">
      <c r="A894" s="101"/>
      <c r="B894" s="101"/>
      <c r="C894" s="102"/>
      <c r="D894" s="102"/>
      <c r="E894" s="102"/>
      <c r="F894" s="102"/>
      <c r="G894" s="102"/>
      <c r="H894" s="102"/>
      <c r="I894" s="154"/>
      <c r="J894" s="154"/>
      <c r="K894" s="154"/>
      <c r="L894" s="154"/>
      <c r="M894" s="154"/>
      <c r="N894" s="154"/>
      <c r="O894" s="154"/>
      <c r="P894" s="154"/>
      <c r="Q894" s="154"/>
      <c r="R894" s="102"/>
      <c r="S894" s="102"/>
      <c r="T894" s="102"/>
      <c r="U894" s="102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01"/>
    </row>
    <row r="895" spans="1:31" s="162" customFormat="1" x14ac:dyDescent="0.25">
      <c r="A895" s="101"/>
      <c r="B895" s="101"/>
      <c r="C895" s="102"/>
      <c r="D895" s="102"/>
      <c r="E895" s="102"/>
      <c r="F895" s="102"/>
      <c r="G895" s="102"/>
      <c r="H895" s="102"/>
      <c r="I895" s="154"/>
      <c r="J895" s="154"/>
      <c r="K895" s="154"/>
      <c r="L895" s="154"/>
      <c r="M895" s="154"/>
      <c r="N895" s="154"/>
      <c r="O895" s="154"/>
      <c r="P895" s="154"/>
      <c r="Q895" s="154"/>
      <c r="R895" s="102"/>
      <c r="S895" s="102"/>
      <c r="T895" s="102"/>
      <c r="U895" s="102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01"/>
    </row>
    <row r="896" spans="1:31" s="162" customFormat="1" x14ac:dyDescent="0.25">
      <c r="A896" s="101"/>
      <c r="B896" s="101"/>
      <c r="C896" s="102"/>
      <c r="D896" s="102"/>
      <c r="E896" s="102"/>
      <c r="F896" s="102"/>
      <c r="G896" s="102"/>
      <c r="H896" s="102"/>
      <c r="I896" s="154"/>
      <c r="J896" s="154"/>
      <c r="K896" s="154"/>
      <c r="L896" s="154"/>
      <c r="M896" s="154"/>
      <c r="N896" s="154"/>
      <c r="O896" s="154"/>
      <c r="P896" s="154"/>
      <c r="Q896" s="154"/>
      <c r="R896" s="102"/>
      <c r="S896" s="102"/>
      <c r="T896" s="102"/>
      <c r="U896" s="102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01"/>
    </row>
    <row r="897" spans="1:31" s="162" customFormat="1" x14ac:dyDescent="0.25">
      <c r="A897" s="101"/>
      <c r="B897" s="101"/>
      <c r="C897" s="102"/>
      <c r="D897" s="102"/>
      <c r="E897" s="102"/>
      <c r="F897" s="102"/>
      <c r="G897" s="102"/>
      <c r="H897" s="102"/>
      <c r="I897" s="154"/>
      <c r="J897" s="154"/>
      <c r="K897" s="154"/>
      <c r="L897" s="154"/>
      <c r="M897" s="154"/>
      <c r="N897" s="154"/>
      <c r="O897" s="154"/>
      <c r="P897" s="154"/>
      <c r="Q897" s="154"/>
      <c r="R897" s="102"/>
      <c r="S897" s="102"/>
      <c r="T897" s="102"/>
      <c r="U897" s="102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01"/>
    </row>
    <row r="898" spans="1:31" s="162" customFormat="1" x14ac:dyDescent="0.25">
      <c r="A898" s="101"/>
      <c r="B898" s="101"/>
      <c r="C898" s="102"/>
      <c r="D898" s="102"/>
      <c r="E898" s="102"/>
      <c r="F898" s="102"/>
      <c r="G898" s="102"/>
      <c r="H898" s="102"/>
      <c r="I898" s="154"/>
      <c r="J898" s="154"/>
      <c r="K898" s="154"/>
      <c r="L898" s="154"/>
      <c r="M898" s="154"/>
      <c r="N898" s="154"/>
      <c r="O898" s="154"/>
      <c r="P898" s="154"/>
      <c r="Q898" s="154"/>
      <c r="R898" s="102"/>
      <c r="S898" s="102"/>
      <c r="T898" s="102"/>
      <c r="U898" s="102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01"/>
    </row>
    <row r="899" spans="1:31" s="162" customFormat="1" x14ac:dyDescent="0.25">
      <c r="A899" s="101"/>
      <c r="B899" s="101"/>
      <c r="C899" s="102"/>
      <c r="D899" s="102"/>
      <c r="E899" s="102"/>
      <c r="F899" s="102"/>
      <c r="G899" s="102"/>
      <c r="H899" s="102"/>
      <c r="I899" s="154"/>
      <c r="J899" s="154"/>
      <c r="K899" s="154"/>
      <c r="L899" s="154"/>
      <c r="M899" s="154"/>
      <c r="N899" s="154"/>
      <c r="O899" s="154"/>
      <c r="P899" s="154"/>
      <c r="Q899" s="154"/>
      <c r="R899" s="102"/>
      <c r="S899" s="102"/>
      <c r="T899" s="102"/>
      <c r="U899" s="102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01"/>
    </row>
    <row r="900" spans="1:31" s="162" customFormat="1" x14ac:dyDescent="0.25">
      <c r="A900" s="101"/>
      <c r="B900" s="101"/>
      <c r="C900" s="102"/>
      <c r="D900" s="102"/>
      <c r="E900" s="102"/>
      <c r="F900" s="102"/>
      <c r="G900" s="102"/>
      <c r="H900" s="102"/>
      <c r="I900" s="154"/>
      <c r="J900" s="154"/>
      <c r="K900" s="154"/>
      <c r="L900" s="154"/>
      <c r="M900" s="154"/>
      <c r="N900" s="154"/>
      <c r="O900" s="154"/>
      <c r="P900" s="154"/>
      <c r="Q900" s="154"/>
      <c r="R900" s="102"/>
      <c r="S900" s="102"/>
      <c r="T900" s="102"/>
      <c r="U900" s="102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01"/>
    </row>
    <row r="901" spans="1:31" s="162" customFormat="1" x14ac:dyDescent="0.25">
      <c r="A901" s="101"/>
      <c r="B901" s="101"/>
      <c r="C901" s="102"/>
      <c r="D901" s="102"/>
      <c r="E901" s="102"/>
      <c r="F901" s="102"/>
      <c r="G901" s="102"/>
      <c r="H901" s="102"/>
      <c r="I901" s="154"/>
      <c r="J901" s="154"/>
      <c r="K901" s="154"/>
      <c r="L901" s="154"/>
      <c r="M901" s="154"/>
      <c r="N901" s="154"/>
      <c r="O901" s="154"/>
      <c r="P901" s="154"/>
      <c r="Q901" s="154"/>
      <c r="R901" s="102"/>
      <c r="S901" s="102"/>
      <c r="T901" s="102"/>
      <c r="U901" s="102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01"/>
    </row>
    <row r="902" spans="1:31" s="162" customFormat="1" x14ac:dyDescent="0.25">
      <c r="A902" s="101"/>
      <c r="B902" s="101"/>
      <c r="C902" s="102"/>
      <c r="D902" s="102"/>
      <c r="E902" s="102"/>
      <c r="F902" s="102"/>
      <c r="G902" s="102"/>
      <c r="H902" s="102"/>
      <c r="I902" s="154"/>
      <c r="J902" s="154"/>
      <c r="K902" s="154"/>
      <c r="L902" s="154"/>
      <c r="M902" s="154"/>
      <c r="N902" s="154"/>
      <c r="O902" s="154"/>
      <c r="P902" s="154"/>
      <c r="Q902" s="154"/>
      <c r="R902" s="102"/>
      <c r="S902" s="102"/>
      <c r="T902" s="102"/>
      <c r="U902" s="102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01"/>
    </row>
    <row r="903" spans="1:31" s="162" customFormat="1" x14ac:dyDescent="0.25">
      <c r="A903" s="101"/>
      <c r="B903" s="101"/>
      <c r="C903" s="102"/>
      <c r="D903" s="102"/>
      <c r="E903" s="102"/>
      <c r="F903" s="102"/>
      <c r="G903" s="102"/>
      <c r="H903" s="102"/>
      <c r="I903" s="154"/>
      <c r="J903" s="154"/>
      <c r="K903" s="154"/>
      <c r="L903" s="154"/>
      <c r="M903" s="154"/>
      <c r="N903" s="154"/>
      <c r="O903" s="154"/>
      <c r="P903" s="154"/>
      <c r="Q903" s="154"/>
      <c r="R903" s="102"/>
      <c r="S903" s="102"/>
      <c r="T903" s="102"/>
      <c r="U903" s="102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01"/>
    </row>
    <row r="904" spans="1:31" s="162" customFormat="1" x14ac:dyDescent="0.25">
      <c r="A904" s="101"/>
      <c r="B904" s="101"/>
      <c r="C904" s="102"/>
      <c r="D904" s="102"/>
      <c r="E904" s="102"/>
      <c r="F904" s="102"/>
      <c r="G904" s="102"/>
      <c r="H904" s="102"/>
      <c r="I904" s="154"/>
      <c r="J904" s="154"/>
      <c r="K904" s="154"/>
      <c r="L904" s="154"/>
      <c r="M904" s="154"/>
      <c r="N904" s="154"/>
      <c r="O904" s="154"/>
      <c r="P904" s="154"/>
      <c r="Q904" s="154"/>
      <c r="R904" s="102"/>
      <c r="S904" s="102"/>
      <c r="T904" s="102"/>
      <c r="U904" s="102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01"/>
    </row>
    <row r="905" spans="1:31" s="162" customFormat="1" x14ac:dyDescent="0.25">
      <c r="A905" s="101"/>
      <c r="B905" s="101"/>
      <c r="C905" s="102"/>
      <c r="D905" s="102"/>
      <c r="E905" s="102"/>
      <c r="F905" s="102"/>
      <c r="G905" s="102"/>
      <c r="H905" s="102"/>
      <c r="I905" s="154"/>
      <c r="J905" s="154"/>
      <c r="K905" s="154"/>
      <c r="L905" s="154"/>
      <c r="M905" s="154"/>
      <c r="N905" s="154"/>
      <c r="O905" s="154"/>
      <c r="P905" s="154"/>
      <c r="Q905" s="154"/>
      <c r="R905" s="102"/>
      <c r="S905" s="102"/>
      <c r="T905" s="102"/>
      <c r="U905" s="102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01"/>
    </row>
    <row r="906" spans="1:31" s="162" customFormat="1" x14ac:dyDescent="0.25">
      <c r="A906" s="101"/>
      <c r="B906" s="101"/>
      <c r="C906" s="102"/>
      <c r="D906" s="102"/>
      <c r="E906" s="102"/>
      <c r="F906" s="102"/>
      <c r="G906" s="102"/>
      <c r="H906" s="102"/>
      <c r="I906" s="154"/>
      <c r="J906" s="154"/>
      <c r="K906" s="154"/>
      <c r="L906" s="154"/>
      <c r="M906" s="154"/>
      <c r="N906" s="154"/>
      <c r="O906" s="154"/>
      <c r="P906" s="154"/>
      <c r="Q906" s="154"/>
      <c r="R906" s="102"/>
      <c r="S906" s="102"/>
      <c r="T906" s="102"/>
      <c r="U906" s="102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01"/>
    </row>
    <row r="907" spans="1:31" s="162" customFormat="1" x14ac:dyDescent="0.25">
      <c r="A907" s="101"/>
      <c r="B907" s="101"/>
      <c r="C907" s="102"/>
      <c r="D907" s="102"/>
      <c r="E907" s="102"/>
      <c r="F907" s="102"/>
      <c r="G907" s="102"/>
      <c r="H907" s="102"/>
      <c r="I907" s="154"/>
      <c r="J907" s="154"/>
      <c r="K907" s="154"/>
      <c r="L907" s="154"/>
      <c r="M907" s="154"/>
      <c r="N907" s="154"/>
      <c r="O907" s="154"/>
      <c r="P907" s="154"/>
      <c r="Q907" s="154"/>
      <c r="R907" s="102"/>
      <c r="S907" s="102"/>
      <c r="T907" s="102"/>
      <c r="U907" s="102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01"/>
    </row>
    <row r="908" spans="1:31" s="162" customFormat="1" x14ac:dyDescent="0.25">
      <c r="A908" s="101"/>
      <c r="B908" s="101"/>
      <c r="C908" s="102"/>
      <c r="D908" s="102"/>
      <c r="E908" s="102"/>
      <c r="F908" s="102"/>
      <c r="G908" s="102"/>
      <c r="H908" s="102"/>
      <c r="I908" s="154"/>
      <c r="J908" s="154"/>
      <c r="K908" s="154"/>
      <c r="L908" s="154"/>
      <c r="M908" s="154"/>
      <c r="N908" s="154"/>
      <c r="O908" s="154"/>
      <c r="P908" s="154"/>
      <c r="Q908" s="154"/>
      <c r="R908" s="102"/>
      <c r="S908" s="102"/>
      <c r="T908" s="102"/>
      <c r="U908" s="102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01"/>
    </row>
    <row r="909" spans="1:31" s="162" customFormat="1" x14ac:dyDescent="0.25">
      <c r="A909" s="101"/>
      <c r="B909" s="101"/>
      <c r="C909" s="102"/>
      <c r="D909" s="102"/>
      <c r="E909" s="102"/>
      <c r="F909" s="102"/>
      <c r="G909" s="102"/>
      <c r="H909" s="102"/>
      <c r="I909" s="154"/>
      <c r="J909" s="154"/>
      <c r="K909" s="154"/>
      <c r="L909" s="154"/>
      <c r="M909" s="154"/>
      <c r="N909" s="154"/>
      <c r="O909" s="154"/>
      <c r="P909" s="154"/>
      <c r="Q909" s="154"/>
      <c r="R909" s="102"/>
      <c r="S909" s="102"/>
      <c r="T909" s="102"/>
      <c r="U909" s="102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01"/>
    </row>
    <row r="910" spans="1:31" s="162" customFormat="1" x14ac:dyDescent="0.25">
      <c r="A910" s="101"/>
      <c r="B910" s="101"/>
      <c r="C910" s="102"/>
      <c r="D910" s="102"/>
      <c r="E910" s="102"/>
      <c r="F910" s="102"/>
      <c r="G910" s="102"/>
      <c r="H910" s="102"/>
      <c r="I910" s="154"/>
      <c r="J910" s="154"/>
      <c r="K910" s="154"/>
      <c r="L910" s="154"/>
      <c r="M910" s="154"/>
      <c r="N910" s="154"/>
      <c r="O910" s="154"/>
      <c r="P910" s="154"/>
      <c r="Q910" s="154"/>
      <c r="R910" s="102"/>
      <c r="S910" s="102"/>
      <c r="T910" s="102"/>
      <c r="U910" s="102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01"/>
    </row>
    <row r="911" spans="1:31" s="162" customFormat="1" x14ac:dyDescent="0.25">
      <c r="A911" s="101"/>
      <c r="B911" s="101"/>
      <c r="C911" s="102"/>
      <c r="D911" s="102"/>
      <c r="E911" s="102"/>
      <c r="F911" s="102"/>
      <c r="G911" s="102"/>
      <c r="H911" s="102"/>
      <c r="I911" s="154"/>
      <c r="J911" s="154"/>
      <c r="K911" s="154"/>
      <c r="L911" s="154"/>
      <c r="M911" s="154"/>
      <c r="N911" s="154"/>
      <c r="O911" s="154"/>
      <c r="P911" s="154"/>
      <c r="Q911" s="154"/>
      <c r="R911" s="102"/>
      <c r="S911" s="102"/>
      <c r="T911" s="102"/>
      <c r="U911" s="102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01"/>
    </row>
    <row r="912" spans="1:31" s="162" customFormat="1" x14ac:dyDescent="0.25">
      <c r="A912" s="101"/>
      <c r="B912" s="101"/>
      <c r="C912" s="102"/>
      <c r="D912" s="102"/>
      <c r="E912" s="102"/>
      <c r="F912" s="102"/>
      <c r="G912" s="102"/>
      <c r="H912" s="102"/>
      <c r="I912" s="154"/>
      <c r="J912" s="154"/>
      <c r="K912" s="154"/>
      <c r="L912" s="154"/>
      <c r="M912" s="154"/>
      <c r="N912" s="154"/>
      <c r="O912" s="154"/>
      <c r="P912" s="154"/>
      <c r="Q912" s="154"/>
      <c r="R912" s="102"/>
      <c r="S912" s="102"/>
      <c r="T912" s="102"/>
      <c r="U912" s="102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01"/>
    </row>
    <row r="913" spans="1:31" s="162" customFormat="1" x14ac:dyDescent="0.25">
      <c r="A913" s="101"/>
      <c r="B913" s="101"/>
      <c r="C913" s="102"/>
      <c r="D913" s="102"/>
      <c r="E913" s="102"/>
      <c r="F913" s="102"/>
      <c r="G913" s="102"/>
      <c r="H913" s="102"/>
      <c r="I913" s="154"/>
      <c r="J913" s="154"/>
      <c r="K913" s="154"/>
      <c r="L913" s="154"/>
      <c r="M913" s="154"/>
      <c r="N913" s="154"/>
      <c r="O913" s="154"/>
      <c r="P913" s="154"/>
      <c r="Q913" s="154"/>
      <c r="R913" s="102"/>
      <c r="S913" s="102"/>
      <c r="T913" s="102"/>
      <c r="U913" s="102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01"/>
    </row>
    <row r="914" spans="1:31" s="162" customFormat="1" x14ac:dyDescent="0.25">
      <c r="A914" s="101"/>
      <c r="B914" s="101"/>
      <c r="C914" s="102"/>
      <c r="D914" s="102"/>
      <c r="E914" s="102"/>
      <c r="F914" s="102"/>
      <c r="G914" s="102"/>
      <c r="H914" s="102"/>
      <c r="I914" s="154"/>
      <c r="J914" s="154"/>
      <c r="K914" s="154"/>
      <c r="L914" s="154"/>
      <c r="M914" s="154"/>
      <c r="N914" s="154"/>
      <c r="O914" s="154"/>
      <c r="P914" s="154"/>
      <c r="Q914" s="154"/>
      <c r="R914" s="102"/>
      <c r="S914" s="102"/>
      <c r="T914" s="102"/>
      <c r="U914" s="102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01"/>
    </row>
    <row r="915" spans="1:31" s="162" customFormat="1" x14ac:dyDescent="0.25">
      <c r="A915" s="101"/>
      <c r="B915" s="101"/>
      <c r="C915" s="102"/>
      <c r="D915" s="102"/>
      <c r="E915" s="102"/>
      <c r="F915" s="102"/>
      <c r="G915" s="102"/>
      <c r="H915" s="102"/>
      <c r="I915" s="154"/>
      <c r="J915" s="154"/>
      <c r="K915" s="154"/>
      <c r="L915" s="154"/>
      <c r="M915" s="154"/>
      <c r="N915" s="154"/>
      <c r="O915" s="154"/>
      <c r="P915" s="154"/>
      <c r="Q915" s="154"/>
      <c r="R915" s="102"/>
      <c r="S915" s="102"/>
      <c r="T915" s="102"/>
      <c r="U915" s="102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01"/>
    </row>
    <row r="916" spans="1:31" s="162" customFormat="1" x14ac:dyDescent="0.25">
      <c r="A916" s="101"/>
      <c r="B916" s="101"/>
      <c r="C916" s="102"/>
      <c r="D916" s="102"/>
      <c r="E916" s="102"/>
      <c r="F916" s="102"/>
      <c r="G916" s="102"/>
      <c r="H916" s="102"/>
      <c r="I916" s="154"/>
      <c r="J916" s="154"/>
      <c r="K916" s="154"/>
      <c r="L916" s="154"/>
      <c r="M916" s="154"/>
      <c r="N916" s="154"/>
      <c r="O916" s="154"/>
      <c r="P916" s="154"/>
      <c r="Q916" s="154"/>
      <c r="R916" s="102"/>
      <c r="S916" s="102"/>
      <c r="T916" s="102"/>
      <c r="U916" s="102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01"/>
    </row>
    <row r="917" spans="1:31" s="162" customFormat="1" x14ac:dyDescent="0.25">
      <c r="A917" s="101"/>
      <c r="B917" s="101"/>
      <c r="C917" s="102"/>
      <c r="D917" s="102"/>
      <c r="E917" s="102"/>
      <c r="F917" s="102"/>
      <c r="G917" s="102"/>
      <c r="H917" s="102"/>
      <c r="I917" s="154"/>
      <c r="J917" s="154"/>
      <c r="K917" s="154"/>
      <c r="L917" s="154"/>
      <c r="M917" s="154"/>
      <c r="N917" s="154"/>
      <c r="O917" s="154"/>
      <c r="P917" s="154"/>
      <c r="Q917" s="154"/>
      <c r="R917" s="102"/>
      <c r="S917" s="102"/>
      <c r="T917" s="102"/>
      <c r="U917" s="102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01"/>
    </row>
    <row r="918" spans="1:31" s="162" customFormat="1" x14ac:dyDescent="0.25">
      <c r="A918" s="101"/>
      <c r="B918" s="101"/>
      <c r="C918" s="102"/>
      <c r="D918" s="102"/>
      <c r="E918" s="102"/>
      <c r="F918" s="102"/>
      <c r="G918" s="102"/>
      <c r="H918" s="102"/>
      <c r="I918" s="154"/>
      <c r="J918" s="154"/>
      <c r="K918" s="154"/>
      <c r="L918" s="154"/>
      <c r="M918" s="154"/>
      <c r="N918" s="154"/>
      <c r="O918" s="154"/>
      <c r="P918" s="154"/>
      <c r="Q918" s="154"/>
      <c r="R918" s="102"/>
      <c r="S918" s="102"/>
      <c r="T918" s="102"/>
      <c r="U918" s="102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01"/>
    </row>
    <row r="919" spans="1:31" s="162" customFormat="1" x14ac:dyDescent="0.25">
      <c r="A919" s="101"/>
      <c r="B919" s="101"/>
      <c r="C919" s="102"/>
      <c r="D919" s="102"/>
      <c r="E919" s="102"/>
      <c r="F919" s="102"/>
      <c r="G919" s="102"/>
      <c r="H919" s="102"/>
      <c r="I919" s="154"/>
      <c r="J919" s="154"/>
      <c r="K919" s="154"/>
      <c r="L919" s="154"/>
      <c r="M919" s="154"/>
      <c r="N919" s="154"/>
      <c r="O919" s="154"/>
      <c r="P919" s="154"/>
      <c r="Q919" s="154"/>
      <c r="R919" s="102"/>
      <c r="S919" s="102"/>
      <c r="T919" s="102"/>
      <c r="U919" s="102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01"/>
    </row>
    <row r="920" spans="1:31" s="162" customFormat="1" x14ac:dyDescent="0.25">
      <c r="A920" s="101"/>
      <c r="B920" s="101"/>
      <c r="C920" s="102"/>
      <c r="D920" s="102"/>
      <c r="E920" s="102"/>
      <c r="F920" s="102"/>
      <c r="G920" s="102"/>
      <c r="H920" s="102"/>
      <c r="I920" s="154"/>
      <c r="J920" s="154"/>
      <c r="K920" s="154"/>
      <c r="L920" s="154"/>
      <c r="M920" s="154"/>
      <c r="N920" s="154"/>
      <c r="O920" s="154"/>
      <c r="P920" s="154"/>
      <c r="Q920" s="154"/>
      <c r="R920" s="102"/>
      <c r="S920" s="102"/>
      <c r="T920" s="102"/>
      <c r="U920" s="102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01"/>
    </row>
    <row r="921" spans="1:31" s="162" customFormat="1" x14ac:dyDescent="0.25">
      <c r="A921" s="101"/>
      <c r="B921" s="101"/>
      <c r="C921" s="102"/>
      <c r="D921" s="102"/>
      <c r="E921" s="102"/>
      <c r="F921" s="102"/>
      <c r="G921" s="102"/>
      <c r="H921" s="102"/>
      <c r="I921" s="154"/>
      <c r="J921" s="154"/>
      <c r="K921" s="154"/>
      <c r="L921" s="154"/>
      <c r="M921" s="154"/>
      <c r="N921" s="154"/>
      <c r="O921" s="154"/>
      <c r="P921" s="154"/>
      <c r="Q921" s="154"/>
      <c r="R921" s="102"/>
      <c r="S921" s="102"/>
      <c r="T921" s="102"/>
      <c r="U921" s="102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01"/>
    </row>
    <row r="922" spans="1:31" s="162" customFormat="1" x14ac:dyDescent="0.25">
      <c r="A922" s="101"/>
      <c r="B922" s="101"/>
      <c r="C922" s="102"/>
      <c r="D922" s="102"/>
      <c r="E922" s="102"/>
      <c r="F922" s="102"/>
      <c r="G922" s="102"/>
      <c r="H922" s="102"/>
      <c r="I922" s="154"/>
      <c r="J922" s="154"/>
      <c r="K922" s="154"/>
      <c r="L922" s="154"/>
      <c r="M922" s="154"/>
      <c r="N922" s="154"/>
      <c r="O922" s="154"/>
      <c r="P922" s="154"/>
      <c r="Q922" s="154"/>
      <c r="R922" s="102"/>
      <c r="S922" s="102"/>
      <c r="T922" s="102"/>
      <c r="U922" s="102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01"/>
    </row>
    <row r="923" spans="1:31" s="162" customFormat="1" x14ac:dyDescent="0.25">
      <c r="A923" s="101"/>
      <c r="B923" s="101"/>
      <c r="C923" s="102"/>
      <c r="D923" s="102"/>
      <c r="E923" s="102"/>
      <c r="F923" s="102"/>
      <c r="G923" s="102"/>
      <c r="H923" s="102"/>
      <c r="I923" s="154"/>
      <c r="J923" s="154"/>
      <c r="K923" s="154"/>
      <c r="L923" s="154"/>
      <c r="M923" s="154"/>
      <c r="N923" s="154"/>
      <c r="O923" s="154"/>
      <c r="P923" s="154"/>
      <c r="Q923" s="154"/>
      <c r="R923" s="102"/>
      <c r="S923" s="102"/>
      <c r="T923" s="102"/>
      <c r="U923" s="102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01"/>
    </row>
    <row r="924" spans="1:31" s="162" customFormat="1" x14ac:dyDescent="0.25">
      <c r="A924" s="101"/>
      <c r="B924" s="101"/>
      <c r="C924" s="102"/>
      <c r="D924" s="102"/>
      <c r="E924" s="102"/>
      <c r="F924" s="102"/>
      <c r="G924" s="102"/>
      <c r="H924" s="102"/>
      <c r="I924" s="154"/>
      <c r="J924" s="154"/>
      <c r="K924" s="154"/>
      <c r="L924" s="154"/>
      <c r="M924" s="154"/>
      <c r="N924" s="154"/>
      <c r="O924" s="154"/>
      <c r="P924" s="154"/>
      <c r="Q924" s="154"/>
      <c r="R924" s="102"/>
      <c r="S924" s="102"/>
      <c r="T924" s="102"/>
      <c r="U924" s="102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01"/>
    </row>
    <row r="925" spans="1:31" s="162" customFormat="1" x14ac:dyDescent="0.25">
      <c r="A925" s="101"/>
      <c r="B925" s="101"/>
      <c r="C925" s="102"/>
      <c r="D925" s="102"/>
      <c r="E925" s="102"/>
      <c r="F925" s="102"/>
      <c r="G925" s="102"/>
      <c r="H925" s="102"/>
      <c r="I925" s="154"/>
      <c r="J925" s="154"/>
      <c r="K925" s="154"/>
      <c r="L925" s="154"/>
      <c r="M925" s="154"/>
      <c r="N925" s="154"/>
      <c r="O925" s="154"/>
      <c r="P925" s="154"/>
      <c r="Q925" s="154"/>
      <c r="R925" s="102"/>
      <c r="S925" s="102"/>
      <c r="T925" s="102"/>
      <c r="U925" s="102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01"/>
    </row>
    <row r="926" spans="1:31" s="162" customFormat="1" x14ac:dyDescent="0.25">
      <c r="A926" s="101"/>
      <c r="B926" s="101"/>
      <c r="C926" s="102"/>
      <c r="D926" s="102"/>
      <c r="E926" s="102"/>
      <c r="F926" s="102"/>
      <c r="G926" s="102"/>
      <c r="H926" s="102"/>
      <c r="I926" s="154"/>
      <c r="J926" s="154"/>
      <c r="K926" s="154"/>
      <c r="L926" s="154"/>
      <c r="M926" s="154"/>
      <c r="N926" s="154"/>
      <c r="O926" s="154"/>
      <c r="P926" s="154"/>
      <c r="Q926" s="154"/>
      <c r="R926" s="102"/>
      <c r="S926" s="102"/>
      <c r="T926" s="102"/>
      <c r="U926" s="102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01"/>
    </row>
    <row r="927" spans="1:31" s="162" customFormat="1" x14ac:dyDescent="0.25">
      <c r="A927" s="101"/>
      <c r="B927" s="101"/>
      <c r="C927" s="102"/>
      <c r="D927" s="102"/>
      <c r="E927" s="102"/>
      <c r="F927" s="102"/>
      <c r="G927" s="102"/>
      <c r="H927" s="102"/>
      <c r="I927" s="154"/>
      <c r="J927" s="154"/>
      <c r="K927" s="154"/>
      <c r="L927" s="154"/>
      <c r="M927" s="154"/>
      <c r="N927" s="154"/>
      <c r="O927" s="154"/>
      <c r="P927" s="154"/>
      <c r="Q927" s="154"/>
      <c r="R927" s="102"/>
      <c r="S927" s="102"/>
      <c r="T927" s="102"/>
      <c r="U927" s="102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01"/>
    </row>
    <row r="928" spans="1:31" s="162" customFormat="1" x14ac:dyDescent="0.25">
      <c r="A928" s="101"/>
      <c r="B928" s="101"/>
      <c r="C928" s="102"/>
      <c r="D928" s="102"/>
      <c r="E928" s="102"/>
      <c r="F928" s="102"/>
      <c r="G928" s="102"/>
      <c r="H928" s="102"/>
      <c r="I928" s="154"/>
      <c r="J928" s="154"/>
      <c r="K928" s="154"/>
      <c r="L928" s="154"/>
      <c r="M928" s="154"/>
      <c r="N928" s="154"/>
      <c r="O928" s="154"/>
      <c r="P928" s="154"/>
      <c r="Q928" s="154"/>
      <c r="R928" s="102"/>
      <c r="S928" s="102"/>
      <c r="T928" s="102"/>
      <c r="U928" s="102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01"/>
    </row>
    <row r="929" spans="1:31" s="162" customFormat="1" x14ac:dyDescent="0.25">
      <c r="A929" s="101"/>
      <c r="B929" s="101"/>
      <c r="C929" s="102"/>
      <c r="D929" s="102"/>
      <c r="E929" s="102"/>
      <c r="F929" s="102"/>
      <c r="G929" s="102"/>
      <c r="H929" s="102"/>
      <c r="I929" s="154"/>
      <c r="J929" s="154"/>
      <c r="K929" s="154"/>
      <c r="L929" s="154"/>
      <c r="M929" s="154"/>
      <c r="N929" s="154"/>
      <c r="O929" s="154"/>
      <c r="P929" s="154"/>
      <c r="Q929" s="154"/>
      <c r="R929" s="102"/>
      <c r="S929" s="102"/>
      <c r="T929" s="102"/>
      <c r="U929" s="102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01"/>
    </row>
    <row r="930" spans="1:31" s="162" customFormat="1" x14ac:dyDescent="0.25">
      <c r="A930" s="101"/>
      <c r="B930" s="101"/>
      <c r="C930" s="102"/>
      <c r="D930" s="102"/>
      <c r="E930" s="102"/>
      <c r="F930" s="102"/>
      <c r="G930" s="102"/>
      <c r="H930" s="102"/>
      <c r="I930" s="154"/>
      <c r="J930" s="154"/>
      <c r="K930" s="154"/>
      <c r="L930" s="154"/>
      <c r="M930" s="154"/>
      <c r="N930" s="154"/>
      <c r="O930" s="154"/>
      <c r="P930" s="154"/>
      <c r="Q930" s="154"/>
      <c r="R930" s="102"/>
      <c r="S930" s="102"/>
      <c r="T930" s="102"/>
      <c r="U930" s="102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01"/>
    </row>
    <row r="931" spans="1:31" s="162" customFormat="1" x14ac:dyDescent="0.25">
      <c r="A931" s="101"/>
      <c r="B931" s="101"/>
      <c r="C931" s="102"/>
      <c r="D931" s="102"/>
      <c r="E931" s="102"/>
      <c r="F931" s="102"/>
      <c r="G931" s="102"/>
      <c r="H931" s="102"/>
      <c r="I931" s="154"/>
      <c r="J931" s="154"/>
      <c r="K931" s="154"/>
      <c r="L931" s="154"/>
      <c r="M931" s="154"/>
      <c r="N931" s="154"/>
      <c r="O931" s="154"/>
      <c r="P931" s="154"/>
      <c r="Q931" s="154"/>
      <c r="R931" s="102"/>
      <c r="S931" s="102"/>
      <c r="T931" s="102"/>
      <c r="U931" s="102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01"/>
    </row>
    <row r="932" spans="1:31" s="162" customFormat="1" x14ac:dyDescent="0.25">
      <c r="A932" s="101"/>
      <c r="B932" s="101"/>
      <c r="C932" s="102"/>
      <c r="D932" s="102"/>
      <c r="E932" s="102"/>
      <c r="F932" s="102"/>
      <c r="G932" s="102"/>
      <c r="H932" s="102"/>
      <c r="I932" s="154"/>
      <c r="J932" s="154"/>
      <c r="K932" s="154"/>
      <c r="L932" s="154"/>
      <c r="M932" s="154"/>
      <c r="N932" s="154"/>
      <c r="O932" s="154"/>
      <c r="P932" s="154"/>
      <c r="Q932" s="154"/>
      <c r="R932" s="102"/>
      <c r="S932" s="102"/>
      <c r="T932" s="102"/>
      <c r="U932" s="102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01"/>
    </row>
    <row r="933" spans="1:31" s="162" customFormat="1" x14ac:dyDescent="0.25">
      <c r="A933" s="101"/>
      <c r="B933" s="101"/>
      <c r="C933" s="102"/>
      <c r="D933" s="102"/>
      <c r="E933" s="102"/>
      <c r="F933" s="102"/>
      <c r="G933" s="102"/>
      <c r="H933" s="102"/>
      <c r="I933" s="154"/>
      <c r="J933" s="154"/>
      <c r="K933" s="154"/>
      <c r="L933" s="154"/>
      <c r="M933" s="154"/>
      <c r="N933" s="154"/>
      <c r="O933" s="154"/>
      <c r="P933" s="154"/>
      <c r="Q933" s="154"/>
      <c r="R933" s="102"/>
      <c r="S933" s="102"/>
      <c r="T933" s="102"/>
      <c r="U933" s="102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01"/>
    </row>
    <row r="934" spans="1:31" s="162" customFormat="1" x14ac:dyDescent="0.25">
      <c r="A934" s="101"/>
      <c r="B934" s="101"/>
      <c r="C934" s="102"/>
      <c r="D934" s="102"/>
      <c r="E934" s="102"/>
      <c r="F934" s="102"/>
      <c r="G934" s="102"/>
      <c r="H934" s="102"/>
      <c r="I934" s="154"/>
      <c r="J934" s="154"/>
      <c r="K934" s="154"/>
      <c r="L934" s="154"/>
      <c r="M934" s="154"/>
      <c r="N934" s="154"/>
      <c r="O934" s="154"/>
      <c r="P934" s="154"/>
      <c r="Q934" s="154"/>
      <c r="R934" s="102"/>
      <c r="S934" s="102"/>
      <c r="T934" s="102"/>
      <c r="U934" s="102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01"/>
    </row>
    <row r="935" spans="1:31" s="162" customFormat="1" x14ac:dyDescent="0.25">
      <c r="A935" s="101"/>
      <c r="B935" s="101"/>
      <c r="C935" s="102"/>
      <c r="D935" s="102"/>
      <c r="E935" s="102"/>
      <c r="F935" s="102"/>
      <c r="G935" s="102"/>
      <c r="H935" s="102"/>
      <c r="I935" s="154"/>
      <c r="J935" s="154"/>
      <c r="K935" s="154"/>
      <c r="L935" s="154"/>
      <c r="M935" s="154"/>
      <c r="N935" s="154"/>
      <c r="O935" s="154"/>
      <c r="P935" s="154"/>
      <c r="Q935" s="154"/>
      <c r="R935" s="102"/>
      <c r="S935" s="102"/>
      <c r="T935" s="102"/>
      <c r="U935" s="102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01"/>
    </row>
    <row r="936" spans="1:31" s="162" customFormat="1" x14ac:dyDescent="0.25">
      <c r="A936" s="101"/>
      <c r="B936" s="101"/>
      <c r="C936" s="102"/>
      <c r="D936" s="102"/>
      <c r="E936" s="102"/>
      <c r="F936" s="102"/>
      <c r="G936" s="102"/>
      <c r="H936" s="102"/>
      <c r="I936" s="154"/>
      <c r="J936" s="154"/>
      <c r="K936" s="154"/>
      <c r="L936" s="154"/>
      <c r="M936" s="154"/>
      <c r="N936" s="154"/>
      <c r="O936" s="154"/>
      <c r="P936" s="154"/>
      <c r="Q936" s="154"/>
      <c r="R936" s="102"/>
      <c r="S936" s="102"/>
      <c r="T936" s="102"/>
      <c r="U936" s="102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01"/>
    </row>
    <row r="937" spans="1:31" s="162" customFormat="1" x14ac:dyDescent="0.25">
      <c r="A937" s="101"/>
      <c r="B937" s="101"/>
      <c r="C937" s="102"/>
      <c r="D937" s="102"/>
      <c r="E937" s="102"/>
      <c r="F937" s="102"/>
      <c r="G937" s="102"/>
      <c r="H937" s="102"/>
      <c r="I937" s="154"/>
      <c r="J937" s="154"/>
      <c r="K937" s="154"/>
      <c r="L937" s="154"/>
      <c r="M937" s="154"/>
      <c r="N937" s="154"/>
      <c r="O937" s="154"/>
      <c r="P937" s="154"/>
      <c r="Q937" s="154"/>
      <c r="R937" s="102"/>
      <c r="S937" s="102"/>
      <c r="T937" s="102"/>
      <c r="U937" s="102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01"/>
    </row>
    <row r="938" spans="1:31" s="162" customFormat="1" x14ac:dyDescent="0.25">
      <c r="A938" s="101"/>
      <c r="B938" s="101"/>
      <c r="C938" s="102"/>
      <c r="D938" s="102"/>
      <c r="E938" s="102"/>
      <c r="F938" s="102"/>
      <c r="G938" s="102"/>
      <c r="H938" s="102"/>
      <c r="I938" s="154"/>
      <c r="J938" s="154"/>
      <c r="K938" s="154"/>
      <c r="L938" s="154"/>
      <c r="M938" s="154"/>
      <c r="N938" s="154"/>
      <c r="O938" s="154"/>
      <c r="P938" s="154"/>
      <c r="Q938" s="154"/>
      <c r="R938" s="102"/>
      <c r="S938" s="102"/>
      <c r="T938" s="102"/>
      <c r="U938" s="102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01"/>
    </row>
    <row r="939" spans="1:31" s="162" customFormat="1" x14ac:dyDescent="0.25">
      <c r="A939" s="101"/>
      <c r="B939" s="101"/>
      <c r="C939" s="102"/>
      <c r="D939" s="102"/>
      <c r="E939" s="102"/>
      <c r="F939" s="102"/>
      <c r="G939" s="102"/>
      <c r="H939" s="102"/>
      <c r="I939" s="154"/>
      <c r="J939" s="154"/>
      <c r="K939" s="154"/>
      <c r="L939" s="154"/>
      <c r="M939" s="154"/>
      <c r="N939" s="154"/>
      <c r="O939" s="154"/>
      <c r="P939" s="154"/>
      <c r="Q939" s="154"/>
      <c r="R939" s="102"/>
      <c r="S939" s="102"/>
      <c r="T939" s="102"/>
      <c r="U939" s="102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01"/>
    </row>
    <row r="940" spans="1:31" s="162" customFormat="1" x14ac:dyDescent="0.25">
      <c r="A940" s="101"/>
      <c r="B940" s="101"/>
      <c r="C940" s="102"/>
      <c r="D940" s="102"/>
      <c r="E940" s="102"/>
      <c r="F940" s="102"/>
      <c r="G940" s="102"/>
      <c r="H940" s="102"/>
      <c r="I940" s="154"/>
      <c r="J940" s="154"/>
      <c r="K940" s="154"/>
      <c r="L940" s="154"/>
      <c r="M940" s="154"/>
      <c r="N940" s="154"/>
      <c r="O940" s="154"/>
      <c r="P940" s="154"/>
      <c r="Q940" s="154"/>
      <c r="R940" s="102"/>
      <c r="S940" s="102"/>
      <c r="T940" s="102"/>
      <c r="U940" s="102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01"/>
    </row>
    <row r="941" spans="1:31" s="162" customFormat="1" x14ac:dyDescent="0.25">
      <c r="A941" s="101"/>
      <c r="B941" s="101"/>
      <c r="C941" s="102"/>
      <c r="D941" s="102"/>
      <c r="E941" s="102"/>
      <c r="F941" s="102"/>
      <c r="G941" s="102"/>
      <c r="H941" s="102"/>
      <c r="I941" s="154"/>
      <c r="J941" s="154"/>
      <c r="K941" s="154"/>
      <c r="L941" s="154"/>
      <c r="M941" s="154"/>
      <c r="N941" s="154"/>
      <c r="O941" s="154"/>
      <c r="P941" s="154"/>
      <c r="Q941" s="154"/>
      <c r="R941" s="102"/>
      <c r="S941" s="102"/>
      <c r="T941" s="102"/>
      <c r="U941" s="102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01"/>
    </row>
    <row r="942" spans="1:31" s="162" customFormat="1" x14ac:dyDescent="0.25">
      <c r="A942" s="101"/>
      <c r="B942" s="101"/>
      <c r="C942" s="102"/>
      <c r="D942" s="102"/>
      <c r="E942" s="102"/>
      <c r="F942" s="102"/>
      <c r="G942" s="102"/>
      <c r="H942" s="102"/>
      <c r="I942" s="154"/>
      <c r="J942" s="154"/>
      <c r="K942" s="154"/>
      <c r="L942" s="154"/>
      <c r="M942" s="154"/>
      <c r="N942" s="154"/>
      <c r="O942" s="154"/>
      <c r="P942" s="154"/>
      <c r="Q942" s="154"/>
      <c r="R942" s="102"/>
      <c r="S942" s="102"/>
      <c r="T942" s="102"/>
      <c r="U942" s="102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01"/>
    </row>
    <row r="943" spans="1:31" s="162" customFormat="1" x14ac:dyDescent="0.25">
      <c r="A943" s="101"/>
      <c r="B943" s="101"/>
      <c r="C943" s="102"/>
      <c r="D943" s="102"/>
      <c r="E943" s="102"/>
      <c r="F943" s="102"/>
      <c r="G943" s="102"/>
      <c r="H943" s="102"/>
      <c r="I943" s="154"/>
      <c r="J943" s="154"/>
      <c r="K943" s="154"/>
      <c r="L943" s="154"/>
      <c r="M943" s="154"/>
      <c r="N943" s="154"/>
      <c r="O943" s="154"/>
      <c r="P943" s="154"/>
      <c r="Q943" s="154"/>
      <c r="R943" s="102"/>
      <c r="S943" s="102"/>
      <c r="T943" s="102"/>
      <c r="U943" s="102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01"/>
    </row>
    <row r="944" spans="1:31" s="162" customFormat="1" x14ac:dyDescent="0.25">
      <c r="A944" s="101"/>
      <c r="B944" s="101"/>
      <c r="C944" s="102"/>
      <c r="D944" s="102"/>
      <c r="E944" s="102"/>
      <c r="F944" s="102"/>
      <c r="G944" s="102"/>
      <c r="H944" s="102"/>
      <c r="I944" s="154"/>
      <c r="J944" s="154"/>
      <c r="K944" s="154"/>
      <c r="L944" s="154"/>
      <c r="M944" s="154"/>
      <c r="N944" s="154"/>
      <c r="O944" s="154"/>
      <c r="P944" s="154"/>
      <c r="Q944" s="154"/>
      <c r="R944" s="102"/>
      <c r="S944" s="102"/>
      <c r="T944" s="102"/>
      <c r="U944" s="102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01"/>
    </row>
    <row r="945" spans="1:31" s="162" customFormat="1" x14ac:dyDescent="0.25">
      <c r="A945" s="101"/>
      <c r="B945" s="101"/>
      <c r="C945" s="102"/>
      <c r="D945" s="102"/>
      <c r="E945" s="102"/>
      <c r="F945" s="102"/>
      <c r="G945" s="102"/>
      <c r="H945" s="102"/>
      <c r="I945" s="154"/>
      <c r="J945" s="154"/>
      <c r="K945" s="154"/>
      <c r="L945" s="154"/>
      <c r="M945" s="154"/>
      <c r="N945" s="154"/>
      <c r="O945" s="154"/>
      <c r="P945" s="154"/>
      <c r="Q945" s="154"/>
      <c r="R945" s="102"/>
      <c r="S945" s="102"/>
      <c r="T945" s="102"/>
      <c r="U945" s="102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01"/>
    </row>
    <row r="946" spans="1:31" s="162" customFormat="1" x14ac:dyDescent="0.25">
      <c r="A946" s="101"/>
      <c r="B946" s="101"/>
      <c r="C946" s="102"/>
      <c r="D946" s="102"/>
      <c r="E946" s="102"/>
      <c r="F946" s="102"/>
      <c r="G946" s="102"/>
      <c r="H946" s="102"/>
      <c r="I946" s="154"/>
      <c r="J946" s="154"/>
      <c r="K946" s="154"/>
      <c r="L946" s="154"/>
      <c r="M946" s="154"/>
      <c r="N946" s="154"/>
      <c r="O946" s="154"/>
      <c r="P946" s="154"/>
      <c r="Q946" s="154"/>
      <c r="R946" s="102"/>
      <c r="S946" s="102"/>
      <c r="T946" s="102"/>
      <c r="U946" s="102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01"/>
    </row>
    <row r="947" spans="1:31" s="162" customFormat="1" x14ac:dyDescent="0.25">
      <c r="A947" s="101"/>
      <c r="B947" s="101"/>
      <c r="C947" s="102"/>
      <c r="D947" s="102"/>
      <c r="E947" s="102"/>
      <c r="F947" s="102"/>
      <c r="G947" s="102"/>
      <c r="H947" s="102"/>
      <c r="I947" s="154"/>
      <c r="J947" s="154"/>
      <c r="K947" s="154"/>
      <c r="L947" s="154"/>
      <c r="M947" s="154"/>
      <c r="N947" s="154"/>
      <c r="O947" s="154"/>
      <c r="P947" s="154"/>
      <c r="Q947" s="154"/>
      <c r="R947" s="102"/>
      <c r="S947" s="102"/>
      <c r="T947" s="102"/>
      <c r="U947" s="102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01"/>
    </row>
    <row r="948" spans="1:31" s="162" customFormat="1" x14ac:dyDescent="0.25">
      <c r="A948" s="101"/>
      <c r="B948" s="101"/>
      <c r="C948" s="102"/>
      <c r="D948" s="102"/>
      <c r="E948" s="102"/>
      <c r="F948" s="102"/>
      <c r="G948" s="102"/>
      <c r="H948" s="102"/>
      <c r="I948" s="154"/>
      <c r="J948" s="154"/>
      <c r="K948" s="154"/>
      <c r="L948" s="154"/>
      <c r="M948" s="154"/>
      <c r="N948" s="154"/>
      <c r="O948" s="154"/>
      <c r="P948" s="154"/>
      <c r="Q948" s="154"/>
      <c r="R948" s="102"/>
      <c r="S948" s="102"/>
      <c r="T948" s="102"/>
      <c r="U948" s="102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01"/>
    </row>
    <row r="949" spans="1:31" s="162" customFormat="1" x14ac:dyDescent="0.25">
      <c r="A949" s="101"/>
      <c r="B949" s="101"/>
      <c r="C949" s="102"/>
      <c r="D949" s="102"/>
      <c r="E949" s="102"/>
      <c r="F949" s="102"/>
      <c r="G949" s="102"/>
      <c r="H949" s="102"/>
      <c r="I949" s="154"/>
      <c r="J949" s="154"/>
      <c r="K949" s="154"/>
      <c r="L949" s="154"/>
      <c r="M949" s="154"/>
      <c r="N949" s="154"/>
      <c r="O949" s="154"/>
      <c r="P949" s="154"/>
      <c r="Q949" s="154"/>
      <c r="R949" s="102"/>
      <c r="S949" s="102"/>
      <c r="T949" s="102"/>
      <c r="U949" s="102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01"/>
    </row>
    <row r="950" spans="1:31" s="162" customFormat="1" x14ac:dyDescent="0.25">
      <c r="A950" s="101"/>
      <c r="B950" s="101"/>
      <c r="C950" s="102"/>
      <c r="D950" s="102"/>
      <c r="E950" s="102"/>
      <c r="F950" s="102"/>
      <c r="G950" s="102"/>
      <c r="H950" s="102"/>
      <c r="I950" s="154"/>
      <c r="J950" s="154"/>
      <c r="K950" s="154"/>
      <c r="L950" s="154"/>
      <c r="M950" s="154"/>
      <c r="N950" s="154"/>
      <c r="O950" s="154"/>
      <c r="P950" s="154"/>
      <c r="Q950" s="154"/>
      <c r="R950" s="102"/>
      <c r="S950" s="102"/>
      <c r="T950" s="102"/>
      <c r="U950" s="102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01"/>
    </row>
    <row r="951" spans="1:31" s="162" customFormat="1" x14ac:dyDescent="0.25">
      <c r="A951" s="101"/>
      <c r="B951" s="101"/>
      <c r="C951" s="102"/>
      <c r="D951" s="102"/>
      <c r="E951" s="102"/>
      <c r="F951" s="102"/>
      <c r="G951" s="102"/>
      <c r="H951" s="102"/>
      <c r="I951" s="154"/>
      <c r="J951" s="154"/>
      <c r="K951" s="154"/>
      <c r="L951" s="154"/>
      <c r="M951" s="154"/>
      <c r="N951" s="154"/>
      <c r="O951" s="154"/>
      <c r="P951" s="154"/>
      <c r="Q951" s="154"/>
      <c r="R951" s="102"/>
      <c r="S951" s="102"/>
      <c r="T951" s="102"/>
      <c r="U951" s="102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01"/>
    </row>
    <row r="952" spans="1:31" s="162" customFormat="1" x14ac:dyDescent="0.25">
      <c r="A952" s="101"/>
      <c r="B952" s="101"/>
      <c r="C952" s="102"/>
      <c r="D952" s="102"/>
      <c r="E952" s="102"/>
      <c r="F952" s="102"/>
      <c r="G952" s="102"/>
      <c r="H952" s="102"/>
      <c r="I952" s="154"/>
      <c r="J952" s="154"/>
      <c r="K952" s="154"/>
      <c r="L952" s="154"/>
      <c r="M952" s="154"/>
      <c r="N952" s="154"/>
      <c r="O952" s="154"/>
      <c r="P952" s="154"/>
      <c r="Q952" s="154"/>
      <c r="R952" s="102"/>
      <c r="S952" s="102"/>
      <c r="T952" s="102"/>
      <c r="U952" s="102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01"/>
    </row>
    <row r="953" spans="1:31" s="162" customFormat="1" x14ac:dyDescent="0.25">
      <c r="A953" s="101"/>
      <c r="B953" s="101"/>
      <c r="C953" s="102"/>
      <c r="D953" s="102"/>
      <c r="E953" s="102"/>
      <c r="F953" s="102"/>
      <c r="G953" s="102"/>
      <c r="H953" s="102"/>
      <c r="I953" s="154"/>
      <c r="J953" s="154"/>
      <c r="K953" s="154"/>
      <c r="L953" s="154"/>
      <c r="M953" s="154"/>
      <c r="N953" s="154"/>
      <c r="O953" s="154"/>
      <c r="P953" s="154"/>
      <c r="Q953" s="154"/>
      <c r="R953" s="102"/>
      <c r="S953" s="102"/>
      <c r="T953" s="102"/>
      <c r="U953" s="102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01"/>
    </row>
    <row r="954" spans="1:31" s="162" customFormat="1" x14ac:dyDescent="0.25">
      <c r="A954" s="101"/>
      <c r="B954" s="101"/>
      <c r="C954" s="102"/>
      <c r="D954" s="102"/>
      <c r="E954" s="102"/>
      <c r="F954" s="102"/>
      <c r="G954" s="102"/>
      <c r="H954" s="102"/>
      <c r="I954" s="154"/>
      <c r="J954" s="154"/>
      <c r="K954" s="154"/>
      <c r="L954" s="154"/>
      <c r="M954" s="154"/>
      <c r="N954" s="154"/>
      <c r="O954" s="154"/>
      <c r="P954" s="154"/>
      <c r="Q954" s="154"/>
      <c r="R954" s="102"/>
      <c r="S954" s="102"/>
      <c r="T954" s="102"/>
      <c r="U954" s="102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01"/>
    </row>
    <row r="955" spans="1:31" s="162" customFormat="1" x14ac:dyDescent="0.25">
      <c r="A955" s="101"/>
      <c r="B955" s="101"/>
      <c r="C955" s="102"/>
      <c r="D955" s="102"/>
      <c r="E955" s="102"/>
      <c r="F955" s="102"/>
      <c r="G955" s="102"/>
      <c r="H955" s="102"/>
      <c r="I955" s="154"/>
      <c r="J955" s="154"/>
      <c r="K955" s="154"/>
      <c r="L955" s="154"/>
      <c r="M955" s="154"/>
      <c r="N955" s="154"/>
      <c r="O955" s="154"/>
      <c r="P955" s="154"/>
      <c r="Q955" s="154"/>
      <c r="R955" s="102"/>
      <c r="S955" s="102"/>
      <c r="T955" s="102"/>
      <c r="U955" s="102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01"/>
    </row>
    <row r="956" spans="1:31" s="162" customFormat="1" x14ac:dyDescent="0.25">
      <c r="A956" s="101"/>
      <c r="B956" s="101"/>
      <c r="C956" s="102"/>
      <c r="D956" s="102"/>
      <c r="E956" s="102"/>
      <c r="F956" s="102"/>
      <c r="G956" s="102"/>
      <c r="H956" s="102"/>
      <c r="I956" s="154"/>
      <c r="J956" s="154"/>
      <c r="K956" s="154"/>
      <c r="L956" s="154"/>
      <c r="M956" s="154"/>
      <c r="N956" s="154"/>
      <c r="O956" s="154"/>
      <c r="P956" s="154"/>
      <c r="Q956" s="154"/>
      <c r="R956" s="102"/>
      <c r="S956" s="102"/>
      <c r="T956" s="102"/>
      <c r="U956" s="102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01"/>
    </row>
    <row r="957" spans="1:31" s="162" customFormat="1" x14ac:dyDescent="0.25">
      <c r="A957" s="101"/>
      <c r="B957" s="101"/>
      <c r="C957" s="102"/>
      <c r="D957" s="102"/>
      <c r="E957" s="102"/>
      <c r="F957" s="102"/>
      <c r="G957" s="102"/>
      <c r="H957" s="102"/>
      <c r="I957" s="154"/>
      <c r="J957" s="154"/>
      <c r="K957" s="154"/>
      <c r="L957" s="154"/>
      <c r="M957" s="154"/>
      <c r="N957" s="154"/>
      <c r="O957" s="154"/>
      <c r="P957" s="154"/>
      <c r="Q957" s="154"/>
      <c r="R957" s="102"/>
      <c r="S957" s="102"/>
      <c r="T957" s="102"/>
      <c r="U957" s="102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01"/>
    </row>
    <row r="958" spans="1:31" s="162" customFormat="1" x14ac:dyDescent="0.25">
      <c r="A958" s="101"/>
      <c r="B958" s="101"/>
      <c r="C958" s="102"/>
      <c r="D958" s="102"/>
      <c r="E958" s="102"/>
      <c r="F958" s="102"/>
      <c r="G958" s="102"/>
      <c r="H958" s="102"/>
      <c r="I958" s="154"/>
      <c r="J958" s="154"/>
      <c r="K958" s="154"/>
      <c r="L958" s="154"/>
      <c r="M958" s="154"/>
      <c r="N958" s="154"/>
      <c r="O958" s="154"/>
      <c r="P958" s="154"/>
      <c r="Q958" s="154"/>
      <c r="R958" s="102"/>
      <c r="S958" s="102"/>
      <c r="T958" s="102"/>
      <c r="U958" s="102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01"/>
    </row>
    <row r="959" spans="1:31" s="162" customFormat="1" x14ac:dyDescent="0.25">
      <c r="A959" s="101"/>
      <c r="B959" s="101"/>
      <c r="C959" s="102"/>
      <c r="D959" s="102"/>
      <c r="E959" s="102"/>
      <c r="F959" s="102"/>
      <c r="G959" s="102"/>
      <c r="H959" s="102"/>
      <c r="I959" s="154"/>
      <c r="J959" s="154"/>
      <c r="K959" s="154"/>
      <c r="L959" s="154"/>
      <c r="M959" s="154"/>
      <c r="N959" s="154"/>
      <c r="O959" s="154"/>
      <c r="P959" s="154"/>
      <c r="Q959" s="154"/>
      <c r="R959" s="102"/>
      <c r="S959" s="102"/>
      <c r="T959" s="102"/>
      <c r="U959" s="102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01"/>
    </row>
    <row r="960" spans="1:31" s="162" customFormat="1" x14ac:dyDescent="0.25">
      <c r="A960" s="101"/>
      <c r="B960" s="101"/>
      <c r="C960" s="102"/>
      <c r="D960" s="102"/>
      <c r="E960" s="102"/>
      <c r="F960" s="102"/>
      <c r="G960" s="102"/>
      <c r="H960" s="102"/>
      <c r="I960" s="154"/>
      <c r="J960" s="154"/>
      <c r="K960" s="154"/>
      <c r="L960" s="154"/>
      <c r="M960" s="154"/>
      <c r="N960" s="154"/>
      <c r="O960" s="154"/>
      <c r="P960" s="154"/>
      <c r="Q960" s="154"/>
      <c r="R960" s="102"/>
      <c r="S960" s="102"/>
      <c r="T960" s="102"/>
      <c r="U960" s="102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01"/>
    </row>
    <row r="961" spans="1:31" s="162" customFormat="1" x14ac:dyDescent="0.25">
      <c r="A961" s="101"/>
      <c r="B961" s="101"/>
      <c r="C961" s="102"/>
      <c r="D961" s="102"/>
      <c r="E961" s="102"/>
      <c r="F961" s="102"/>
      <c r="G961" s="102"/>
      <c r="H961" s="102"/>
      <c r="I961" s="154"/>
      <c r="J961" s="154"/>
      <c r="K961" s="154"/>
      <c r="L961" s="154"/>
      <c r="M961" s="154"/>
      <c r="N961" s="154"/>
      <c r="O961" s="154"/>
      <c r="P961" s="154"/>
      <c r="Q961" s="154"/>
      <c r="R961" s="102"/>
      <c r="S961" s="102"/>
      <c r="T961" s="102"/>
      <c r="U961" s="102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01"/>
    </row>
    <row r="962" spans="1:31" s="162" customFormat="1" x14ac:dyDescent="0.25">
      <c r="A962" s="101"/>
      <c r="B962" s="101"/>
      <c r="C962" s="102"/>
      <c r="D962" s="102"/>
      <c r="E962" s="102"/>
      <c r="F962" s="102"/>
      <c r="G962" s="102"/>
      <c r="H962" s="102"/>
      <c r="I962" s="154"/>
      <c r="J962" s="154"/>
      <c r="K962" s="154"/>
      <c r="L962" s="154"/>
      <c r="M962" s="154"/>
      <c r="N962" s="154"/>
      <c r="O962" s="154"/>
      <c r="P962" s="154"/>
      <c r="Q962" s="154"/>
      <c r="R962" s="102"/>
      <c r="S962" s="102"/>
      <c r="T962" s="102"/>
      <c r="U962" s="102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01"/>
    </row>
    <row r="963" spans="1:31" s="162" customFormat="1" x14ac:dyDescent="0.25">
      <c r="A963" s="101"/>
      <c r="B963" s="101"/>
      <c r="C963" s="102"/>
      <c r="D963" s="102"/>
      <c r="E963" s="102"/>
      <c r="F963" s="102"/>
      <c r="G963" s="102"/>
      <c r="H963" s="102"/>
      <c r="I963" s="154"/>
      <c r="J963" s="154"/>
      <c r="K963" s="154"/>
      <c r="L963" s="154"/>
      <c r="M963" s="154"/>
      <c r="N963" s="154"/>
      <c r="O963" s="154"/>
      <c r="P963" s="154"/>
      <c r="Q963" s="154"/>
      <c r="R963" s="102"/>
      <c r="S963" s="102"/>
      <c r="T963" s="102"/>
      <c r="U963" s="102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01"/>
    </row>
    <row r="964" spans="1:31" s="162" customFormat="1" x14ac:dyDescent="0.25">
      <c r="A964" s="101"/>
      <c r="B964" s="101"/>
      <c r="C964" s="102"/>
      <c r="D964" s="102"/>
      <c r="E964" s="102"/>
      <c r="F964" s="102"/>
      <c r="G964" s="102"/>
      <c r="H964" s="102"/>
      <c r="I964" s="154"/>
      <c r="J964" s="154"/>
      <c r="K964" s="154"/>
      <c r="L964" s="154"/>
      <c r="M964" s="154"/>
      <c r="N964" s="154"/>
      <c r="O964" s="154"/>
      <c r="P964" s="154"/>
      <c r="Q964" s="154"/>
      <c r="R964" s="102"/>
      <c r="S964" s="102"/>
      <c r="T964" s="102"/>
      <c r="U964" s="102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01"/>
    </row>
    <row r="965" spans="1:31" s="162" customFormat="1" x14ac:dyDescent="0.25">
      <c r="A965" s="101"/>
      <c r="B965" s="101"/>
      <c r="C965" s="102"/>
      <c r="D965" s="102"/>
      <c r="E965" s="102"/>
      <c r="F965" s="102"/>
      <c r="G965" s="102"/>
      <c r="H965" s="102"/>
      <c r="I965" s="154"/>
      <c r="J965" s="154"/>
      <c r="K965" s="154"/>
      <c r="L965" s="154"/>
      <c r="M965" s="154"/>
      <c r="N965" s="154"/>
      <c r="O965" s="154"/>
      <c r="P965" s="154"/>
      <c r="Q965" s="154"/>
      <c r="R965" s="102"/>
      <c r="S965" s="102"/>
      <c r="T965" s="102"/>
      <c r="U965" s="102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01"/>
    </row>
    <row r="966" spans="1:31" s="162" customFormat="1" x14ac:dyDescent="0.25">
      <c r="A966" s="101"/>
      <c r="B966" s="101"/>
      <c r="C966" s="102"/>
      <c r="D966" s="102"/>
      <c r="E966" s="102"/>
      <c r="F966" s="102"/>
      <c r="G966" s="102"/>
      <c r="H966" s="102"/>
      <c r="I966" s="154"/>
      <c r="J966" s="154"/>
      <c r="K966" s="154"/>
      <c r="L966" s="154"/>
      <c r="M966" s="154"/>
      <c r="N966" s="154"/>
      <c r="O966" s="154"/>
      <c r="P966" s="154"/>
      <c r="Q966" s="154"/>
      <c r="R966" s="102"/>
      <c r="S966" s="102"/>
      <c r="T966" s="102"/>
      <c r="U966" s="102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01"/>
    </row>
    <row r="967" spans="1:31" s="162" customFormat="1" x14ac:dyDescent="0.25">
      <c r="A967" s="101"/>
      <c r="B967" s="101"/>
      <c r="C967" s="102"/>
      <c r="D967" s="102"/>
      <c r="E967" s="102"/>
      <c r="F967" s="102"/>
      <c r="G967" s="102"/>
      <c r="H967" s="102"/>
      <c r="I967" s="154"/>
      <c r="J967" s="154"/>
      <c r="K967" s="154"/>
      <c r="L967" s="154"/>
      <c r="M967" s="154"/>
      <c r="N967" s="154"/>
      <c r="O967" s="154"/>
      <c r="P967" s="154"/>
      <c r="Q967" s="154"/>
      <c r="R967" s="102"/>
      <c r="S967" s="102"/>
      <c r="T967" s="102"/>
      <c r="U967" s="102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01"/>
    </row>
    <row r="968" spans="1:31" s="162" customFormat="1" x14ac:dyDescent="0.25">
      <c r="A968" s="101"/>
      <c r="B968" s="101"/>
      <c r="C968" s="102"/>
      <c r="D968" s="102"/>
      <c r="E968" s="102"/>
      <c r="F968" s="102"/>
      <c r="G968" s="102"/>
      <c r="H968" s="102"/>
      <c r="I968" s="154"/>
      <c r="J968" s="154"/>
      <c r="K968" s="154"/>
      <c r="L968" s="154"/>
      <c r="M968" s="154"/>
      <c r="N968" s="154"/>
      <c r="O968" s="154"/>
      <c r="P968" s="154"/>
      <c r="Q968" s="154"/>
      <c r="R968" s="102"/>
      <c r="S968" s="102"/>
      <c r="T968" s="102"/>
      <c r="U968" s="102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01"/>
    </row>
    <row r="969" spans="1:31" s="162" customFormat="1" x14ac:dyDescent="0.25">
      <c r="A969" s="101"/>
      <c r="B969" s="101"/>
      <c r="C969" s="102"/>
      <c r="D969" s="102"/>
      <c r="E969" s="102"/>
      <c r="F969" s="102"/>
      <c r="G969" s="102"/>
      <c r="H969" s="102"/>
      <c r="I969" s="154"/>
      <c r="J969" s="154"/>
      <c r="K969" s="154"/>
      <c r="L969" s="154"/>
      <c r="M969" s="154"/>
      <c r="N969" s="154"/>
      <c r="O969" s="154"/>
      <c r="P969" s="154"/>
      <c r="Q969" s="154"/>
      <c r="R969" s="102"/>
      <c r="S969" s="102"/>
      <c r="T969" s="102"/>
      <c r="U969" s="102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01"/>
    </row>
    <row r="970" spans="1:31" s="162" customFormat="1" x14ac:dyDescent="0.25">
      <c r="A970" s="101"/>
      <c r="B970" s="101"/>
      <c r="C970" s="102"/>
      <c r="D970" s="102"/>
      <c r="E970" s="102"/>
      <c r="F970" s="102"/>
      <c r="G970" s="102"/>
      <c r="H970" s="102"/>
      <c r="I970" s="154"/>
      <c r="J970" s="154"/>
      <c r="K970" s="154"/>
      <c r="L970" s="154"/>
      <c r="M970" s="154"/>
      <c r="N970" s="154"/>
      <c r="O970" s="154"/>
      <c r="P970" s="154"/>
      <c r="Q970" s="154"/>
      <c r="R970" s="102"/>
      <c r="S970" s="102"/>
      <c r="T970" s="102"/>
      <c r="U970" s="102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01"/>
    </row>
    <row r="971" spans="1:31" s="162" customFormat="1" x14ac:dyDescent="0.25">
      <c r="A971" s="101"/>
      <c r="B971" s="101"/>
      <c r="C971" s="102"/>
      <c r="D971" s="102"/>
      <c r="E971" s="102"/>
      <c r="F971" s="102"/>
      <c r="G971" s="102"/>
      <c r="H971" s="102"/>
      <c r="I971" s="154"/>
      <c r="J971" s="154"/>
      <c r="K971" s="154"/>
      <c r="L971" s="154"/>
      <c r="M971" s="154"/>
      <c r="N971" s="154"/>
      <c r="O971" s="154"/>
      <c r="P971" s="154"/>
      <c r="Q971" s="154"/>
      <c r="R971" s="102"/>
      <c r="S971" s="102"/>
      <c r="T971" s="102"/>
      <c r="U971" s="102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01"/>
    </row>
    <row r="972" spans="1:31" s="162" customFormat="1" x14ac:dyDescent="0.25">
      <c r="A972" s="101"/>
      <c r="B972" s="101"/>
      <c r="C972" s="102"/>
      <c r="D972" s="102"/>
      <c r="E972" s="102"/>
      <c r="F972" s="102"/>
      <c r="G972" s="102"/>
      <c r="H972" s="102"/>
      <c r="I972" s="154"/>
      <c r="J972" s="154"/>
      <c r="K972" s="154"/>
      <c r="L972" s="154"/>
      <c r="M972" s="154"/>
      <c r="N972" s="154"/>
      <c r="O972" s="154"/>
      <c r="P972" s="154"/>
      <c r="Q972" s="154"/>
      <c r="R972" s="102"/>
      <c r="S972" s="102"/>
      <c r="T972" s="102"/>
      <c r="U972" s="102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01"/>
    </row>
    <row r="973" spans="1:31" s="162" customFormat="1" x14ac:dyDescent="0.25">
      <c r="A973" s="101"/>
      <c r="B973" s="101"/>
      <c r="C973" s="102"/>
      <c r="D973" s="102"/>
      <c r="E973" s="102"/>
      <c r="F973" s="102"/>
      <c r="G973" s="102"/>
      <c r="H973" s="102"/>
      <c r="I973" s="154"/>
      <c r="J973" s="154"/>
      <c r="K973" s="154"/>
      <c r="L973" s="154"/>
      <c r="M973" s="154"/>
      <c r="N973" s="154"/>
      <c r="O973" s="154"/>
      <c r="P973" s="154"/>
      <c r="Q973" s="154"/>
      <c r="R973" s="102"/>
      <c r="S973" s="102"/>
      <c r="T973" s="102"/>
      <c r="U973" s="102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01"/>
    </row>
    <row r="974" spans="1:31" s="162" customFormat="1" x14ac:dyDescent="0.25">
      <c r="A974" s="101"/>
      <c r="B974" s="101"/>
      <c r="C974" s="102"/>
      <c r="D974" s="102"/>
      <c r="E974" s="102"/>
      <c r="F974" s="102"/>
      <c r="G974" s="102"/>
      <c r="H974" s="102"/>
      <c r="I974" s="154"/>
      <c r="J974" s="154"/>
      <c r="K974" s="154"/>
      <c r="L974" s="154"/>
      <c r="M974" s="154"/>
      <c r="N974" s="154"/>
      <c r="O974" s="154"/>
      <c r="P974" s="154"/>
      <c r="Q974" s="154"/>
      <c r="R974" s="102"/>
      <c r="S974" s="102"/>
      <c r="T974" s="102"/>
      <c r="U974" s="102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01"/>
    </row>
    <row r="975" spans="1:31" s="162" customFormat="1" x14ac:dyDescent="0.25">
      <c r="A975" s="101"/>
      <c r="B975" s="101"/>
      <c r="C975" s="102"/>
      <c r="D975" s="102"/>
      <c r="E975" s="102"/>
      <c r="F975" s="102"/>
      <c r="G975" s="102"/>
      <c r="H975" s="102"/>
      <c r="I975" s="154"/>
      <c r="J975" s="154"/>
      <c r="K975" s="154"/>
      <c r="L975" s="154"/>
      <c r="M975" s="154"/>
      <c r="N975" s="154"/>
      <c r="O975" s="154"/>
      <c r="P975" s="154"/>
      <c r="Q975" s="154"/>
      <c r="R975" s="102"/>
      <c r="S975" s="102"/>
      <c r="T975" s="102"/>
      <c r="U975" s="102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01"/>
    </row>
    <row r="976" spans="1:31" s="162" customFormat="1" x14ac:dyDescent="0.25">
      <c r="A976" s="101"/>
      <c r="B976" s="101"/>
      <c r="C976" s="102"/>
      <c r="D976" s="102"/>
      <c r="E976" s="102"/>
      <c r="F976" s="102"/>
      <c r="G976" s="102"/>
      <c r="H976" s="102"/>
      <c r="I976" s="154"/>
      <c r="J976" s="154"/>
      <c r="K976" s="154"/>
      <c r="L976" s="154"/>
      <c r="M976" s="154"/>
      <c r="N976" s="154"/>
      <c r="O976" s="154"/>
      <c r="P976" s="154"/>
      <c r="Q976" s="154"/>
      <c r="R976" s="102"/>
      <c r="S976" s="102"/>
      <c r="T976" s="102"/>
      <c r="U976" s="102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01"/>
    </row>
    <row r="977" spans="1:31" s="162" customFormat="1" x14ac:dyDescent="0.25">
      <c r="A977" s="101"/>
      <c r="B977" s="101"/>
      <c r="C977" s="102"/>
      <c r="D977" s="102"/>
      <c r="E977" s="102"/>
      <c r="F977" s="102"/>
      <c r="G977" s="102"/>
      <c r="H977" s="102"/>
      <c r="I977" s="154"/>
      <c r="J977" s="154"/>
      <c r="K977" s="154"/>
      <c r="L977" s="154"/>
      <c r="M977" s="154"/>
      <c r="N977" s="154"/>
      <c r="O977" s="154"/>
      <c r="P977" s="154"/>
      <c r="Q977" s="154"/>
      <c r="R977" s="102"/>
      <c r="S977" s="102"/>
      <c r="T977" s="102"/>
      <c r="U977" s="102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01"/>
    </row>
    <row r="978" spans="1:31" s="162" customFormat="1" x14ac:dyDescent="0.25">
      <c r="A978" s="101"/>
      <c r="B978" s="101"/>
      <c r="C978" s="102"/>
      <c r="D978" s="102"/>
      <c r="E978" s="102"/>
      <c r="F978" s="102"/>
      <c r="G978" s="102"/>
      <c r="H978" s="102"/>
      <c r="I978" s="154"/>
      <c r="J978" s="154"/>
      <c r="K978" s="154"/>
      <c r="L978" s="154"/>
      <c r="M978" s="154"/>
      <c r="N978" s="154"/>
      <c r="O978" s="154"/>
      <c r="P978" s="154"/>
      <c r="Q978" s="154"/>
      <c r="R978" s="102"/>
      <c r="S978" s="102"/>
      <c r="T978" s="102"/>
      <c r="U978" s="102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01"/>
    </row>
    <row r="979" spans="1:31" s="162" customFormat="1" x14ac:dyDescent="0.25">
      <c r="A979" s="101"/>
      <c r="B979" s="101"/>
      <c r="C979" s="102"/>
      <c r="D979" s="102"/>
      <c r="E979" s="102"/>
      <c r="F979" s="102"/>
      <c r="G979" s="102"/>
      <c r="H979" s="102"/>
      <c r="I979" s="154"/>
      <c r="J979" s="154"/>
      <c r="K979" s="154"/>
      <c r="L979" s="154"/>
      <c r="M979" s="154"/>
      <c r="N979" s="154"/>
      <c r="O979" s="154"/>
      <c r="P979" s="154"/>
      <c r="Q979" s="154"/>
      <c r="R979" s="102"/>
      <c r="S979" s="102"/>
      <c r="T979" s="102"/>
      <c r="U979" s="102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01"/>
    </row>
    <row r="980" spans="1:31" s="162" customFormat="1" x14ac:dyDescent="0.25">
      <c r="A980" s="101"/>
      <c r="B980" s="101"/>
      <c r="C980" s="102"/>
      <c r="D980" s="102"/>
      <c r="E980" s="102"/>
      <c r="F980" s="102"/>
      <c r="G980" s="102"/>
      <c r="H980" s="102"/>
      <c r="I980" s="154"/>
      <c r="J980" s="154"/>
      <c r="K980" s="154"/>
      <c r="L980" s="154"/>
      <c r="M980" s="154"/>
      <c r="N980" s="154"/>
      <c r="O980" s="154"/>
      <c r="P980" s="154"/>
      <c r="Q980" s="154"/>
      <c r="R980" s="102"/>
      <c r="S980" s="102"/>
      <c r="T980" s="102"/>
      <c r="U980" s="102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01"/>
    </row>
    <row r="981" spans="1:31" s="162" customFormat="1" x14ac:dyDescent="0.25">
      <c r="A981" s="101"/>
      <c r="B981" s="101"/>
      <c r="C981" s="102"/>
      <c r="D981" s="102"/>
      <c r="E981" s="102"/>
      <c r="F981" s="102"/>
      <c r="G981" s="102"/>
      <c r="H981" s="102"/>
      <c r="I981" s="154"/>
      <c r="J981" s="154"/>
      <c r="K981" s="154"/>
      <c r="L981" s="154"/>
      <c r="M981" s="154"/>
      <c r="N981" s="154"/>
      <c r="O981" s="154"/>
      <c r="P981" s="154"/>
      <c r="Q981" s="154"/>
      <c r="R981" s="102"/>
      <c r="S981" s="102"/>
      <c r="T981" s="102"/>
      <c r="U981" s="102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01"/>
    </row>
    <row r="982" spans="1:31" s="162" customFormat="1" x14ac:dyDescent="0.25">
      <c r="A982" s="101"/>
      <c r="B982" s="101"/>
      <c r="C982" s="102"/>
      <c r="D982" s="102"/>
      <c r="E982" s="102"/>
      <c r="F982" s="102"/>
      <c r="G982" s="102"/>
      <c r="H982" s="102"/>
      <c r="I982" s="154"/>
      <c r="J982" s="154"/>
      <c r="K982" s="154"/>
      <c r="L982" s="154"/>
      <c r="M982" s="154"/>
      <c r="N982" s="154"/>
      <c r="O982" s="154"/>
      <c r="P982" s="154"/>
      <c r="Q982" s="154"/>
      <c r="R982" s="102"/>
      <c r="S982" s="102"/>
      <c r="T982" s="102"/>
      <c r="U982" s="102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01"/>
    </row>
    <row r="983" spans="1:31" s="162" customFormat="1" x14ac:dyDescent="0.25">
      <c r="A983" s="101"/>
      <c r="B983" s="101"/>
      <c r="C983" s="102"/>
      <c r="D983" s="102"/>
      <c r="E983" s="102"/>
      <c r="F983" s="102"/>
      <c r="G983" s="102"/>
      <c r="H983" s="102"/>
      <c r="I983" s="154"/>
      <c r="J983" s="154"/>
      <c r="K983" s="154"/>
      <c r="L983" s="154"/>
      <c r="M983" s="154"/>
      <c r="N983" s="154"/>
      <c r="O983" s="154"/>
      <c r="P983" s="154"/>
      <c r="Q983" s="154"/>
      <c r="R983" s="102"/>
      <c r="S983" s="102"/>
      <c r="T983" s="102"/>
      <c r="U983" s="102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01"/>
    </row>
    <row r="984" spans="1:31" s="162" customFormat="1" x14ac:dyDescent="0.25">
      <c r="A984" s="101"/>
      <c r="B984" s="101"/>
      <c r="C984" s="102"/>
      <c r="D984" s="102"/>
      <c r="E984" s="102"/>
      <c r="F984" s="102"/>
      <c r="G984" s="102"/>
      <c r="H984" s="102"/>
      <c r="I984" s="154"/>
      <c r="J984" s="154"/>
      <c r="K984" s="154"/>
      <c r="L984" s="154"/>
      <c r="M984" s="154"/>
      <c r="N984" s="154"/>
      <c r="O984" s="154"/>
      <c r="P984" s="154"/>
      <c r="Q984" s="154"/>
      <c r="R984" s="102"/>
      <c r="S984" s="102"/>
      <c r="T984" s="102"/>
      <c r="U984" s="102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01"/>
    </row>
    <row r="985" spans="1:31" s="162" customFormat="1" x14ac:dyDescent="0.25">
      <c r="A985" s="101"/>
      <c r="B985" s="101"/>
      <c r="C985" s="102"/>
      <c r="D985" s="102"/>
      <c r="E985" s="102"/>
      <c r="F985" s="102"/>
      <c r="G985" s="102"/>
      <c r="H985" s="102"/>
      <c r="I985" s="154"/>
      <c r="J985" s="154"/>
      <c r="K985" s="154"/>
      <c r="L985" s="154"/>
      <c r="M985" s="154"/>
      <c r="N985" s="154"/>
      <c r="O985" s="154"/>
      <c r="P985" s="154"/>
      <c r="Q985" s="154"/>
      <c r="R985" s="102"/>
      <c r="S985" s="102"/>
      <c r="T985" s="102"/>
      <c r="U985" s="102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01"/>
    </row>
    <row r="986" spans="1:31" s="162" customFormat="1" x14ac:dyDescent="0.25">
      <c r="A986" s="101"/>
      <c r="B986" s="101"/>
      <c r="C986" s="102"/>
      <c r="D986" s="102"/>
      <c r="E986" s="102"/>
      <c r="F986" s="102"/>
      <c r="G986" s="102"/>
      <c r="H986" s="102"/>
      <c r="I986" s="154"/>
      <c r="J986" s="154"/>
      <c r="K986" s="154"/>
      <c r="L986" s="154"/>
      <c r="M986" s="154"/>
      <c r="N986" s="154"/>
      <c r="O986" s="154"/>
      <c r="P986" s="154"/>
      <c r="Q986" s="154"/>
      <c r="R986" s="102"/>
      <c r="S986" s="102"/>
      <c r="T986" s="102"/>
      <c r="U986" s="102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01"/>
    </row>
    <row r="987" spans="1:31" s="162" customFormat="1" x14ac:dyDescent="0.25">
      <c r="A987" s="101"/>
      <c r="B987" s="101"/>
      <c r="C987" s="102"/>
      <c r="D987" s="102"/>
      <c r="E987" s="102"/>
      <c r="F987" s="102"/>
      <c r="G987" s="102"/>
      <c r="H987" s="102"/>
      <c r="I987" s="154"/>
      <c r="J987" s="154"/>
      <c r="K987" s="154"/>
      <c r="L987" s="154"/>
      <c r="M987" s="154"/>
      <c r="N987" s="154"/>
      <c r="O987" s="154"/>
      <c r="P987" s="154"/>
      <c r="Q987" s="154"/>
      <c r="R987" s="102"/>
      <c r="S987" s="102"/>
      <c r="T987" s="102"/>
      <c r="U987" s="102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01"/>
    </row>
    <row r="988" spans="1:31" s="162" customFormat="1" x14ac:dyDescent="0.25">
      <c r="A988" s="101"/>
      <c r="B988" s="101"/>
      <c r="C988" s="102"/>
      <c r="D988" s="102"/>
      <c r="E988" s="102"/>
      <c r="F988" s="102"/>
      <c r="G988" s="102"/>
      <c r="H988" s="102"/>
      <c r="I988" s="154"/>
      <c r="J988" s="154"/>
      <c r="K988" s="154"/>
      <c r="L988" s="154"/>
      <c r="M988" s="154"/>
      <c r="N988" s="154"/>
      <c r="O988" s="154"/>
      <c r="P988" s="154"/>
      <c r="Q988" s="154"/>
      <c r="R988" s="102"/>
      <c r="S988" s="102"/>
      <c r="T988" s="102"/>
      <c r="U988" s="102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01"/>
    </row>
    <row r="989" spans="1:31" s="162" customFormat="1" x14ac:dyDescent="0.25">
      <c r="A989" s="101"/>
      <c r="B989" s="101"/>
      <c r="C989" s="102"/>
      <c r="D989" s="102"/>
      <c r="E989" s="102"/>
      <c r="F989" s="102"/>
      <c r="G989" s="102"/>
      <c r="H989" s="102"/>
      <c r="I989" s="154"/>
      <c r="J989" s="154"/>
      <c r="K989" s="154"/>
      <c r="L989" s="154"/>
      <c r="M989" s="154"/>
      <c r="N989" s="154"/>
      <c r="O989" s="154"/>
      <c r="P989" s="154"/>
      <c r="Q989" s="154"/>
      <c r="R989" s="102"/>
      <c r="S989" s="102"/>
      <c r="T989" s="102"/>
      <c r="U989" s="102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01"/>
    </row>
    <row r="990" spans="1:31" s="162" customFormat="1" x14ac:dyDescent="0.25">
      <c r="A990" s="101"/>
      <c r="B990" s="101"/>
      <c r="C990" s="102"/>
      <c r="D990" s="102"/>
      <c r="E990" s="102"/>
      <c r="F990" s="102"/>
      <c r="G990" s="102"/>
      <c r="H990" s="102"/>
      <c r="I990" s="154"/>
      <c r="J990" s="154"/>
      <c r="K990" s="154"/>
      <c r="L990" s="154"/>
      <c r="M990" s="154"/>
      <c r="N990" s="154"/>
      <c r="O990" s="154"/>
      <c r="P990" s="154"/>
      <c r="Q990" s="154"/>
      <c r="R990" s="102"/>
      <c r="S990" s="102"/>
      <c r="T990" s="102"/>
      <c r="U990" s="102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01"/>
    </row>
    <row r="991" spans="1:31" s="162" customFormat="1" x14ac:dyDescent="0.25">
      <c r="A991" s="101"/>
      <c r="B991" s="101"/>
      <c r="C991" s="102"/>
      <c r="D991" s="102"/>
      <c r="E991" s="102"/>
      <c r="F991" s="102"/>
      <c r="G991" s="102"/>
      <c r="H991" s="102"/>
      <c r="I991" s="154"/>
      <c r="J991" s="154"/>
      <c r="K991" s="154"/>
      <c r="L991" s="154"/>
      <c r="M991" s="154"/>
      <c r="N991" s="154"/>
      <c r="O991" s="154"/>
      <c r="P991" s="154"/>
      <c r="Q991" s="154"/>
      <c r="R991" s="102"/>
      <c r="S991" s="102"/>
      <c r="T991" s="102"/>
      <c r="U991" s="102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01"/>
    </row>
    <row r="992" spans="1:31" s="162" customFormat="1" x14ac:dyDescent="0.25">
      <c r="A992" s="101"/>
      <c r="B992" s="101"/>
      <c r="C992" s="102"/>
      <c r="D992" s="102"/>
      <c r="E992" s="102"/>
      <c r="F992" s="102"/>
      <c r="G992" s="102"/>
      <c r="H992" s="102"/>
      <c r="I992" s="154"/>
      <c r="J992" s="154"/>
      <c r="K992" s="154"/>
      <c r="L992" s="154"/>
      <c r="M992" s="154"/>
      <c r="N992" s="154"/>
      <c r="O992" s="154"/>
      <c r="P992" s="154"/>
      <c r="Q992" s="154"/>
      <c r="R992" s="102"/>
      <c r="S992" s="102"/>
      <c r="T992" s="102"/>
      <c r="U992" s="102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01"/>
    </row>
    <row r="993" spans="1:31" s="162" customFormat="1" x14ac:dyDescent="0.25">
      <c r="A993" s="101"/>
      <c r="B993" s="101"/>
      <c r="C993" s="102"/>
      <c r="D993" s="102"/>
      <c r="E993" s="102"/>
      <c r="F993" s="102"/>
      <c r="G993" s="102"/>
      <c r="H993" s="102"/>
      <c r="I993" s="154"/>
      <c r="J993" s="154"/>
      <c r="K993" s="154"/>
      <c r="L993" s="154"/>
      <c r="M993" s="154"/>
      <c r="N993" s="154"/>
      <c r="O993" s="154"/>
      <c r="P993" s="154"/>
      <c r="Q993" s="154"/>
      <c r="R993" s="102"/>
      <c r="S993" s="102"/>
      <c r="T993" s="102"/>
      <c r="U993" s="102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01"/>
    </row>
    <row r="994" spans="1:31" s="162" customFormat="1" x14ac:dyDescent="0.25">
      <c r="A994" s="101"/>
      <c r="B994" s="101"/>
      <c r="C994" s="102"/>
      <c r="D994" s="102"/>
      <c r="E994" s="102"/>
      <c r="F994" s="102"/>
      <c r="G994" s="102"/>
      <c r="H994" s="102"/>
      <c r="I994" s="154"/>
      <c r="J994" s="154"/>
      <c r="K994" s="154"/>
      <c r="L994" s="154"/>
      <c r="M994" s="154"/>
      <c r="N994" s="154"/>
      <c r="O994" s="154"/>
      <c r="P994" s="154"/>
      <c r="Q994" s="154"/>
      <c r="R994" s="102"/>
      <c r="S994" s="102"/>
      <c r="T994" s="102"/>
      <c r="U994" s="102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01"/>
    </row>
    <row r="995" spans="1:31" s="162" customFormat="1" x14ac:dyDescent="0.25">
      <c r="A995" s="101"/>
      <c r="B995" s="101"/>
      <c r="C995" s="102"/>
      <c r="D995" s="102"/>
      <c r="E995" s="102"/>
      <c r="F995" s="102"/>
      <c r="G995" s="102"/>
      <c r="H995" s="102"/>
      <c r="I995" s="154"/>
      <c r="J995" s="154"/>
      <c r="K995" s="154"/>
      <c r="L995" s="154"/>
      <c r="M995" s="154"/>
      <c r="N995" s="154"/>
      <c r="O995" s="154"/>
      <c r="P995" s="154"/>
      <c r="Q995" s="154"/>
      <c r="R995" s="102"/>
      <c r="S995" s="102"/>
      <c r="T995" s="102"/>
      <c r="U995" s="102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01"/>
    </row>
    <row r="996" spans="1:31" s="162" customFormat="1" x14ac:dyDescent="0.25">
      <c r="A996" s="101"/>
      <c r="B996" s="101"/>
      <c r="C996" s="102"/>
      <c r="D996" s="102"/>
      <c r="E996" s="102"/>
      <c r="F996" s="102"/>
      <c r="G996" s="102"/>
      <c r="H996" s="102"/>
      <c r="I996" s="154"/>
      <c r="J996" s="154"/>
      <c r="K996" s="154"/>
      <c r="L996" s="154"/>
      <c r="M996" s="154"/>
      <c r="N996" s="154"/>
      <c r="O996" s="154"/>
      <c r="P996" s="154"/>
      <c r="Q996" s="154"/>
      <c r="R996" s="102"/>
      <c r="S996" s="102"/>
      <c r="T996" s="102"/>
      <c r="U996" s="102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01"/>
    </row>
    <row r="997" spans="1:31" s="162" customFormat="1" x14ac:dyDescent="0.25">
      <c r="A997" s="101"/>
      <c r="B997" s="101"/>
      <c r="C997" s="102"/>
      <c r="D997" s="102"/>
      <c r="E997" s="102"/>
      <c r="F997" s="102"/>
      <c r="G997" s="102"/>
      <c r="H997" s="102"/>
      <c r="I997" s="154"/>
      <c r="J997" s="154"/>
      <c r="K997" s="154"/>
      <c r="L997" s="154"/>
      <c r="M997" s="154"/>
      <c r="N997" s="154"/>
      <c r="O997" s="154"/>
      <c r="P997" s="154"/>
      <c r="Q997" s="154"/>
      <c r="R997" s="102"/>
      <c r="S997" s="102"/>
      <c r="T997" s="102"/>
      <c r="U997" s="102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01"/>
    </row>
    <row r="998" spans="1:31" s="162" customFormat="1" x14ac:dyDescent="0.25">
      <c r="A998" s="101"/>
      <c r="B998" s="101"/>
      <c r="C998" s="102"/>
      <c r="D998" s="102"/>
      <c r="E998" s="102"/>
      <c r="F998" s="102"/>
      <c r="G998" s="102"/>
      <c r="H998" s="102"/>
      <c r="I998" s="154"/>
      <c r="J998" s="154"/>
      <c r="K998" s="154"/>
      <c r="L998" s="154"/>
      <c r="M998" s="154"/>
      <c r="N998" s="154"/>
      <c r="O998" s="154"/>
      <c r="P998" s="154"/>
      <c r="Q998" s="154"/>
      <c r="R998" s="102"/>
      <c r="S998" s="102"/>
      <c r="T998" s="102"/>
      <c r="U998" s="102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01"/>
    </row>
    <row r="999" spans="1:31" s="162" customFormat="1" x14ac:dyDescent="0.25">
      <c r="A999" s="101"/>
      <c r="B999" s="101"/>
      <c r="C999" s="102"/>
      <c r="D999" s="102"/>
      <c r="E999" s="102"/>
      <c r="F999" s="102"/>
      <c r="G999" s="102"/>
      <c r="H999" s="102"/>
      <c r="I999" s="154"/>
      <c r="J999" s="154"/>
      <c r="K999" s="154"/>
      <c r="L999" s="154"/>
      <c r="M999" s="154"/>
      <c r="N999" s="154"/>
      <c r="O999" s="154"/>
      <c r="P999" s="154"/>
      <c r="Q999" s="154"/>
      <c r="R999" s="102"/>
      <c r="S999" s="102"/>
      <c r="T999" s="102"/>
      <c r="U999" s="102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01"/>
    </row>
    <row r="1000" spans="1:31" s="162" customFormat="1" x14ac:dyDescent="0.25">
      <c r="A1000" s="101"/>
      <c r="B1000" s="101"/>
      <c r="C1000" s="102"/>
      <c r="D1000" s="102"/>
      <c r="E1000" s="102"/>
      <c r="F1000" s="102"/>
      <c r="G1000" s="102"/>
      <c r="H1000" s="102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02"/>
      <c r="S1000" s="102"/>
      <c r="T1000" s="102"/>
      <c r="U1000" s="102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01"/>
    </row>
    <row r="1001" spans="1:31" s="162" customFormat="1" x14ac:dyDescent="0.25">
      <c r="A1001" s="101"/>
      <c r="B1001" s="101"/>
      <c r="C1001" s="102"/>
      <c r="D1001" s="102"/>
      <c r="E1001" s="102"/>
      <c r="F1001" s="102"/>
      <c r="G1001" s="102"/>
      <c r="H1001" s="102"/>
      <c r="I1001" s="154"/>
      <c r="J1001" s="154"/>
      <c r="K1001" s="154"/>
      <c r="L1001" s="154"/>
      <c r="M1001" s="154"/>
      <c r="N1001" s="154"/>
      <c r="O1001" s="154"/>
      <c r="P1001" s="154"/>
      <c r="Q1001" s="154"/>
      <c r="R1001" s="102"/>
      <c r="S1001" s="102"/>
      <c r="T1001" s="102"/>
      <c r="U1001" s="102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01"/>
    </row>
    <row r="1002" spans="1:31" s="162" customFormat="1" x14ac:dyDescent="0.25">
      <c r="A1002" s="101"/>
      <c r="B1002" s="101"/>
      <c r="C1002" s="102"/>
      <c r="D1002" s="102"/>
      <c r="E1002" s="102"/>
      <c r="F1002" s="102"/>
      <c r="G1002" s="102"/>
      <c r="H1002" s="102"/>
      <c r="I1002" s="154"/>
      <c r="J1002" s="154"/>
      <c r="K1002" s="154"/>
      <c r="L1002" s="154"/>
      <c r="M1002" s="154"/>
      <c r="N1002" s="154"/>
      <c r="O1002" s="154"/>
      <c r="P1002" s="154"/>
      <c r="Q1002" s="154"/>
      <c r="R1002" s="102"/>
      <c r="S1002" s="102"/>
      <c r="T1002" s="102"/>
      <c r="U1002" s="102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01"/>
    </row>
    <row r="1003" spans="1:31" s="162" customFormat="1" x14ac:dyDescent="0.25">
      <c r="A1003" s="101"/>
      <c r="B1003" s="101"/>
      <c r="C1003" s="102"/>
      <c r="D1003" s="102"/>
      <c r="E1003" s="102"/>
      <c r="F1003" s="102"/>
      <c r="G1003" s="102"/>
      <c r="H1003" s="102"/>
      <c r="I1003" s="154"/>
      <c r="J1003" s="154"/>
      <c r="K1003" s="154"/>
      <c r="L1003" s="154"/>
      <c r="M1003" s="154"/>
      <c r="N1003" s="154"/>
      <c r="O1003" s="154"/>
      <c r="P1003" s="154"/>
      <c r="Q1003" s="154"/>
      <c r="R1003" s="102"/>
      <c r="S1003" s="102"/>
      <c r="T1003" s="102"/>
      <c r="U1003" s="102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01"/>
    </row>
    <row r="1004" spans="1:31" s="162" customFormat="1" x14ac:dyDescent="0.25">
      <c r="A1004" s="101"/>
      <c r="B1004" s="101"/>
      <c r="C1004" s="102"/>
      <c r="D1004" s="102"/>
      <c r="E1004" s="102"/>
      <c r="F1004" s="102"/>
      <c r="G1004" s="102"/>
      <c r="H1004" s="102"/>
      <c r="I1004" s="154"/>
      <c r="J1004" s="154"/>
      <c r="K1004" s="154"/>
      <c r="L1004" s="154"/>
      <c r="M1004" s="154"/>
      <c r="N1004" s="154"/>
      <c r="O1004" s="154"/>
      <c r="P1004" s="154"/>
      <c r="Q1004" s="154"/>
      <c r="R1004" s="102"/>
      <c r="S1004" s="102"/>
      <c r="T1004" s="102"/>
      <c r="U1004" s="102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01"/>
    </row>
    <row r="1005" spans="1:31" s="162" customFormat="1" x14ac:dyDescent="0.25">
      <c r="A1005" s="101"/>
      <c r="B1005" s="101"/>
      <c r="C1005" s="102"/>
      <c r="D1005" s="102"/>
      <c r="E1005" s="102"/>
      <c r="F1005" s="102"/>
      <c r="G1005" s="102"/>
      <c r="H1005" s="102"/>
      <c r="I1005" s="154"/>
      <c r="J1005" s="154"/>
      <c r="K1005" s="154"/>
      <c r="L1005" s="154"/>
      <c r="M1005" s="154"/>
      <c r="N1005" s="154"/>
      <c r="O1005" s="154"/>
      <c r="P1005" s="154"/>
      <c r="Q1005" s="154"/>
      <c r="R1005" s="102"/>
      <c r="S1005" s="102"/>
      <c r="T1005" s="102"/>
      <c r="U1005" s="102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01"/>
    </row>
    <row r="1006" spans="1:31" s="162" customFormat="1" x14ac:dyDescent="0.25">
      <c r="A1006" s="101"/>
      <c r="B1006" s="101"/>
      <c r="C1006" s="102"/>
      <c r="D1006" s="102"/>
      <c r="E1006" s="102"/>
      <c r="F1006" s="102"/>
      <c r="G1006" s="102"/>
      <c r="H1006" s="102"/>
      <c r="I1006" s="154"/>
      <c r="J1006" s="154"/>
      <c r="K1006" s="154"/>
      <c r="L1006" s="154"/>
      <c r="M1006" s="154"/>
      <c r="N1006" s="154"/>
      <c r="O1006" s="154"/>
      <c r="P1006" s="154"/>
      <c r="Q1006" s="154"/>
      <c r="R1006" s="102"/>
      <c r="S1006" s="102"/>
      <c r="T1006" s="102"/>
      <c r="U1006" s="102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01"/>
    </row>
    <row r="1007" spans="1:31" s="162" customFormat="1" x14ac:dyDescent="0.25">
      <c r="A1007" s="101"/>
      <c r="B1007" s="101"/>
      <c r="C1007" s="102"/>
      <c r="D1007" s="102"/>
      <c r="E1007" s="102"/>
      <c r="F1007" s="102"/>
      <c r="G1007" s="102"/>
      <c r="H1007" s="102"/>
      <c r="I1007" s="154"/>
      <c r="J1007" s="154"/>
      <c r="K1007" s="154"/>
      <c r="L1007" s="154"/>
      <c r="M1007" s="154"/>
      <c r="N1007" s="154"/>
      <c r="O1007" s="154"/>
      <c r="P1007" s="154"/>
      <c r="Q1007" s="154"/>
      <c r="R1007" s="102"/>
      <c r="S1007" s="102"/>
      <c r="T1007" s="102"/>
      <c r="U1007" s="102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01"/>
    </row>
    <row r="1008" spans="1:31" s="162" customFormat="1" x14ac:dyDescent="0.25">
      <c r="A1008" s="101"/>
      <c r="B1008" s="101"/>
      <c r="C1008" s="102"/>
      <c r="D1008" s="102"/>
      <c r="E1008" s="102"/>
      <c r="F1008" s="102"/>
      <c r="G1008" s="102"/>
      <c r="H1008" s="102"/>
      <c r="I1008" s="154"/>
      <c r="J1008" s="154"/>
      <c r="K1008" s="154"/>
      <c r="L1008" s="154"/>
      <c r="M1008" s="154"/>
      <c r="N1008" s="154"/>
      <c r="O1008" s="154"/>
      <c r="P1008" s="154"/>
      <c r="Q1008" s="154"/>
      <c r="R1008" s="102"/>
      <c r="S1008" s="102"/>
      <c r="T1008" s="102"/>
      <c r="U1008" s="102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01"/>
    </row>
    <row r="1009" spans="1:31" s="162" customFormat="1" x14ac:dyDescent="0.25">
      <c r="A1009" s="101"/>
      <c r="B1009" s="101"/>
      <c r="C1009" s="102"/>
      <c r="D1009" s="102"/>
      <c r="E1009" s="102"/>
      <c r="F1009" s="102"/>
      <c r="G1009" s="102"/>
      <c r="H1009" s="102"/>
      <c r="I1009" s="154"/>
      <c r="J1009" s="154"/>
      <c r="K1009" s="154"/>
      <c r="L1009" s="154"/>
      <c r="M1009" s="154"/>
      <c r="N1009" s="154"/>
      <c r="O1009" s="154"/>
      <c r="P1009" s="154"/>
      <c r="Q1009" s="154"/>
      <c r="R1009" s="102"/>
      <c r="S1009" s="102"/>
      <c r="T1009" s="102"/>
      <c r="U1009" s="102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01"/>
    </row>
    <row r="1010" spans="1:31" s="162" customFormat="1" x14ac:dyDescent="0.25">
      <c r="A1010" s="101"/>
      <c r="B1010" s="101"/>
      <c r="C1010" s="102"/>
      <c r="D1010" s="102"/>
      <c r="E1010" s="102"/>
      <c r="F1010" s="102"/>
      <c r="G1010" s="102"/>
      <c r="H1010" s="102"/>
      <c r="I1010" s="154"/>
      <c r="J1010" s="154"/>
      <c r="K1010" s="154"/>
      <c r="L1010" s="154"/>
      <c r="M1010" s="154"/>
      <c r="N1010" s="154"/>
      <c r="O1010" s="154"/>
      <c r="P1010" s="154"/>
      <c r="Q1010" s="154"/>
      <c r="R1010" s="102"/>
      <c r="S1010" s="102"/>
      <c r="T1010" s="102"/>
      <c r="U1010" s="102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01"/>
    </row>
    <row r="1011" spans="1:31" s="162" customFormat="1" x14ac:dyDescent="0.25">
      <c r="A1011" s="101"/>
      <c r="B1011" s="101"/>
      <c r="C1011" s="102"/>
      <c r="D1011" s="102"/>
      <c r="E1011" s="102"/>
      <c r="F1011" s="102"/>
      <c r="G1011" s="102"/>
      <c r="H1011" s="102"/>
      <c r="I1011" s="154"/>
      <c r="J1011" s="154"/>
      <c r="K1011" s="154"/>
      <c r="L1011" s="154"/>
      <c r="M1011" s="154"/>
      <c r="N1011" s="154"/>
      <c r="O1011" s="154"/>
      <c r="P1011" s="154"/>
      <c r="Q1011" s="154"/>
      <c r="R1011" s="102"/>
      <c r="S1011" s="102"/>
      <c r="T1011" s="102"/>
      <c r="U1011" s="102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01"/>
    </row>
    <row r="1012" spans="1:31" s="162" customFormat="1" x14ac:dyDescent="0.25">
      <c r="A1012" s="101"/>
      <c r="B1012" s="101"/>
      <c r="C1012" s="102"/>
      <c r="D1012" s="102"/>
      <c r="E1012" s="102"/>
      <c r="F1012" s="102"/>
      <c r="G1012" s="102"/>
      <c r="H1012" s="102"/>
      <c r="I1012" s="154"/>
      <c r="J1012" s="154"/>
      <c r="K1012" s="154"/>
      <c r="L1012" s="154"/>
      <c r="M1012" s="154"/>
      <c r="N1012" s="154"/>
      <c r="O1012" s="154"/>
      <c r="P1012" s="154"/>
      <c r="Q1012" s="154"/>
      <c r="R1012" s="102"/>
      <c r="S1012" s="102"/>
      <c r="T1012" s="102"/>
      <c r="U1012" s="102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01"/>
    </row>
    <row r="1013" spans="1:31" s="162" customFormat="1" x14ac:dyDescent="0.25">
      <c r="A1013" s="101"/>
      <c r="B1013" s="101"/>
      <c r="C1013" s="102"/>
      <c r="D1013" s="102"/>
      <c r="E1013" s="102"/>
      <c r="F1013" s="102"/>
      <c r="G1013" s="102"/>
      <c r="H1013" s="102"/>
      <c r="I1013" s="154"/>
      <c r="J1013" s="154"/>
      <c r="K1013" s="154"/>
      <c r="L1013" s="154"/>
      <c r="M1013" s="154"/>
      <c r="N1013" s="154"/>
      <c r="O1013" s="154"/>
      <c r="P1013" s="154"/>
      <c r="Q1013" s="154"/>
      <c r="R1013" s="102"/>
      <c r="S1013" s="102"/>
      <c r="T1013" s="102"/>
      <c r="U1013" s="102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01"/>
    </row>
    <row r="1014" spans="1:31" s="162" customFormat="1" x14ac:dyDescent="0.25">
      <c r="A1014" s="101"/>
      <c r="B1014" s="101"/>
      <c r="C1014" s="102"/>
      <c r="D1014" s="102"/>
      <c r="E1014" s="102"/>
      <c r="F1014" s="102"/>
      <c r="G1014" s="102"/>
      <c r="H1014" s="102"/>
      <c r="I1014" s="154"/>
      <c r="J1014" s="154"/>
      <c r="K1014" s="154"/>
      <c r="L1014" s="154"/>
      <c r="M1014" s="154"/>
      <c r="N1014" s="154"/>
      <c r="O1014" s="154"/>
      <c r="P1014" s="154"/>
      <c r="Q1014" s="154"/>
      <c r="R1014" s="102"/>
      <c r="S1014" s="102"/>
      <c r="T1014" s="102"/>
      <c r="U1014" s="102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01"/>
    </row>
    <row r="1015" spans="1:31" s="162" customFormat="1" x14ac:dyDescent="0.25">
      <c r="A1015" s="101"/>
      <c r="B1015" s="101"/>
      <c r="C1015" s="102"/>
      <c r="D1015" s="102"/>
      <c r="E1015" s="102"/>
      <c r="F1015" s="102"/>
      <c r="G1015" s="102"/>
      <c r="H1015" s="102"/>
      <c r="I1015" s="154"/>
      <c r="J1015" s="154"/>
      <c r="K1015" s="154"/>
      <c r="L1015" s="154"/>
      <c r="M1015" s="154"/>
      <c r="N1015" s="154"/>
      <c r="O1015" s="154"/>
      <c r="P1015" s="154"/>
      <c r="Q1015" s="154"/>
      <c r="R1015" s="102"/>
      <c r="S1015" s="102"/>
      <c r="T1015" s="102"/>
      <c r="U1015" s="102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01"/>
    </row>
    <row r="1016" spans="1:31" s="162" customFormat="1" x14ac:dyDescent="0.25">
      <c r="A1016" s="101"/>
      <c r="B1016" s="101"/>
      <c r="C1016" s="102"/>
      <c r="D1016" s="102"/>
      <c r="E1016" s="102"/>
      <c r="F1016" s="102"/>
      <c r="G1016" s="102"/>
      <c r="H1016" s="102"/>
      <c r="I1016" s="154"/>
      <c r="J1016" s="154"/>
      <c r="K1016" s="154"/>
      <c r="L1016" s="154"/>
      <c r="M1016" s="154"/>
      <c r="N1016" s="154"/>
      <c r="O1016" s="154"/>
      <c r="P1016" s="154"/>
      <c r="Q1016" s="154"/>
      <c r="R1016" s="102"/>
      <c r="S1016" s="102"/>
      <c r="T1016" s="102"/>
      <c r="U1016" s="102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01"/>
    </row>
    <row r="1017" spans="1:31" s="162" customFormat="1" x14ac:dyDescent="0.25">
      <c r="A1017" s="101"/>
      <c r="B1017" s="101"/>
      <c r="C1017" s="102"/>
      <c r="D1017" s="102"/>
      <c r="E1017" s="102"/>
      <c r="F1017" s="102"/>
      <c r="G1017" s="102"/>
      <c r="H1017" s="102"/>
      <c r="I1017" s="154"/>
      <c r="J1017" s="154"/>
      <c r="K1017" s="154"/>
      <c r="L1017" s="154"/>
      <c r="M1017" s="154"/>
      <c r="N1017" s="154"/>
      <c r="O1017" s="154"/>
      <c r="P1017" s="154"/>
      <c r="Q1017" s="154"/>
      <c r="R1017" s="102"/>
      <c r="S1017" s="102"/>
      <c r="T1017" s="102"/>
      <c r="U1017" s="102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01"/>
    </row>
    <row r="1018" spans="1:31" s="162" customFormat="1" x14ac:dyDescent="0.25">
      <c r="A1018" s="101"/>
      <c r="B1018" s="101"/>
      <c r="C1018" s="102"/>
      <c r="D1018" s="102"/>
      <c r="E1018" s="102"/>
      <c r="F1018" s="102"/>
      <c r="G1018" s="102"/>
      <c r="H1018" s="102"/>
      <c r="I1018" s="154"/>
      <c r="J1018" s="154"/>
      <c r="K1018" s="154"/>
      <c r="L1018" s="154"/>
      <c r="M1018" s="154"/>
      <c r="N1018" s="154"/>
      <c r="O1018" s="154"/>
      <c r="P1018" s="154"/>
      <c r="Q1018" s="154"/>
      <c r="R1018" s="102"/>
      <c r="S1018" s="102"/>
      <c r="T1018" s="102"/>
      <c r="U1018" s="102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01"/>
    </row>
    <row r="1019" spans="1:31" s="162" customFormat="1" x14ac:dyDescent="0.25">
      <c r="A1019" s="101"/>
      <c r="B1019" s="101"/>
      <c r="C1019" s="102"/>
      <c r="D1019" s="102"/>
      <c r="E1019" s="102"/>
      <c r="F1019" s="102"/>
      <c r="G1019" s="102"/>
      <c r="H1019" s="102"/>
      <c r="I1019" s="154"/>
      <c r="J1019" s="154"/>
      <c r="K1019" s="154"/>
      <c r="L1019" s="154"/>
      <c r="M1019" s="154"/>
      <c r="N1019" s="154"/>
      <c r="O1019" s="154"/>
      <c r="P1019" s="154"/>
      <c r="Q1019" s="154"/>
      <c r="R1019" s="102"/>
      <c r="S1019" s="102"/>
      <c r="T1019" s="102"/>
      <c r="U1019" s="102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01"/>
    </row>
    <row r="1020" spans="1:31" s="162" customFormat="1" x14ac:dyDescent="0.25">
      <c r="A1020" s="101"/>
      <c r="B1020" s="101"/>
      <c r="C1020" s="102"/>
      <c r="D1020" s="102"/>
      <c r="E1020" s="102"/>
      <c r="F1020" s="102"/>
      <c r="G1020" s="102"/>
      <c r="H1020" s="102"/>
      <c r="I1020" s="154"/>
      <c r="J1020" s="154"/>
      <c r="K1020" s="154"/>
      <c r="L1020" s="154"/>
      <c r="M1020" s="154"/>
      <c r="N1020" s="154"/>
      <c r="O1020" s="154"/>
      <c r="P1020" s="154"/>
      <c r="Q1020" s="154"/>
      <c r="R1020" s="102"/>
      <c r="S1020" s="102"/>
      <c r="T1020" s="102"/>
      <c r="U1020" s="102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01"/>
    </row>
    <row r="1021" spans="1:31" s="162" customFormat="1" x14ac:dyDescent="0.25">
      <c r="A1021" s="101"/>
      <c r="B1021" s="101"/>
      <c r="C1021" s="102"/>
      <c r="D1021" s="102"/>
      <c r="E1021" s="102"/>
      <c r="F1021" s="102"/>
      <c r="G1021" s="102"/>
      <c r="H1021" s="102"/>
      <c r="I1021" s="154"/>
      <c r="J1021" s="154"/>
      <c r="K1021" s="154"/>
      <c r="L1021" s="154"/>
      <c r="M1021" s="154"/>
      <c r="N1021" s="154"/>
      <c r="O1021" s="154"/>
      <c r="P1021" s="154"/>
      <c r="Q1021" s="154"/>
      <c r="R1021" s="102"/>
      <c r="S1021" s="102"/>
      <c r="T1021" s="102"/>
      <c r="U1021" s="102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01"/>
    </row>
    <row r="1022" spans="1:31" s="162" customFormat="1" x14ac:dyDescent="0.25">
      <c r="A1022" s="101"/>
      <c r="B1022" s="101"/>
      <c r="C1022" s="102"/>
      <c r="D1022" s="102"/>
      <c r="E1022" s="102"/>
      <c r="F1022" s="102"/>
      <c r="G1022" s="102"/>
      <c r="H1022" s="102"/>
      <c r="I1022" s="154"/>
      <c r="J1022" s="154"/>
      <c r="K1022" s="154"/>
      <c r="L1022" s="154"/>
      <c r="M1022" s="154"/>
      <c r="N1022" s="154"/>
      <c r="O1022" s="154"/>
      <c r="P1022" s="154"/>
      <c r="Q1022" s="154"/>
      <c r="R1022" s="102"/>
      <c r="S1022" s="102"/>
      <c r="T1022" s="102"/>
      <c r="U1022" s="102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01"/>
    </row>
    <row r="1023" spans="1:31" s="162" customFormat="1" x14ac:dyDescent="0.25">
      <c r="A1023" s="101"/>
      <c r="B1023" s="101"/>
      <c r="C1023" s="102"/>
      <c r="D1023" s="102"/>
      <c r="E1023" s="102"/>
      <c r="F1023" s="102"/>
      <c r="G1023" s="102"/>
      <c r="H1023" s="102"/>
      <c r="I1023" s="154"/>
      <c r="J1023" s="154"/>
      <c r="K1023" s="154"/>
      <c r="L1023" s="154"/>
      <c r="M1023" s="154"/>
      <c r="N1023" s="154"/>
      <c r="O1023" s="154"/>
      <c r="P1023" s="154"/>
      <c r="Q1023" s="154"/>
      <c r="R1023" s="102"/>
      <c r="S1023" s="102"/>
      <c r="T1023" s="102"/>
      <c r="U1023" s="102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01"/>
    </row>
    <row r="1024" spans="1:31" s="162" customFormat="1" x14ac:dyDescent="0.25">
      <c r="A1024" s="101"/>
      <c r="B1024" s="101"/>
      <c r="C1024" s="102"/>
      <c r="D1024" s="102"/>
      <c r="E1024" s="102"/>
      <c r="F1024" s="102"/>
      <c r="G1024" s="102"/>
      <c r="H1024" s="102"/>
      <c r="I1024" s="154"/>
      <c r="J1024" s="154"/>
      <c r="K1024" s="154"/>
      <c r="L1024" s="154"/>
      <c r="M1024" s="154"/>
      <c r="N1024" s="154"/>
      <c r="O1024" s="154"/>
      <c r="P1024" s="154"/>
      <c r="Q1024" s="154"/>
      <c r="R1024" s="102"/>
      <c r="S1024" s="102"/>
      <c r="T1024" s="102"/>
      <c r="U1024" s="102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01"/>
    </row>
    <row r="1025" spans="1:31" s="162" customFormat="1" x14ac:dyDescent="0.25">
      <c r="A1025" s="101"/>
      <c r="B1025" s="101"/>
      <c r="C1025" s="102"/>
      <c r="D1025" s="102"/>
      <c r="E1025" s="102"/>
      <c r="F1025" s="102"/>
      <c r="G1025" s="102"/>
      <c r="H1025" s="102"/>
      <c r="I1025" s="154"/>
      <c r="J1025" s="154"/>
      <c r="K1025" s="154"/>
      <c r="L1025" s="154"/>
      <c r="M1025" s="154"/>
      <c r="N1025" s="154"/>
      <c r="O1025" s="154"/>
      <c r="P1025" s="154"/>
      <c r="Q1025" s="154"/>
      <c r="R1025" s="102"/>
      <c r="S1025" s="102"/>
      <c r="T1025" s="102"/>
      <c r="U1025" s="102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01"/>
    </row>
    <row r="1026" spans="1:31" s="162" customFormat="1" x14ac:dyDescent="0.25">
      <c r="A1026" s="101"/>
      <c r="B1026" s="101"/>
      <c r="C1026" s="102"/>
      <c r="D1026" s="102"/>
      <c r="E1026" s="102"/>
      <c r="F1026" s="102"/>
      <c r="G1026" s="102"/>
      <c r="H1026" s="102"/>
      <c r="I1026" s="154"/>
      <c r="J1026" s="154"/>
      <c r="K1026" s="154"/>
      <c r="L1026" s="154"/>
      <c r="M1026" s="154"/>
      <c r="N1026" s="154"/>
      <c r="O1026" s="154"/>
      <c r="P1026" s="154"/>
      <c r="Q1026" s="154"/>
      <c r="R1026" s="102"/>
      <c r="S1026" s="102"/>
      <c r="T1026" s="102"/>
      <c r="U1026" s="102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01"/>
    </row>
    <row r="1027" spans="1:31" s="162" customFormat="1" x14ac:dyDescent="0.25">
      <c r="A1027" s="101"/>
      <c r="B1027" s="101"/>
      <c r="C1027" s="102"/>
      <c r="D1027" s="102"/>
      <c r="E1027" s="102"/>
      <c r="F1027" s="102"/>
      <c r="G1027" s="102"/>
      <c r="H1027" s="102"/>
      <c r="I1027" s="154"/>
      <c r="J1027" s="154"/>
      <c r="K1027" s="154"/>
      <c r="L1027" s="154"/>
      <c r="M1027" s="154"/>
      <c r="N1027" s="154"/>
      <c r="O1027" s="154"/>
      <c r="P1027" s="154"/>
      <c r="Q1027" s="154"/>
      <c r="R1027" s="102"/>
      <c r="S1027" s="102"/>
      <c r="T1027" s="102"/>
      <c r="U1027" s="102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01"/>
    </row>
    <row r="1028" spans="1:31" s="162" customFormat="1" x14ac:dyDescent="0.25">
      <c r="A1028" s="101"/>
      <c r="B1028" s="101"/>
      <c r="C1028" s="102"/>
      <c r="D1028" s="102"/>
      <c r="E1028" s="102"/>
      <c r="F1028" s="102"/>
      <c r="G1028" s="102"/>
      <c r="H1028" s="102"/>
      <c r="I1028" s="154"/>
      <c r="J1028" s="154"/>
      <c r="K1028" s="154"/>
      <c r="L1028" s="154"/>
      <c r="M1028" s="154"/>
      <c r="N1028" s="154"/>
      <c r="O1028" s="154"/>
      <c r="P1028" s="154"/>
      <c r="Q1028" s="154"/>
      <c r="R1028" s="102"/>
      <c r="S1028" s="102"/>
      <c r="T1028" s="102"/>
      <c r="U1028" s="102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01"/>
    </row>
    <row r="1029" spans="1:31" s="162" customFormat="1" x14ac:dyDescent="0.25">
      <c r="A1029" s="101"/>
      <c r="B1029" s="101"/>
      <c r="C1029" s="102"/>
      <c r="D1029" s="102"/>
      <c r="E1029" s="102"/>
      <c r="F1029" s="102"/>
      <c r="G1029" s="102"/>
      <c r="H1029" s="102"/>
      <c r="I1029" s="154"/>
      <c r="J1029" s="154"/>
      <c r="K1029" s="154"/>
      <c r="L1029" s="154"/>
      <c r="M1029" s="154"/>
      <c r="N1029" s="154"/>
      <c r="O1029" s="154"/>
      <c r="P1029" s="154"/>
      <c r="Q1029" s="154"/>
      <c r="R1029" s="102"/>
      <c r="S1029" s="102"/>
      <c r="T1029" s="102"/>
      <c r="U1029" s="102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01"/>
    </row>
    <row r="1030" spans="1:31" s="162" customFormat="1" x14ac:dyDescent="0.25">
      <c r="A1030" s="101"/>
      <c r="B1030" s="101"/>
      <c r="C1030" s="102"/>
      <c r="D1030" s="102"/>
      <c r="E1030" s="102"/>
      <c r="F1030" s="102"/>
      <c r="G1030" s="102"/>
      <c r="H1030" s="102"/>
      <c r="I1030" s="154"/>
      <c r="J1030" s="154"/>
      <c r="K1030" s="154"/>
      <c r="L1030" s="154"/>
      <c r="M1030" s="154"/>
      <c r="N1030" s="154"/>
      <c r="O1030" s="154"/>
      <c r="P1030" s="154"/>
      <c r="Q1030" s="154"/>
      <c r="R1030" s="102"/>
      <c r="S1030" s="102"/>
      <c r="T1030" s="102"/>
      <c r="U1030" s="102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01"/>
    </row>
  </sheetData>
  <autoFilter ref="C3:AE148" xr:uid="{E03F0119-306C-416F-8E26-B23A66827919}"/>
  <mergeCells count="6">
    <mergeCell ref="D1:Q1"/>
    <mergeCell ref="R1:AD1"/>
    <mergeCell ref="AE1:AQ1"/>
    <mergeCell ref="D2:Q2"/>
    <mergeCell ref="R2:AD2"/>
    <mergeCell ref="AE2:AQ2"/>
  </mergeCells>
  <pageMargins left="0.7" right="0.7" top="0.75" bottom="0.75" header="0" footer="0"/>
  <pageSetup scale="33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BCE</vt:lpstr>
      <vt:lpstr>P Y 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 Leidi Martinez Mercado</dc:creator>
  <cp:lastModifiedBy>Liz Leidi Martinez Mercado</cp:lastModifiedBy>
  <dcterms:created xsi:type="dcterms:W3CDTF">2026-06-14T20:54:51Z</dcterms:created>
  <dcterms:modified xsi:type="dcterms:W3CDTF">2026-06-14T21:07:08Z</dcterms:modified>
</cp:coreProperties>
</file>